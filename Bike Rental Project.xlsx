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5.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ml.chartshapes+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igicrome AI\Internship\Nexthikes IT\"/>
    </mc:Choice>
  </mc:AlternateContent>
  <xr:revisionPtr revIDLastSave="0" documentId="13_ncr:1_{AC6BB12C-E5EA-4BA8-B8F3-37C018E78A40}" xr6:coauthVersionLast="47" xr6:coauthVersionMax="47" xr10:uidLastSave="{00000000-0000-0000-0000-000000000000}"/>
  <bookViews>
    <workbookView xWindow="-108" yWindow="-108" windowWidth="23256" windowHeight="12456" firstSheet="7" activeTab="8" xr2:uid="{00000000-000D-0000-FFFF-FFFF00000000}"/>
  </bookViews>
  <sheets>
    <sheet name="DS1" sheetId="1" r:id="rId1"/>
    <sheet name="DS2" sheetId="3" r:id="rId2"/>
    <sheet name="Merge_DS1_DS2" sheetId="2" r:id="rId3"/>
    <sheet name="Pivot Tables_MergeDS1DS2" sheetId="7" r:id="rId4"/>
    <sheet name="Charts_MergeDS1DS2" sheetId="5" r:id="rId5"/>
    <sheet name="DS3" sheetId="11" r:id="rId6"/>
    <sheet name="Append_MergeDS12_DS3" sheetId="15" r:id="rId7"/>
    <sheet name="Pivot Table_Append_MergeDS12_DS" sheetId="18" r:id="rId8"/>
    <sheet name="Executive_Dashboard_Final" sheetId="19" r:id="rId9"/>
    <sheet name="Consumer_Dashboard_Final" sheetId="20" r:id="rId10"/>
  </sheets>
  <definedNames>
    <definedName name="ExternalData_1" localSheetId="0" hidden="1">'DS1'!$A$1:$H$611</definedName>
    <definedName name="ExternalData_1" localSheetId="1" hidden="1">'DS2'!$A$1:$G$611</definedName>
    <definedName name="ExternalData_1" localSheetId="5" hidden="1">'DS3'!$A$1:$N$391</definedName>
    <definedName name="ExternalData_1" localSheetId="2" hidden="1">Merge_DS1_DS2!$A$1:$N$611</definedName>
    <definedName name="ExternalData_3" localSheetId="6" hidden="1">Append_MergeDS12_DS3!$A$1:$N$1001</definedName>
    <definedName name="NativeTimeline_Date">#N/A</definedName>
    <definedName name="Slicer_Weather_Condition">#N/A</definedName>
    <definedName name="Slicer_Weekday">#N/A</definedName>
  </definedNames>
  <calcPr calcId="191029"/>
  <pivotCaches>
    <pivotCache cacheId="0" r:id="rId11"/>
    <pivotCache cacheId="52"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X51" i="18" l="1"/>
  <c r="BX59" i="18"/>
  <c r="BX67" i="18"/>
  <c r="BX75" i="18"/>
  <c r="BX50" i="18"/>
  <c r="BX66" i="18"/>
  <c r="BX52" i="18"/>
  <c r="BX60" i="18"/>
  <c r="BX68" i="18"/>
  <c r="BX76" i="18"/>
  <c r="BX61" i="18"/>
  <c r="BX69" i="18"/>
  <c r="BX62" i="18"/>
  <c r="BX70" i="18"/>
  <c r="BX63" i="18"/>
  <c r="BX71" i="18"/>
  <c r="BX64" i="18"/>
  <c r="BX72" i="18"/>
  <c r="BX57" i="18"/>
  <c r="BX65" i="18"/>
  <c r="BX73" i="18"/>
  <c r="BX58" i="18"/>
  <c r="BX74" i="18"/>
  <c r="BX53" i="18"/>
  <c r="BX54" i="18"/>
  <c r="BX55" i="18"/>
  <c r="BX56" i="18"/>
  <c r="BX49" i="18"/>
  <c r="D76" i="18" l="1" a="1"/>
  <c r="D76" i="18" s="1"/>
  <c r="D66" i="18"/>
  <c r="D57" i="18"/>
  <c r="D48" i="18"/>
  <c r="D24" i="18"/>
  <c r="F48" i="18" l="1"/>
  <c r="F57"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tc={AABD65E1-077B-4DD8-A194-A233E9035213}</author>
    <author>tc={720B3C07-8DEE-428A-BA79-965EE11A1C71}</author>
    <author>tc={D9A0EE2B-4450-45EA-8AEE-D215D7DEA652}</author>
    <author>tc={D52B56DC-21A0-45C0-9C86-1692BFB94C6D}</author>
    <author>tc={15EE1A16-90E7-438E-A189-880E6A124794}</author>
  </authors>
  <commentList>
    <comment ref="A1" authorId="0" shapeId="0" xr:uid="{AABD65E1-077B-4DD8-A194-A233E9035213}">
      <text>
        <t xml:space="preserve">[Threaded comment]
Your version of Excel allows you to read this threaded comment; however, any edits to it will get removed if the file is opened in a newer version of Excel. Learn more: https://go.microsoft.com/fwlink/?linkid=870924
Comment:
    Unique record identifier for each observation. </t>
      </text>
    </comment>
    <comment ref="B1" authorId="1" shapeId="0" xr:uid="{720B3C07-8DEE-428A-BA79-965EE11A1C71}">
      <text>
        <t>[Threaded comment]
Your version of Excel allows you to read this threaded comment; however, any edits to it will get removed if the file is opened in a newer version of Excel. Learn more: https://go.microsoft.com/fwlink/?linkid=870924
Comment:
    Date on which Bike Rental is done.</t>
      </text>
    </comment>
    <comment ref="C1" authorId="2" shapeId="0" xr:uid="{D9A0EE2B-4450-45EA-8AEE-D215D7DEA652}">
      <text>
        <t>[Threaded comment]
Your version of Excel allows you to read this threaded comment; however, any edits to it will get removed if the file is opened in a newer version of Excel. Learn more: https://go.microsoft.com/fwlink/?linkid=870924
Comment:
    Time on which Bike Rental is taken place.</t>
      </text>
    </comment>
    <comment ref="D1" authorId="3" shapeId="0" xr:uid="{D52B56DC-21A0-45C0-9C86-1692BFB94C6D}">
      <text>
        <t xml:space="preserve">[Threaded comment]
Your version of Excel allows you to read this threaded comment; however, any edits to it will get removed if the file is opened in a newer version of Excel. Learn more: https://go.microsoft.com/fwlink/?linkid=870924
Comment:
    Season category:
1 = Spring 
2 = Summer 
3 = Autumn 
4 = Winter
</t>
      </text>
    </comment>
    <comment ref="G1" authorId="4" shapeId="0" xr:uid="{15EE1A16-90E7-438E-A189-880E6A124794}">
      <text>
        <t xml:space="preserve">[Threaded comment]
Your version of Excel allows you to read this threaded comment; however, any edits to it will get removed if the file is opened in a newer version of Excel. Learn more: https://go.microsoft.com/fwlink/?linkid=870924
Comment:
    Weather condition category:
1 = Clear/Good Weather 
2 = Mist/Cloudy 
3 = Light Rain or Snow 
4 = Heavy Rain/Storm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tc={C0236545-3405-4CA3-BB18-27089EF37ED3}</author>
    <author>tc={7EC525A4-C1F4-4905-8185-1C1A4FF74A06}</author>
    <author>tc={EE8E4568-CBD2-4FE6-91DE-61AC5D3E862A}</author>
    <author>tc={CF0D884B-63B0-47FC-BFC3-AC4EA6C5BA2E}</author>
  </authors>
  <commentList>
    <comment ref="A1" authorId="0" shapeId="0" xr:uid="{C0236545-3405-4CA3-BB18-27089EF37ED3}">
      <text>
        <t>[Threaded comment]
Your version of Excel allows you to read this threaded comment; however, any edits to it will get removed if the file is opened in a newer version of Excel. Learn more: https://go.microsoft.com/fwlink/?linkid=870924
Comment:
    Unique record identifier for each observation</t>
      </text>
    </comment>
    <comment ref="E1" authorId="1" shapeId="0" xr:uid="{7EC525A4-C1F4-4905-8185-1C1A4FF74A06}">
      <text>
        <t xml:space="preserve">[Threaded comment]
Your version of Excel allows you to read this threaded comment; however, any edits to it will get removed if the file is opened in a newer version of Excel. Learn more: https://go.microsoft.com/fwlink/?linkid=870924
Comment:
    Number of bikes rented by casual users 
These are people who rent bikes without long-term membership.
Examples:
Tourists 
One-time riders 
Occasional users
</t>
      </text>
    </comment>
    <comment ref="F1" authorId="2" shapeId="0" xr:uid="{EE8E4568-CBD2-4FE6-91DE-61AC5D3E862A}">
      <text>
        <t xml:space="preserve">[Threaded comment]
Your version of Excel allows you to read this threaded comment; however, any edits to it will get removed if the file is opened in a newer version of Excel. Learn more: https://go.microsoft.com/fwlink/?linkid=870924
Comment:
    Number of bikes rented by registered/subscribed users 
These are users who have:
subscriptions 
memberships 
accounts 
They are regular customers.
</t>
      </text>
    </comment>
    <comment ref="G1" authorId="3" shapeId="0" xr:uid="{CF0D884B-63B0-47FC-BFC3-AC4EA6C5BA2E}">
      <text>
        <t xml:space="preserve">[Threaded comment]
Your version of Excel allows you to read this threaded comment; however, any edits to it will get removed if the file is opened in a newer version of Excel. Learn more: https://go.microsoft.com/fwlink/?linkid=870924
Comment:
    cnt=casual+registered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tc={3EFC1A66-B7BD-4A9E-9ACC-E2F33452BE89}</author>
    <author>tc={9774CC1C-7AF3-4C52-8A9F-C62131F21499}</author>
    <author>tc={6B4C43B3-6184-4B99-8378-2DBA65E7B159}</author>
    <author>tc={FDBE5CD0-64FE-4BC8-A708-194D5092E036}</author>
    <author>tc={2A568A25-F4DE-438F-AC3D-CD7EE2043DA0}</author>
    <author>tc={F43A6D38-F06E-467B-9033-7DBE4D5B4C50}</author>
    <author>tc={3966585C-040B-48AF-ACA6-68DE2A7C85C9}</author>
    <author>tc={F5A8F30B-5E92-42B8-B77D-451C7090CCD4}</author>
  </authors>
  <commentList>
    <comment ref="A1" authorId="0" shapeId="0" xr:uid="{3EFC1A66-B7BD-4A9E-9ACC-E2F33452BE89}">
      <text>
        <t xml:space="preserve">[Threaded comment]
Your version of Excel allows you to read this threaded comment; however, any edits to it will get removed if the file is opened in a newer version of Excel. Learn more: https://go.microsoft.com/fwlink/?linkid=870924
Comment:
    Unique record identifier for each observation. </t>
      </text>
    </comment>
    <comment ref="B1" authorId="1" shapeId="0" xr:uid="{9774CC1C-7AF3-4C52-8A9F-C62131F21499}">
      <text>
        <t xml:space="preserve">[Threaded comment]
Your version of Excel allows you to read this threaded comment; however, any edits to it will get removed if the file is opened in a newer version of Excel. Learn more: https://go.microsoft.com/fwlink/?linkid=870924
Comment:
    Date on which the rental activity was recorded. </t>
      </text>
    </comment>
    <comment ref="C1" authorId="2" shapeId="0" xr:uid="{6B4C43B3-6184-4B99-8378-2DBA65E7B159}">
      <text>
        <t>[Threaded comment]
Your version of Excel allows you to read this threaded comment; however, any edits to it will get removed if the file is opened in a newer version of Excel. Learn more: https://go.microsoft.com/fwlink/?linkid=870924
Comment:
    Time on which Bike Rental is taken place.</t>
      </text>
    </comment>
    <comment ref="D1" authorId="3" shapeId="0" xr:uid="{FDBE5CD0-64FE-4BC8-A708-194D5092E036}">
      <text>
        <t xml:space="preserve">[Threaded comment]
Your version of Excel allows you to read this threaded comment; however, any edits to it will get removed if the file is opened in a newer version of Excel. Learn more: https://go.microsoft.com/fwlink/?linkid=870924
Comment:
    Season category:
1 = Spring 
2 = Summer 
3 = Autumn 
4 = Winter
</t>
      </text>
    </comment>
    <comment ref="G1" authorId="4" shapeId="0" xr:uid="{2A568A25-F4DE-438F-AC3D-CD7EE2043DA0}">
      <text>
        <t xml:space="preserve">[Threaded comment]
Your version of Excel allows you to read this threaded comment; however, any edits to it will get removed if the file is opened in a newer version of Excel. Learn more: https://go.microsoft.com/fwlink/?linkid=870924
Comment:
    Weather condition category:
1 = Clear/Good Weather 
2 = Mist/Cloudy 
3 = Light Rain or Snow 
4 = Heavy Rain/Storm
</t>
      </text>
    </comment>
    <comment ref="L1" authorId="5" shapeId="0" xr:uid="{F43A6D38-F06E-467B-9033-7DBE4D5B4C50}">
      <text>
        <t xml:space="preserve">[Threaded comment]
Your version of Excel allows you to read this threaded comment; however, any edits to it will get removed if the file is opened in a newer version of Excel. Learn more: https://go.microsoft.com/fwlink/?linkid=870924
Comment:
    Number of bikes rented by casual users 
These are people who rent bikes without long-term membership.
Examples:
Tourists 
One-time riders 
Occasional users
</t>
      </text>
    </comment>
    <comment ref="M1" authorId="6" shapeId="0" xr:uid="{3966585C-040B-48AF-ACA6-68DE2A7C85C9}">
      <text>
        <t xml:space="preserve">[Threaded comment]
Your version of Excel allows you to read this threaded comment; however, any edits to it will get removed if the file is opened in a newer version of Excel. Learn more: https://go.microsoft.com/fwlink/?linkid=870924
Comment:
    Number of bikes rented by registered/subscribed users 
These are users who have:
subscriptions 
memberships 
accounts 
They are regular customers.
</t>
      </text>
    </comment>
    <comment ref="N1" authorId="7" shapeId="0" xr:uid="{F5A8F30B-5E92-42B8-B77D-451C7090CCD4}">
      <text>
        <t xml:space="preserve">[Threaded comment]
Your version of Excel allows you to read this threaded comment; however, any edits to it will get removed if the file is opened in a newer version of Excel. Learn more: https://go.microsoft.com/fwlink/?linkid=870924
Comment:
    cnt=casual+registered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tc={7C9FCC68-F1C4-4807-8CEB-7BF16949BAF7}</author>
    <author>tc={618A102D-3D20-4B6B-B118-CDC8EA427E63}</author>
    <author>tc={58D900D5-7365-4F51-8275-F39A32A4F164}</author>
    <author>tc={D309E3D9-8729-4EF3-AA12-A323F78BDA9F}</author>
    <author>tc={AA731894-E52D-407C-A834-4A5F7943E61A}</author>
    <author>tc={E15C8B44-552B-49CF-966E-8BBCFD9563A7}</author>
    <author>tc={16310CD7-C59D-436D-AE6B-2D41E8BBA462}</author>
    <author>tc={5D847884-24ED-4053-B4D6-F9798E4A1EE7}</author>
  </authors>
  <commentList>
    <comment ref="A1" authorId="0" shapeId="0" xr:uid="{7C9FCC68-F1C4-4807-8CEB-7BF16949BAF7}">
      <text>
        <t xml:space="preserve">[Threaded comment]
Your version of Excel allows you to read this threaded comment; however, any edits to it will get removed if the file is opened in a newer version of Excel. Learn more: https://go.microsoft.com/fwlink/?linkid=870924
Comment:
    Unique record identifier for each observation. </t>
      </text>
    </comment>
    <comment ref="B1" authorId="1" shapeId="0" xr:uid="{618A102D-3D20-4B6B-B118-CDC8EA427E63}">
      <text>
        <t xml:space="preserve">[Threaded comment]
Your version of Excel allows you to read this threaded comment; however, any edits to it will get removed if the file is opened in a newer version of Excel. Learn more: https://go.microsoft.com/fwlink/?linkid=870924
Comment:
    Date on which Bike Rental is done.
</t>
      </text>
    </comment>
    <comment ref="C1" authorId="2" shapeId="0" xr:uid="{58D900D5-7365-4F51-8275-F39A32A4F164}">
      <text>
        <t>[Threaded comment]
Your version of Excel allows you to read this threaded comment; however, any edits to it will get removed if the file is opened in a newer version of Excel. Learn more: https://go.microsoft.com/fwlink/?linkid=870924
Comment:
    Time on which Bike Rental is taken place.</t>
      </text>
    </comment>
    <comment ref="D1" authorId="3" shapeId="0" xr:uid="{D309E3D9-8729-4EF3-AA12-A323F78BDA9F}">
      <text>
        <t xml:space="preserve">[Threaded comment]
Your version of Excel allows you to read this threaded comment; however, any edits to it will get removed if the file is opened in a newer version of Excel. Learn more: https://go.microsoft.com/fwlink/?linkid=870924
Comment:
    Season category:
1 = Spring 
2 = Summer 
3 = Autumn 
4 = Winter
</t>
      </text>
    </comment>
    <comment ref="G1" authorId="4" shapeId="0" xr:uid="{AA731894-E52D-407C-A834-4A5F7943E61A}">
      <text>
        <t xml:space="preserve">[Threaded comment]
Your version of Excel allows you to read this threaded comment; however, any edits to it will get removed if the file is opened in a newer version of Excel. Learn more: https://go.microsoft.com/fwlink/?linkid=870924
Comment:
    Weather condition category:
1 = Clear/Good Weather 
2 = Mist/Cloudy 
3 = Light Rain or Snow 
4 = Heavy Rain/Storm
</t>
      </text>
    </comment>
    <comment ref="L1" authorId="5" shapeId="0" xr:uid="{E15C8B44-552B-49CF-966E-8BBCFD9563A7}">
      <text>
        <t xml:space="preserve">[Threaded comment]
Your version of Excel allows you to read this threaded comment; however, any edits to it will get removed if the file is opened in a newer version of Excel. Learn more: https://go.microsoft.com/fwlink/?linkid=870924
Comment:
    Number of bikes rented by casual users 
These are people who rent bikes without long-term membership.
Examples:
Tourists 
One-time riders 
Occasional users
</t>
      </text>
    </comment>
    <comment ref="M1" authorId="6" shapeId="0" xr:uid="{16310CD7-C59D-436D-AE6B-2D41E8BBA462}">
      <text>
        <t xml:space="preserve">[Threaded comment]
Your version of Excel allows you to read this threaded comment; however, any edits to it will get removed if the file is opened in a newer version of Excel. Learn more: https://go.microsoft.com/fwlink/?linkid=870924
Comment:
    Number of bikes rented by registered/subscribed users 
These are users who have:
subscriptions 
memberships 
accounts 
They are regular customers.
</t>
      </text>
    </comment>
    <comment ref="N1" authorId="7" shapeId="0" xr:uid="{5D847884-24ED-4053-B4D6-F9798E4A1EE7}">
      <text>
        <t xml:space="preserve">[Threaded comment]
Your version of Excel allows you to read this threaded comment; however, any edits to it will get removed if the file is opened in a newer version of Excel. Learn more: https://go.microsoft.com/fwlink/?linkid=870924
Comment:
    cnt=casual+registered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BB5CC4-DA75-40A1-BCD1-37135BC502E5}" keepAlive="1" name="Query - Append_MergeDS12_DS3" description="Connection to the 'Append_MergeDS12_DS3' query in the workbook." type="5" refreshedVersion="8" background="1" saveData="1">
    <dbPr connection="Provider=Microsoft.Mashup.OleDb.1;Data Source=$Workbook$;Location=Append_MergeDS12_DS3;Extended Properties=&quot;&quot;" command="SELECT * FROM [Append_MergeDS12_DS3]"/>
  </connection>
  <connection id="2" xr16:uid="{C523EE4A-A057-4CE2-8F19-FED7CCBEFB43}"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3" xr16:uid="{0F8D2423-CB47-429B-8553-91D32B20B67C}" keepAlive="1" name="Query - Merge_DS1_DS21" description="Connection to the 'Merge_DS1_DS21' query in the workbook." type="5" refreshedVersion="0" background="1">
    <dbPr connection="Provider=Microsoft.Mashup.OleDb.1;Data Source=$Workbook$;Location=Merge_DS1_DS21;Extended Properties=&quot;&quot;" command="SELECT * FROM [Merge_DS1_DS2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<sst xmlns="http://schemas.openxmlformats.org/spreadsheetml/2006/main" count="10566" uniqueCount="38">
  <si>
    <t>Instant</t>
  </si>
  <si>
    <t>Date</t>
  </si>
  <si>
    <t>Season</t>
  </si>
  <si>
    <t>Holiday</t>
  </si>
  <si>
    <t>Weekday</t>
  </si>
  <si>
    <t>Weather Condition</t>
  </si>
  <si>
    <t>Temperature</t>
  </si>
  <si>
    <t>Time</t>
  </si>
  <si>
    <t>Spring</t>
  </si>
  <si>
    <t>No</t>
  </si>
  <si>
    <t>Yes</t>
  </si>
  <si>
    <t>Friday</t>
  </si>
  <si>
    <t>Saturday</t>
  </si>
  <si>
    <t>Sunday</t>
  </si>
  <si>
    <t>Monday</t>
  </si>
  <si>
    <t>Tuesday</t>
  </si>
  <si>
    <t>Wednesday</t>
  </si>
  <si>
    <t>Thrusday</t>
  </si>
  <si>
    <t>Clear or Good Weather</t>
  </si>
  <si>
    <t>Mist or Cloudy Weather</t>
  </si>
  <si>
    <t>Light Rain or Snow</t>
  </si>
  <si>
    <t>Heavy Rain or Strom</t>
  </si>
  <si>
    <t>Assumed Temperature</t>
  </si>
  <si>
    <t>Humidity</t>
  </si>
  <si>
    <t>Windspeed</t>
  </si>
  <si>
    <t>Casual</t>
  </si>
  <si>
    <t>Registered</t>
  </si>
  <si>
    <t>Casual and Registered</t>
  </si>
  <si>
    <t>Row Labels</t>
  </si>
  <si>
    <t>Grand Total</t>
  </si>
  <si>
    <t>Sum of Casual and Registered</t>
  </si>
  <si>
    <t>Sum of Registered</t>
  </si>
  <si>
    <t>Sum of Casual</t>
  </si>
  <si>
    <t>Values</t>
  </si>
  <si>
    <t>Average of Casual and Registered</t>
  </si>
  <si>
    <t xml:space="preserve"> Registered</t>
  </si>
  <si>
    <t xml:space="preserve"> Casual</t>
  </si>
  <si>
    <r>
      <rPr>
        <b/>
        <sz val="12"/>
        <color theme="1"/>
        <rFont val="Calibri"/>
        <family val="2"/>
        <scheme val="minor"/>
      </rPr>
      <t xml:space="preserve">  Total Rentals</t>
    </r>
    <r>
      <rPr>
        <b/>
        <sz val="11"/>
        <color theme="1"/>
        <rFont val="Calibri"/>
        <family val="2"/>
        <scheme val="minor"/>
      </rPr>
      <t xml:space="preserve">
</t>
    </r>
    <r>
      <rPr>
        <b/>
        <sz val="24"/>
        <color theme="1"/>
        <rFont val="Calibri"/>
        <family val="2"/>
        <scheme val="minor"/>
      </rPr>
      <t xml:space="preserve"> 58,304 </t>
    </r>
    <r>
      <rPr>
        <b/>
        <sz val="11"/>
        <color theme="1"/>
        <rFont val="Calibri"/>
        <family val="2"/>
        <scheme val="minor"/>
      </rPr>
      <t xml:space="preserve">
</t>
    </r>
    <r>
      <rPr>
        <sz val="12"/>
        <color theme="1"/>
        <rFont val="Calibri"/>
        <family val="2"/>
        <scheme val="minor"/>
      </rPr>
      <t xml:space="preserve">    Total Bike Rentals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</si>
</sst>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10409]hh:mm\ AM/PM;@"/>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4"/>
      <color theme="1"/>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6FA"/>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0" fontId="0" fillId="0" borderId="0" xfId="0" applyNumberFormat="1"/>
    <xf numFmtId="2" fontId="0" fillId="0" borderId="0" xfId="0" applyNumberFormat="1"/>
    <xf numFmtId="164" fontId="0" fillId="0" borderId="0" xfId="0" applyNumberFormat="1"/>
    <xf numFmtId="14" fontId="0" fillId="0" borderId="0" xfId="0" applyNumberFormat="1"/>
    <xf numFmtId="165" fontId="0" fillId="0" borderId="0" xfId="0" applyNumberFormat="1"/>
    <xf numFmtId="0" fontId="0" fillId="33" borderId="0" xfId="0" applyFill="1"/>
    <xf numFmtId="1" fontId="0" fillId="0" borderId="0" xfId="0" applyNumberFormat="1"/>
    <xf numFmtId="0" fontId="0" fillId="0" borderId="0" xfId="0" applyAlignment="1">
      <alignment wrapText="1"/>
    </xf>
    <xf numFmtId="0" fontId="0" fillId="0" borderId="0" xfId="0"/>
    <xf numFmtId="0" fontId="0" fillId="0" borderId="0" xfId="0" pivotButton="1"/>
    <xf numFmtId="0" fontId="0" fillId="0" borderId="0" xfId="0" applyAlignment="1">
      <alignment horizontal="left"/>
    </xf>
    <xf numFmtId="0" fontId="0" fillId="0" borderId="0" xfId="0" applyNumberFormat="1"/>
    <xf numFmtId="9" fontId="0" fillId="0" borderId="0" xfId="0" applyNumberFormat="1" applyAlignment="1">
      <alignment horizontal="left"/>
    </xf>
    <xf numFmtId="14" fontId="0" fillId="0" borderId="0" xfId="0" applyNumberFormat="1" applyAlignment="1">
      <alignment horizontal="left"/>
    </xf>
    <xf numFmtId="0" fontId="0" fillId="34" borderId="0" xfId="0" applyFill="1"/>
    <xf numFmtId="165" fontId="0" fillId="0" borderId="0" xfId="0" pivotButton="1" applyNumberFormat="1"/>
    <xf numFmtId="165"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3">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165" formatCode="[$-10409]hh:mm\ AM/PM;@"/>
    </dxf>
    <dxf>
      <numFmt numFmtId="165" formatCode="[$-10409]hh:mm\ AM/PM;@"/>
    </dxf>
    <dxf>
      <numFmt numFmtId="165" formatCode="[$-10409]hh:mm\ AM/PM;@"/>
    </dxf>
    <dxf>
      <numFmt numFmtId="2" formatCode="0.00"/>
    </dxf>
    <dxf>
      <numFmt numFmtId="2" formatCode="0.00"/>
    </dxf>
    <dxf>
      <numFmt numFmtId="2" formatCode="0.00"/>
    </dxf>
    <dxf>
      <numFmt numFmtId="2" formatCode="0.00"/>
    </dxf>
    <dxf>
      <numFmt numFmtId="165" formatCode="[$-10409]hh:mm\ AM/PM;@"/>
    </dxf>
    <dxf>
      <numFmt numFmtId="165" formatCode="[$-10409]hh:mm\ AM/PM;@"/>
    </dxf>
    <dxf>
      <numFmt numFmtId="165" formatCode="[$-10409]hh:mm\ AM/PM;@"/>
    </dxf>
    <dxf>
      <numFmt numFmtId="164" formatCode="0.0000"/>
    </dxf>
    <dxf>
      <numFmt numFmtId="165" formatCode="[$-10409]hh:mm\ AM/PM;@"/>
    </dxf>
    <dxf>
      <numFmt numFmtId="19" formatCode="dd/mm/yyyy"/>
    </dxf>
  </dxfs>
  <tableStyles count="0" defaultTableStyle="TableStyleMedium2" defaultPivotStyle="PivotStyleLight16"/>
  <colors>
    <mruColors>
      <color rgb="FF16A085"/>
      <color rgb="FFFF3399"/>
      <color rgb="FFF5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Tables_MergeDS1DS2!PivotTable1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Datewise Total Rental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Tables_MergeDS1DS2'!$B$3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cat>
            <c:strRef>
              <c:f>'Pivot Tables_MergeDS1DS2'!$A$4:$A$32</c:f>
              <c:strCache>
                <c:ptCount val="28"/>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strCache>
            </c:strRef>
          </c:cat>
          <c:val>
            <c:numRef>
              <c:f>'Pivot Tables_MergeDS1DS2'!$B$4:$B$32</c:f>
              <c:numCache>
                <c:formatCode>General</c:formatCode>
                <c:ptCount val="28"/>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571</c:v>
                </c:pt>
              </c:numCache>
            </c:numRef>
          </c:val>
          <c:smooth val="0"/>
          <c:extLst>
            <c:ext xmlns:c16="http://schemas.microsoft.com/office/drawing/2014/chart" uri="{C3380CC4-5D6E-409C-BE32-E72D297353CC}">
              <c16:uniqueId val="{00000000-C157-45BE-B427-645AF37AE600}"/>
            </c:ext>
          </c:extLst>
        </c:ser>
        <c:dLbls>
          <c:showLegendKey val="0"/>
          <c:showVal val="0"/>
          <c:showCatName val="0"/>
          <c:showSerName val="0"/>
          <c:showPercent val="0"/>
          <c:showBubbleSize val="0"/>
        </c:dLbls>
        <c:marker val="1"/>
        <c:smooth val="0"/>
        <c:axId val="1073034975"/>
        <c:axId val="1073028735"/>
      </c:lineChart>
      <c:catAx>
        <c:axId val="107303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28735"/>
        <c:crosses val="autoZero"/>
        <c:auto val="1"/>
        <c:lblAlgn val="ctr"/>
        <c:lblOffset val="100"/>
        <c:noMultiLvlLbl val="0"/>
      </c:catAx>
      <c:valAx>
        <c:axId val="1073028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3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 Rental Project.xlsx]Pivot Tables_MergeDS1DS2!PivotTable2</c:name>
    <c:fmtId val="9"/>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Timewise Total Rentals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42660596628962"/>
          <c:y val="0.15362838915470498"/>
          <c:w val="0.88236600141963384"/>
          <c:h val="0.6454018008514486"/>
        </c:manualLayout>
      </c:layout>
      <c:barChart>
        <c:barDir val="col"/>
        <c:grouping val="clustered"/>
        <c:varyColors val="0"/>
        <c:ser>
          <c:idx val="0"/>
          <c:order val="0"/>
          <c:tx>
            <c:strRef>
              <c:f>'Pivot Tables_MergeDS1DS2'!$E$3</c:f>
              <c:strCache>
                <c:ptCount val="1"/>
                <c:pt idx="0">
                  <c:v>Total</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Tables_MergeDS1DS2'!$D$4:$D$28</c:f>
              <c:strCache>
                <c:ptCount val="24"/>
                <c:pt idx="0">
                  <c:v>12:00:00 AM</c:v>
                </c:pt>
                <c:pt idx="1">
                  <c:v>01:00:00 AM</c:v>
                </c:pt>
                <c:pt idx="2">
                  <c:v>02:00:00 AM</c:v>
                </c:pt>
                <c:pt idx="3">
                  <c:v>03:00:00 AM</c:v>
                </c:pt>
                <c:pt idx="4">
                  <c:v>04:00:00 AM</c:v>
                </c:pt>
                <c:pt idx="5">
                  <c:v>05:00:00 AM</c:v>
                </c:pt>
                <c:pt idx="6">
                  <c:v>06:00:00 AM</c:v>
                </c:pt>
                <c:pt idx="7">
                  <c:v>07:00:00 AM</c:v>
                </c:pt>
                <c:pt idx="8">
                  <c:v>08:00:00 AM</c:v>
                </c:pt>
                <c:pt idx="9">
                  <c:v>09:00:00 AM</c:v>
                </c:pt>
                <c:pt idx="10">
                  <c:v>10:00:00 AM</c:v>
                </c:pt>
                <c:pt idx="11">
                  <c:v>11:00:00 AM</c:v>
                </c:pt>
                <c:pt idx="12">
                  <c:v>12:00:00 PM</c:v>
                </c:pt>
                <c:pt idx="13">
                  <c:v>01:00:00 PM</c:v>
                </c:pt>
                <c:pt idx="14">
                  <c:v>02:00:00 PM</c:v>
                </c:pt>
                <c:pt idx="15">
                  <c:v>03:00:00 PM</c:v>
                </c:pt>
                <c:pt idx="16">
                  <c:v>04:00:00 PM</c:v>
                </c:pt>
                <c:pt idx="17">
                  <c:v>05:00:00 PM</c:v>
                </c:pt>
                <c:pt idx="18">
                  <c:v>06:00:00 PM</c:v>
                </c:pt>
                <c:pt idx="19">
                  <c:v>07:00:00 PM</c:v>
                </c:pt>
                <c:pt idx="20">
                  <c:v>08:00:00 PM</c:v>
                </c:pt>
                <c:pt idx="21">
                  <c:v>09:00:00 PM</c:v>
                </c:pt>
                <c:pt idx="22">
                  <c:v>10:00:00 PM</c:v>
                </c:pt>
                <c:pt idx="23">
                  <c:v>11:00:00 PM</c:v>
                </c:pt>
              </c:strCache>
            </c:strRef>
          </c:cat>
          <c:val>
            <c:numRef>
              <c:f>'Pivot Tables_MergeDS1DS2'!$E$4:$E$28</c:f>
              <c:numCache>
                <c:formatCode>General</c:formatCode>
                <c:ptCount val="24"/>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Cache>
            </c:numRef>
          </c:val>
          <c:extLst>
            <c:ext xmlns:c16="http://schemas.microsoft.com/office/drawing/2014/chart" uri="{C3380CC4-5D6E-409C-BE32-E72D297353CC}">
              <c16:uniqueId val="{00000000-8CE2-4EB7-94B5-4254462F4BA9}"/>
            </c:ext>
          </c:extLst>
        </c:ser>
        <c:dLbls>
          <c:showLegendKey val="0"/>
          <c:showVal val="0"/>
          <c:showCatName val="0"/>
          <c:showSerName val="0"/>
          <c:showPercent val="0"/>
          <c:showBubbleSize val="0"/>
        </c:dLbls>
        <c:gapWidth val="80"/>
        <c:overlap val="25"/>
        <c:axId val="96534831"/>
        <c:axId val="96534351"/>
      </c:barChart>
      <c:catAx>
        <c:axId val="9653483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6534351"/>
        <c:crosses val="autoZero"/>
        <c:auto val="1"/>
        <c:lblAlgn val="ctr"/>
        <c:lblOffset val="100"/>
        <c:noMultiLvlLbl val="0"/>
      </c:catAx>
      <c:valAx>
        <c:axId val="9653435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653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Tables_MergeDS1DS2!PivotTable5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Casual</a:t>
            </a:r>
            <a:r>
              <a:rPr lang="en-US" baseline="0"/>
              <a:t> v/s Registered Rentals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367816091954014"/>
              <c:y val="6.603773584905660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820512820512819"/>
              <c:y val="-7.2327044025157231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Tables_MergeDS1DS2'!$H$3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9B-45CC-95E9-F4BFA91A5F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9B-45CC-95E9-F4BFA91A5FF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Tables_MergeDS1DS2'!$G$4:$G$5</c:f>
              <c:strCache>
                <c:ptCount val="2"/>
                <c:pt idx="0">
                  <c:v>Sum of Registered</c:v>
                </c:pt>
                <c:pt idx="1">
                  <c:v>Sum of Casual</c:v>
                </c:pt>
              </c:strCache>
            </c:strRef>
          </c:cat>
          <c:val>
            <c:numRef>
              <c:f>'Pivot Tables_MergeDS1DS2'!$H$4:$H$5</c:f>
              <c:numCache>
                <c:formatCode>General</c:formatCode>
                <c:ptCount val="2"/>
                <c:pt idx="0">
                  <c:v>31152</c:v>
                </c:pt>
                <c:pt idx="1">
                  <c:v>2746</c:v>
                </c:pt>
              </c:numCache>
            </c:numRef>
          </c:val>
          <c:extLst>
            <c:ext xmlns:c16="http://schemas.microsoft.com/office/drawing/2014/chart" uri="{C3380CC4-5D6E-409C-BE32-E72D297353CC}">
              <c16:uniqueId val="{00000005-5BFD-4C58-899F-999230CB6A4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Tables_MergeDS1DS2!PivotTable7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Weekdaywise Rentals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Tables_MergeDS1DS2'!$L$3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Tables_MergeDS1DS2'!$K$4:$K$11</c:f>
              <c:strCache>
                <c:ptCount val="7"/>
                <c:pt idx="0">
                  <c:v>Monday</c:v>
                </c:pt>
                <c:pt idx="1">
                  <c:v>Tuesday</c:v>
                </c:pt>
                <c:pt idx="2">
                  <c:v>Wednesday</c:v>
                </c:pt>
                <c:pt idx="3">
                  <c:v>Friday</c:v>
                </c:pt>
                <c:pt idx="4">
                  <c:v>Saturday</c:v>
                </c:pt>
                <c:pt idx="5">
                  <c:v>Sunday</c:v>
                </c:pt>
                <c:pt idx="6">
                  <c:v>Thrusday</c:v>
                </c:pt>
              </c:strCache>
            </c:strRef>
          </c:cat>
          <c:val>
            <c:numRef>
              <c:f>'Pivot Tables_MergeDS1DS2'!$L$4:$L$11</c:f>
              <c:numCache>
                <c:formatCode>General</c:formatCode>
                <c:ptCount val="7"/>
                <c:pt idx="0">
                  <c:v>5493</c:v>
                </c:pt>
                <c:pt idx="1">
                  <c:v>4918</c:v>
                </c:pt>
                <c:pt idx="2">
                  <c:v>5370</c:v>
                </c:pt>
                <c:pt idx="3">
                  <c:v>4173</c:v>
                </c:pt>
                <c:pt idx="4">
                  <c:v>3813</c:v>
                </c:pt>
                <c:pt idx="5">
                  <c:v>5086</c:v>
                </c:pt>
                <c:pt idx="6">
                  <c:v>5045</c:v>
                </c:pt>
              </c:numCache>
            </c:numRef>
          </c:val>
          <c:extLst>
            <c:ext xmlns:c16="http://schemas.microsoft.com/office/drawing/2014/chart" uri="{C3380CC4-5D6E-409C-BE32-E72D297353CC}">
              <c16:uniqueId val="{00000000-DBAD-49CE-B3DC-05D47147C122}"/>
            </c:ext>
          </c:extLst>
        </c:ser>
        <c:dLbls>
          <c:dLblPos val="outEnd"/>
          <c:showLegendKey val="0"/>
          <c:showVal val="1"/>
          <c:showCatName val="0"/>
          <c:showSerName val="0"/>
          <c:showPercent val="0"/>
          <c:showBubbleSize val="0"/>
        </c:dLbls>
        <c:gapWidth val="219"/>
        <c:overlap val="-27"/>
        <c:axId val="570477807"/>
        <c:axId val="570477327"/>
      </c:barChart>
      <c:catAx>
        <c:axId val="57047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77327"/>
        <c:crosses val="autoZero"/>
        <c:auto val="1"/>
        <c:lblAlgn val="ctr"/>
        <c:lblOffset val="100"/>
        <c:noMultiLvlLbl val="0"/>
      </c:catAx>
      <c:valAx>
        <c:axId val="57047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7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Tables_MergeDS1DS2!PivotTable4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Weather</a:t>
            </a:r>
            <a:r>
              <a:rPr lang="en-US" baseline="0"/>
              <a:t> Condition Wise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Tables_MergeDS1DS2'!$O$3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Tables_MergeDS1DS2'!$N$4:$N$8</c:f>
              <c:strCache>
                <c:ptCount val="4"/>
                <c:pt idx="0">
                  <c:v>Clear or Good Weather</c:v>
                </c:pt>
                <c:pt idx="1">
                  <c:v>Heavy Rain or Strom</c:v>
                </c:pt>
                <c:pt idx="2">
                  <c:v>Light Rain or Snow</c:v>
                </c:pt>
                <c:pt idx="3">
                  <c:v>Mist or Cloudy Weather</c:v>
                </c:pt>
              </c:strCache>
            </c:strRef>
          </c:cat>
          <c:val>
            <c:numRef>
              <c:f>'Pivot Tables_MergeDS1DS2'!$O$4:$O$8</c:f>
              <c:numCache>
                <c:formatCode>General</c:formatCode>
                <c:ptCount val="4"/>
                <c:pt idx="0">
                  <c:v>59.709239130434781</c:v>
                </c:pt>
                <c:pt idx="1">
                  <c:v>36</c:v>
                </c:pt>
                <c:pt idx="2">
                  <c:v>31.127659574468087</c:v>
                </c:pt>
                <c:pt idx="3">
                  <c:v>53.742268041237111</c:v>
                </c:pt>
              </c:numCache>
            </c:numRef>
          </c:val>
          <c:extLst>
            <c:ext xmlns:c16="http://schemas.microsoft.com/office/drawing/2014/chart" uri="{C3380CC4-5D6E-409C-BE32-E72D297353CC}">
              <c16:uniqueId val="{00000000-A06C-4CF4-AD07-02AFE28E28FA}"/>
            </c:ext>
          </c:extLst>
        </c:ser>
        <c:dLbls>
          <c:dLblPos val="outEnd"/>
          <c:showLegendKey val="0"/>
          <c:showVal val="1"/>
          <c:showCatName val="0"/>
          <c:showSerName val="0"/>
          <c:showPercent val="0"/>
          <c:showBubbleSize val="0"/>
        </c:dLbls>
        <c:gapWidth val="219"/>
        <c:overlap val="-27"/>
        <c:axId val="661412783"/>
        <c:axId val="661413263"/>
      </c:barChart>
      <c:catAx>
        <c:axId val="66141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413263"/>
        <c:crosses val="autoZero"/>
        <c:auto val="1"/>
        <c:lblAlgn val="ctr"/>
        <c:lblOffset val="100"/>
        <c:noMultiLvlLbl val="0"/>
      </c:catAx>
      <c:valAx>
        <c:axId val="66141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41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Rentals Trend Over Time</a:t>
            </a:r>
          </a:p>
        </c:rich>
      </c:tx>
      <c:layout>
        <c:manualLayout>
          <c:xMode val="edge"/>
          <c:yMode val="edge"/>
          <c:x val="0.12140966754155731"/>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1750" cap="rnd">
            <a:solidFill>
              <a:schemeClr val="accent1"/>
            </a:solidFill>
            <a:round/>
          </a:ln>
          <a:effectLst>
            <a:outerShdw blurRad="38100" dist="38100" dir="4800000" algn="t" rotWithShape="0">
              <a:srgbClr val="00B0F0">
                <a:alpha val="40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Table_Append_MergeDS12_DS'!$B$3</c:f>
              <c:strCache>
                <c:ptCount val="1"/>
                <c:pt idx="0">
                  <c:v>Total</c:v>
                </c:pt>
              </c:strCache>
            </c:strRef>
          </c:tx>
          <c:spPr>
            <a:ln w="31750" cap="rnd">
              <a:solidFill>
                <a:schemeClr val="accent1"/>
              </a:solidFill>
              <a:round/>
            </a:ln>
            <a:effectLst>
              <a:outerShdw blurRad="38100" dist="38100" dir="4800000" algn="t" rotWithShape="0">
                <a:srgbClr val="00B0F0">
                  <a:alpha val="40000"/>
                </a:srgbClr>
              </a:outerShdw>
              <a:softEdge rad="0"/>
            </a:effectLst>
          </c:spPr>
          <c:marker>
            <c:symbol val="none"/>
          </c:marker>
          <c:cat>
            <c:strRef>
              <c:f>'Pivot Table_Append_MergeDS12_DS'!$A$4:$A$49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Table_Append_MergeDS12_DS'!$B$4:$B$49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20E1-4467-80A3-B216E5B45003}"/>
            </c:ext>
          </c:extLst>
        </c:ser>
        <c:dLbls>
          <c:showLegendKey val="0"/>
          <c:showVal val="0"/>
          <c:showCatName val="0"/>
          <c:showSerName val="0"/>
          <c:showPercent val="0"/>
          <c:showBubbleSize val="0"/>
        </c:dLbls>
        <c:smooth val="0"/>
        <c:axId val="1058931855"/>
        <c:axId val="1058929455"/>
      </c:lineChart>
      <c:catAx>
        <c:axId val="105893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29455"/>
        <c:crosses val="autoZero"/>
        <c:auto val="1"/>
        <c:lblAlgn val="ctr"/>
        <c:lblOffset val="100"/>
        <c:noMultiLvlLbl val="0"/>
      </c:catAx>
      <c:valAx>
        <c:axId val="10589294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3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Table_Append_MergeDS12_DS!PivotTable2</c:name>
    <c:fmtId val="5"/>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Casual Vs Registered</a:t>
            </a:r>
          </a:p>
        </c:rich>
      </c:tx>
      <c:layout>
        <c:manualLayout>
          <c:xMode val="edge"/>
          <c:yMode val="edge"/>
          <c:x val="0.21873732849262106"/>
          <c:y val="0"/>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
        <c:idx val="1"/>
        <c:spPr>
          <a:solidFill>
            <a:srgbClr val="00B050"/>
          </a:solidFill>
          <a:ln w="19050">
            <a:solidFill>
              <a:schemeClr val="lt1"/>
            </a:solidFill>
          </a:ln>
          <a:effectLst/>
        </c:spPr>
        <c:dLbl>
          <c:idx val="0"/>
          <c:layout>
            <c:manualLayout>
              <c:x val="0.25869913715875337"/>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9589168120452011"/>
              <c:y val="-8.333333333333332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'Pivot Table_Append_MergeDS12_DS'!$P$3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2-3F40-442F-836C-9543FE5B27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40-442F-836C-9543FE5B27E9}"/>
              </c:ext>
            </c:extLst>
          </c:dPt>
          <c:dLbls>
            <c:dLbl>
              <c:idx val="0"/>
              <c:layout>
                <c:manualLayout>
                  <c:x val="0.25869913715875337"/>
                  <c:y val="9.2592592592592587E-3"/>
                </c:manualLayout>
              </c:layout>
              <c:showLegendKey val="1"/>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3F40-442F-836C-9543FE5B27E9}"/>
                </c:ext>
              </c:extLst>
            </c:dLbl>
            <c:dLbl>
              <c:idx val="1"/>
              <c:layout>
                <c:manualLayout>
                  <c:x val="-0.19589168120452011"/>
                  <c:y val="-8.333333333333332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3F40-442F-836C-9543FE5B27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showLeaderLines val="0"/>
            <c:extLst>
              <c:ext xmlns:c15="http://schemas.microsoft.com/office/drawing/2012/chart" uri="{CE6537A1-D6FC-4f65-9D91-7224C49458BB}"/>
            </c:extLst>
          </c:dLbls>
          <c:cat>
            <c:strRef>
              <c:f>'Pivot Table_Append_MergeDS12_DS'!$O$4:$O$5</c:f>
              <c:strCache>
                <c:ptCount val="2"/>
                <c:pt idx="0">
                  <c:v> Registered</c:v>
                </c:pt>
                <c:pt idx="1">
                  <c:v> Casual</c:v>
                </c:pt>
              </c:strCache>
            </c:strRef>
          </c:cat>
          <c:val>
            <c:numRef>
              <c:f>'Pivot Table_Append_MergeDS12_DS'!$P$4:$P$5</c:f>
              <c:numCache>
                <c:formatCode>General</c:formatCode>
                <c:ptCount val="2"/>
                <c:pt idx="0">
                  <c:v>53383</c:v>
                </c:pt>
                <c:pt idx="1">
                  <c:v>4921</c:v>
                </c:pt>
              </c:numCache>
            </c:numRef>
          </c:val>
          <c:extLst>
            <c:ext xmlns:c16="http://schemas.microsoft.com/office/drawing/2014/chart" uri="{C3380CC4-5D6E-409C-BE32-E72D297353CC}">
              <c16:uniqueId val="{00000000-3F40-442F-836C-9543FE5B27E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Table_Append_MergeDS12_DS!PivotTable1</c:name>
    <c:fmtId val="6"/>
  </c:pivotSource>
  <c:chart>
    <c:title>
      <c:tx>
        <c:rich>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r>
              <a:rPr lang="en-US" b="1"/>
              <a:t>Rentals Trend Over Time</a:t>
            </a:r>
          </a:p>
        </c:rich>
      </c:tx>
      <c:layout>
        <c:manualLayout>
          <c:xMode val="edge"/>
          <c:yMode val="edge"/>
          <c:x val="7.4763779527559041E-2"/>
          <c:y val="2.7777777777777776E-2"/>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100000">
                <a:schemeClr val="accent1">
                  <a:lumMod val="5000"/>
                  <a:lumOff val="95000"/>
                </a:schemeClr>
              </a:gs>
              <a:gs pos="57000">
                <a:schemeClr val="accent1">
                  <a:lumMod val="45000"/>
                  <a:lumOff val="55000"/>
                </a:schemeClr>
              </a:gs>
              <a:gs pos="58000">
                <a:schemeClr val="accent1">
                  <a:lumMod val="45000"/>
                  <a:lumOff val="55000"/>
                </a:schemeClr>
              </a:gs>
              <a:gs pos="19000">
                <a:srgbClr val="97DDF8"/>
              </a:gs>
              <a:gs pos="0">
                <a:srgbClr val="00B0F0"/>
              </a:gs>
            </a:gsLst>
            <a:lin ang="5400000" scaled="1"/>
            <a:tileRect/>
          </a:gradFill>
          <a:ln w="31750">
            <a:gradFill>
              <a:gsLst>
                <a:gs pos="0">
                  <a:srgbClr val="002060"/>
                </a:gs>
                <a:gs pos="100000">
                  <a:srgbClr val="C6DCF0"/>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Table_Append_MergeDS12_DS'!$B$3</c:f>
              <c:strCache>
                <c:ptCount val="1"/>
                <c:pt idx="0">
                  <c:v>Total</c:v>
                </c:pt>
              </c:strCache>
            </c:strRef>
          </c:tx>
          <c:spPr>
            <a:gradFill flip="none" rotWithShape="1">
              <a:gsLst>
                <a:gs pos="100000">
                  <a:schemeClr val="accent1">
                    <a:lumMod val="5000"/>
                    <a:lumOff val="95000"/>
                  </a:schemeClr>
                </a:gs>
                <a:gs pos="57000">
                  <a:schemeClr val="accent1">
                    <a:lumMod val="45000"/>
                    <a:lumOff val="55000"/>
                  </a:schemeClr>
                </a:gs>
                <a:gs pos="58000">
                  <a:schemeClr val="accent1">
                    <a:lumMod val="45000"/>
                    <a:lumOff val="55000"/>
                  </a:schemeClr>
                </a:gs>
                <a:gs pos="19000">
                  <a:srgbClr val="97DDF8"/>
                </a:gs>
                <a:gs pos="0">
                  <a:srgbClr val="00B0F0"/>
                </a:gs>
              </a:gsLst>
              <a:lin ang="5400000" scaled="1"/>
              <a:tileRect/>
            </a:gradFill>
            <a:ln w="31750">
              <a:gradFill>
                <a:gsLst>
                  <a:gs pos="0">
                    <a:srgbClr val="002060"/>
                  </a:gs>
                  <a:gs pos="100000">
                    <a:srgbClr val="C6DCF0"/>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effectLst/>
          </c:spPr>
          <c:cat>
            <c:strRef>
              <c:f>'Pivot Table_Append_MergeDS12_DS'!$A$4:$A$49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Table_Append_MergeDS12_DS'!$B$4:$B$49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4EF9-4647-9D5D-F679DC83ED58}"/>
            </c:ext>
          </c:extLst>
        </c:ser>
        <c:dLbls>
          <c:showLegendKey val="0"/>
          <c:showVal val="0"/>
          <c:showCatName val="0"/>
          <c:showSerName val="0"/>
          <c:showPercent val="0"/>
          <c:showBubbleSize val="0"/>
        </c:dLbls>
        <c:axId val="1881561823"/>
        <c:axId val="1881568543"/>
      </c:areaChart>
      <c:catAx>
        <c:axId val="1881561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1568543"/>
        <c:crosses val="autoZero"/>
        <c:auto val="1"/>
        <c:lblAlgn val="ctr"/>
        <c:lblOffset val="100"/>
        <c:noMultiLvlLbl val="0"/>
      </c:catAx>
      <c:valAx>
        <c:axId val="18815685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t>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1561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Rentals By Hour</a:t>
            </a:r>
          </a:p>
        </c:rich>
      </c:tx>
      <c:layout>
        <c:manualLayout>
          <c:xMode val="edge"/>
          <c:yMode val="edge"/>
          <c:x val="0.1079374453193351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bg1"/>
              </a:gs>
              <a:gs pos="0">
                <a:srgbClr val="1E90FF">
                  <a:lumMod val="99000"/>
                </a:srgbClr>
              </a:gs>
              <a:gs pos="100000">
                <a:schemeClr val="bg1"/>
              </a:gs>
              <a:gs pos="100000">
                <a:schemeClr val="bg1"/>
              </a:gs>
              <a:gs pos="100000">
                <a:schemeClr val="bg1"/>
              </a:gs>
            </a:gsLst>
            <a:lin ang="5400000" scaled="1"/>
            <a:tileRect/>
          </a:gradFill>
          <a:ln w="28575">
            <a:gradFill flip="none" rotWithShape="1">
              <a:gsLst>
                <a:gs pos="0">
                  <a:srgbClr val="3742F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Table_Append_MergeDS12_DS'!$U$3</c:f>
              <c:strCache>
                <c:ptCount val="1"/>
                <c:pt idx="0">
                  <c:v>Total</c:v>
                </c:pt>
              </c:strCache>
            </c:strRef>
          </c:tx>
          <c:spPr>
            <a:gradFill flip="none" rotWithShape="1">
              <a:gsLst>
                <a:gs pos="100000">
                  <a:schemeClr val="bg1"/>
                </a:gs>
                <a:gs pos="0">
                  <a:srgbClr val="1E90FF">
                    <a:lumMod val="99000"/>
                  </a:srgbClr>
                </a:gs>
                <a:gs pos="100000">
                  <a:schemeClr val="bg1"/>
                </a:gs>
                <a:gs pos="100000">
                  <a:schemeClr val="bg1"/>
                </a:gs>
                <a:gs pos="100000">
                  <a:schemeClr val="bg1"/>
                </a:gs>
              </a:gsLst>
              <a:lin ang="5400000" scaled="1"/>
              <a:tileRect/>
            </a:gradFill>
            <a:ln w="28575">
              <a:gradFill flip="none" rotWithShape="1">
                <a:gsLst>
                  <a:gs pos="0">
                    <a:srgbClr val="3742F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tileRect/>
              </a:gradFill>
            </a:ln>
            <a:effectLst/>
          </c:spPr>
          <c:cat>
            <c:strRef>
              <c:f>'Pivot Table_Append_MergeDS12_DS'!$T$4:$T$28</c:f>
              <c:strCache>
                <c:ptCount val="24"/>
                <c:pt idx="0">
                  <c:v>12:00:00 AM</c:v>
                </c:pt>
                <c:pt idx="1">
                  <c:v>01:00:00 AM</c:v>
                </c:pt>
                <c:pt idx="2">
                  <c:v>02:00:00 AM</c:v>
                </c:pt>
                <c:pt idx="3">
                  <c:v>03:00:00 AM</c:v>
                </c:pt>
                <c:pt idx="4">
                  <c:v>04:00:00 AM</c:v>
                </c:pt>
                <c:pt idx="5">
                  <c:v>05:00:00 AM</c:v>
                </c:pt>
                <c:pt idx="6">
                  <c:v>06:00:00 AM</c:v>
                </c:pt>
                <c:pt idx="7">
                  <c:v>07:00:00 AM</c:v>
                </c:pt>
                <c:pt idx="8">
                  <c:v>08:00:00 AM</c:v>
                </c:pt>
                <c:pt idx="9">
                  <c:v>09:00:00 AM</c:v>
                </c:pt>
                <c:pt idx="10">
                  <c:v>10:00:00 AM</c:v>
                </c:pt>
                <c:pt idx="11">
                  <c:v>11:00:00 AM</c:v>
                </c:pt>
                <c:pt idx="12">
                  <c:v>12:00:00 PM</c:v>
                </c:pt>
                <c:pt idx="13">
                  <c:v>01:00:00 PM</c:v>
                </c:pt>
                <c:pt idx="14">
                  <c:v>02:00:00 PM</c:v>
                </c:pt>
                <c:pt idx="15">
                  <c:v>03:00:00 PM</c:v>
                </c:pt>
                <c:pt idx="16">
                  <c:v>04:00:00 PM</c:v>
                </c:pt>
                <c:pt idx="17">
                  <c:v>05:00:00 PM</c:v>
                </c:pt>
                <c:pt idx="18">
                  <c:v>06:00:00 PM</c:v>
                </c:pt>
                <c:pt idx="19">
                  <c:v>07:00:00 PM</c:v>
                </c:pt>
                <c:pt idx="20">
                  <c:v>08:00:00 PM</c:v>
                </c:pt>
                <c:pt idx="21">
                  <c:v>09:00:00 PM</c:v>
                </c:pt>
                <c:pt idx="22">
                  <c:v>10:00:00 PM</c:v>
                </c:pt>
                <c:pt idx="23">
                  <c:v>11:00:00 PM</c:v>
                </c:pt>
              </c:strCache>
            </c:strRef>
          </c:cat>
          <c:val>
            <c:numRef>
              <c:f>'Pivot Table_Append_MergeDS12_DS'!$U$4:$U$28</c:f>
              <c:numCache>
                <c:formatCode>0.00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extLst>
            <c:ext xmlns:c16="http://schemas.microsoft.com/office/drawing/2014/chart" uri="{C3380CC4-5D6E-409C-BE32-E72D297353CC}">
              <c16:uniqueId val="{00000000-5008-42B8-8BF6-8A0789C185C5}"/>
            </c:ext>
          </c:extLst>
        </c:ser>
        <c:dLbls>
          <c:showLegendKey val="0"/>
          <c:showVal val="0"/>
          <c:showCatName val="0"/>
          <c:showSerName val="0"/>
          <c:showPercent val="0"/>
          <c:showBubbleSize val="0"/>
        </c:dLbls>
        <c:axId val="1902926863"/>
        <c:axId val="1902921103"/>
      </c:areaChart>
      <c:catAx>
        <c:axId val="1902926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921103"/>
        <c:crosses val="autoZero"/>
        <c:auto val="1"/>
        <c:lblAlgn val="ctr"/>
        <c:lblOffset val="100"/>
        <c:noMultiLvlLbl val="0"/>
      </c:catAx>
      <c:valAx>
        <c:axId val="190292110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9268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Rentals By Weather Condition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74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C000"/>
          </a:solidFill>
          <a:ln>
            <a:noFill/>
          </a:ln>
          <a:effectLst/>
        </c:spPr>
      </c:pivotFmt>
      <c:pivotFmt>
        <c:idx val="3"/>
        <c:spPr>
          <a:solidFill>
            <a:schemeClr val="accent1">
              <a:lumMod val="60000"/>
              <a:lumOff val="40000"/>
            </a:schemeClr>
          </a:solidFill>
          <a:ln>
            <a:noFill/>
          </a:ln>
          <a:effectLst/>
        </c:spPr>
      </c:pivotFmt>
    </c:pivotFmts>
    <c:plotArea>
      <c:layout/>
      <c:barChart>
        <c:barDir val="col"/>
        <c:grouping val="clustered"/>
        <c:varyColors val="0"/>
        <c:ser>
          <c:idx val="0"/>
          <c:order val="0"/>
          <c:tx>
            <c:strRef>
              <c:f>'Pivot Table_Append_MergeDS12_DS'!$Y$3</c:f>
              <c:strCache>
                <c:ptCount val="1"/>
                <c:pt idx="0">
                  <c:v>Total</c:v>
                </c:pt>
              </c:strCache>
            </c:strRef>
          </c:tx>
          <c:spPr>
            <a:solidFill>
              <a:srgbClr val="3742FA"/>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3-C013-4FA5-BDCC-33F18F07644F}"/>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C013-4FA5-BDCC-33F18F07644F}"/>
              </c:ext>
            </c:extLst>
          </c:dPt>
          <c:dPt>
            <c:idx val="2"/>
            <c:invertIfNegative val="0"/>
            <c:bubble3D val="0"/>
            <c:spPr>
              <a:solidFill>
                <a:srgbClr val="FFC000"/>
              </a:solidFill>
              <a:ln>
                <a:noFill/>
              </a:ln>
              <a:effectLst/>
            </c:spPr>
            <c:extLst>
              <c:ext xmlns:c16="http://schemas.microsoft.com/office/drawing/2014/chart" uri="{C3380CC4-5D6E-409C-BE32-E72D297353CC}">
                <c16:uniqueId val="{00000004-C013-4FA5-BDCC-33F18F07644F}"/>
              </c:ext>
            </c:extLst>
          </c:dPt>
          <c:dPt>
            <c:idx val="3"/>
            <c:invertIfNegative val="0"/>
            <c:bubble3D val="0"/>
            <c:spPr>
              <a:solidFill>
                <a:srgbClr val="FF0000"/>
              </a:solidFill>
              <a:ln>
                <a:noFill/>
              </a:ln>
              <a:effectLst/>
            </c:spPr>
            <c:extLst>
              <c:ext xmlns:c16="http://schemas.microsoft.com/office/drawing/2014/chart" uri="{C3380CC4-5D6E-409C-BE32-E72D297353CC}">
                <c16:uniqueId val="{00000005-C013-4FA5-BDCC-33F18F07644F}"/>
              </c:ext>
            </c:extLst>
          </c:dPt>
          <c:cat>
            <c:strRef>
              <c:f>'Pivot Table_Append_MergeDS12_DS'!$X$4:$X$8</c:f>
              <c:strCache>
                <c:ptCount val="4"/>
                <c:pt idx="0">
                  <c:v>Clear or Good Weather</c:v>
                </c:pt>
                <c:pt idx="1">
                  <c:v>Mist or Cloudy Weather</c:v>
                </c:pt>
                <c:pt idx="2">
                  <c:v>Light Rain or Snow</c:v>
                </c:pt>
                <c:pt idx="3">
                  <c:v>Heavy Rain or Strom</c:v>
                </c:pt>
              </c:strCache>
            </c:strRef>
          </c:cat>
          <c:val>
            <c:numRef>
              <c:f>'Pivot Table_Append_MergeDS12_DS'!$Y$4:$Y$8</c:f>
              <c:numCache>
                <c:formatCode>0.00</c:formatCode>
                <c:ptCount val="4"/>
                <c:pt idx="0">
                  <c:v>61.671617161716171</c:v>
                </c:pt>
                <c:pt idx="1">
                  <c:v>58.595469255663431</c:v>
                </c:pt>
                <c:pt idx="2">
                  <c:v>33.202380952380949</c:v>
                </c:pt>
                <c:pt idx="3">
                  <c:v>36</c:v>
                </c:pt>
              </c:numCache>
            </c:numRef>
          </c:val>
          <c:extLst>
            <c:ext xmlns:c16="http://schemas.microsoft.com/office/drawing/2014/chart" uri="{C3380CC4-5D6E-409C-BE32-E72D297353CC}">
              <c16:uniqueId val="{00000000-C013-4FA5-BDCC-33F18F07644F}"/>
            </c:ext>
          </c:extLst>
        </c:ser>
        <c:dLbls>
          <c:showLegendKey val="0"/>
          <c:showVal val="0"/>
          <c:showCatName val="0"/>
          <c:showSerName val="0"/>
          <c:showPercent val="0"/>
          <c:showBubbleSize val="0"/>
        </c:dLbls>
        <c:gapWidth val="219"/>
        <c:overlap val="-27"/>
        <c:axId val="673952831"/>
        <c:axId val="673953791"/>
      </c:barChart>
      <c:catAx>
        <c:axId val="67395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953791"/>
        <c:crosses val="autoZero"/>
        <c:auto val="1"/>
        <c:lblAlgn val="ctr"/>
        <c:lblOffset val="100"/>
        <c:noMultiLvlLbl val="0"/>
      </c:catAx>
      <c:valAx>
        <c:axId val="673953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Average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95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Rentals By Weekday</a:t>
            </a:r>
          </a:p>
        </c:rich>
      </c:tx>
      <c:layout>
        <c:manualLayout>
          <c:xMode val="edge"/>
          <c:yMode val="edge"/>
          <c:x val="6.814566929133855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rgbClr val="D6E6F5"/>
              </a:gs>
              <a:gs pos="0">
                <a:srgbClr val="3742FA"/>
              </a:gs>
              <a:gs pos="98000">
                <a:srgbClr val="1E90FF"/>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Table_Append_MergeDS12_DS'!$AB$3</c:f>
              <c:strCache>
                <c:ptCount val="1"/>
                <c:pt idx="0">
                  <c:v>Total</c:v>
                </c:pt>
              </c:strCache>
            </c:strRef>
          </c:tx>
          <c:spPr>
            <a:gradFill>
              <a:gsLst>
                <a:gs pos="100000">
                  <a:srgbClr val="D6E6F5"/>
                </a:gs>
                <a:gs pos="0">
                  <a:srgbClr val="3742FA"/>
                </a:gs>
                <a:gs pos="98000">
                  <a:srgbClr val="1E90FF"/>
                </a:gs>
                <a:gs pos="100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Table_Append_MergeDS12_DS'!$AA$4:$AA$11</c:f>
              <c:strCache>
                <c:ptCount val="7"/>
                <c:pt idx="0">
                  <c:v>Monday</c:v>
                </c:pt>
                <c:pt idx="1">
                  <c:v>Tuesday</c:v>
                </c:pt>
                <c:pt idx="2">
                  <c:v>Wednesday</c:v>
                </c:pt>
                <c:pt idx="3">
                  <c:v>Friday</c:v>
                </c:pt>
                <c:pt idx="4">
                  <c:v>Saturday</c:v>
                </c:pt>
                <c:pt idx="5">
                  <c:v>Sunday</c:v>
                </c:pt>
                <c:pt idx="6">
                  <c:v>Thrusday</c:v>
                </c:pt>
              </c:strCache>
            </c:strRef>
          </c:cat>
          <c:val>
            <c:numRef>
              <c:f>'Pivot Table_Append_MergeDS12_DS'!$AB$4:$AB$11</c:f>
              <c:numCache>
                <c:formatCode>0.00</c:formatCode>
                <c:ptCount val="7"/>
                <c:pt idx="0">
                  <c:v>65.125</c:v>
                </c:pt>
                <c:pt idx="1">
                  <c:v>59.603053435114504</c:v>
                </c:pt>
                <c:pt idx="2">
                  <c:v>67.468253968253961</c:v>
                </c:pt>
                <c:pt idx="3">
                  <c:v>55.560810810810814</c:v>
                </c:pt>
                <c:pt idx="4">
                  <c:v>44.775757575757574</c:v>
                </c:pt>
                <c:pt idx="5">
                  <c:v>57.631901840490798</c:v>
                </c:pt>
                <c:pt idx="6">
                  <c:v>62.083969465648856</c:v>
                </c:pt>
              </c:numCache>
            </c:numRef>
          </c:val>
          <c:extLst>
            <c:ext xmlns:c16="http://schemas.microsoft.com/office/drawing/2014/chart" uri="{C3380CC4-5D6E-409C-BE32-E72D297353CC}">
              <c16:uniqueId val="{00000000-9621-45D3-8927-C486CE940369}"/>
            </c:ext>
          </c:extLst>
        </c:ser>
        <c:dLbls>
          <c:dLblPos val="outEnd"/>
          <c:showLegendKey val="0"/>
          <c:showVal val="1"/>
          <c:showCatName val="0"/>
          <c:showSerName val="0"/>
          <c:showPercent val="0"/>
          <c:showBubbleSize val="0"/>
        </c:dLbls>
        <c:gapWidth val="182"/>
        <c:axId val="673856831"/>
        <c:axId val="673857311"/>
      </c:barChart>
      <c:catAx>
        <c:axId val="673856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857311"/>
        <c:crosses val="autoZero"/>
        <c:auto val="1"/>
        <c:lblAlgn val="ctr"/>
        <c:lblOffset val="100"/>
        <c:noMultiLvlLbl val="0"/>
      </c:catAx>
      <c:valAx>
        <c:axId val="673857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Avg Rentals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85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Rentals By Season</a:t>
            </a:r>
          </a:p>
        </c:rich>
      </c:tx>
      <c:layout>
        <c:manualLayout>
          <c:xMode val="edge"/>
          <c:yMode val="edge"/>
          <c:x val="0.104390849673202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E90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E90FF"/>
          </a:solidFill>
          <a:ln w="19050">
            <a:solidFill>
              <a:schemeClr val="lt1"/>
            </a:solidFill>
          </a:ln>
          <a:effectLst/>
        </c:spPr>
      </c:pivotFmt>
    </c:pivotFmts>
    <c:plotArea>
      <c:layout/>
      <c:doughnutChart>
        <c:varyColors val="1"/>
        <c:ser>
          <c:idx val="0"/>
          <c:order val="0"/>
          <c:tx>
            <c:strRef>
              <c:f>'Pivot Table_Append_MergeDS12_DS'!$AH$3</c:f>
              <c:strCache>
                <c:ptCount val="1"/>
                <c:pt idx="0">
                  <c:v>Total</c:v>
                </c:pt>
              </c:strCache>
            </c:strRef>
          </c:tx>
          <c:spPr>
            <a:solidFill>
              <a:srgbClr val="1E90FF"/>
            </a:solidFill>
          </c:spPr>
          <c:dPt>
            <c:idx val="0"/>
            <c:bubble3D val="0"/>
            <c:spPr>
              <a:solidFill>
                <a:srgbClr val="1E90FF"/>
              </a:solidFill>
              <a:ln w="19050">
                <a:solidFill>
                  <a:schemeClr val="lt1"/>
                </a:solidFill>
              </a:ln>
              <a:effectLst/>
            </c:spPr>
            <c:extLst>
              <c:ext xmlns:c16="http://schemas.microsoft.com/office/drawing/2014/chart" uri="{C3380CC4-5D6E-409C-BE32-E72D297353CC}">
                <c16:uniqueId val="{00000001-76B7-47BA-A111-2F2E5D1CB7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Table_Append_MergeDS12_DS'!$AG$4:$AG$5</c:f>
              <c:strCache>
                <c:ptCount val="1"/>
                <c:pt idx="0">
                  <c:v>Spring</c:v>
                </c:pt>
              </c:strCache>
            </c:strRef>
          </c:cat>
          <c:val>
            <c:numRef>
              <c:f>'Pivot Table_Append_MergeDS12_DS'!$AH$4:$AH$5</c:f>
              <c:numCache>
                <c:formatCode>General</c:formatCode>
                <c:ptCount val="1"/>
                <c:pt idx="0">
                  <c:v>58304</c:v>
                </c:pt>
              </c:numCache>
            </c:numRef>
          </c:val>
          <c:extLst>
            <c:ext xmlns:c16="http://schemas.microsoft.com/office/drawing/2014/chart" uri="{C3380CC4-5D6E-409C-BE32-E72D297353CC}">
              <c16:uniqueId val="{00000000-942D-46F6-A758-320647EFAF9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Temperature VS Rentals</a:t>
            </a:r>
          </a:p>
        </c:rich>
      </c:tx>
      <c:layout>
        <c:manualLayout>
          <c:xMode val="edge"/>
          <c:yMode val="edge"/>
          <c:x val="0.1273748906386701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movingAvg"/>
            <c:period val="2"/>
            <c:dispRSqr val="0"/>
            <c:dispEq val="0"/>
          </c:trendline>
          <c:xVal>
            <c:numRef>
              <c:f>'Pivot Table_Append_MergeDS12_DS'!$AN$4:$AN$26</c:f>
              <c:numCache>
                <c:formatCode>General</c:formatCode>
                <c:ptCount val="23"/>
                <c:pt idx="0">
                  <c:v>0.02</c:v>
                </c:pt>
                <c:pt idx="1">
                  <c:v>0.04</c:v>
                </c:pt>
                <c:pt idx="2">
                  <c:v>0.06</c:v>
                </c:pt>
                <c:pt idx="3">
                  <c:v>0.08</c:v>
                </c:pt>
                <c:pt idx="4">
                  <c:v>0.1</c:v>
                </c:pt>
                <c:pt idx="5">
                  <c:v>0.12</c:v>
                </c:pt>
                <c:pt idx="6">
                  <c:v>0.14000000000000001</c:v>
                </c:pt>
                <c:pt idx="7">
                  <c:v>0.16</c:v>
                </c:pt>
                <c:pt idx="8">
                  <c:v>0.18</c:v>
                </c:pt>
                <c:pt idx="9">
                  <c:v>0.2</c:v>
                </c:pt>
                <c:pt idx="10">
                  <c:v>0.22</c:v>
                </c:pt>
                <c:pt idx="11">
                  <c:v>0.24</c:v>
                </c:pt>
                <c:pt idx="12">
                  <c:v>0.26</c:v>
                </c:pt>
                <c:pt idx="13">
                  <c:v>0.28000000000000003</c:v>
                </c:pt>
                <c:pt idx="14">
                  <c:v>0.3</c:v>
                </c:pt>
                <c:pt idx="15">
                  <c:v>0.32</c:v>
                </c:pt>
                <c:pt idx="16">
                  <c:v>0.34</c:v>
                </c:pt>
                <c:pt idx="17">
                  <c:v>0.36</c:v>
                </c:pt>
                <c:pt idx="18">
                  <c:v>0.38</c:v>
                </c:pt>
                <c:pt idx="19">
                  <c:v>0.4</c:v>
                </c:pt>
                <c:pt idx="20">
                  <c:v>0.42</c:v>
                </c:pt>
                <c:pt idx="21">
                  <c:v>0.44</c:v>
                </c:pt>
                <c:pt idx="22">
                  <c:v>0.46</c:v>
                </c:pt>
              </c:numCache>
            </c:numRef>
          </c:xVal>
          <c:yVal>
            <c:numRef>
              <c:f>'Pivot Table_Append_MergeDS12_DS'!$AO$4:$AO$26</c:f>
              <c:numCache>
                <c:formatCode>0.00</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yVal>
          <c:smooth val="0"/>
          <c:extLst>
            <c:ext xmlns:c16="http://schemas.microsoft.com/office/drawing/2014/chart" uri="{C3380CC4-5D6E-409C-BE32-E72D297353CC}">
              <c16:uniqueId val="{00000000-EBF2-4EC9-9347-9B7F291D62A9}"/>
            </c:ext>
          </c:extLst>
        </c:ser>
        <c:dLbls>
          <c:showLegendKey val="0"/>
          <c:showVal val="0"/>
          <c:showCatName val="0"/>
          <c:showSerName val="0"/>
          <c:showPercent val="0"/>
          <c:showBubbleSize val="0"/>
        </c:dLbls>
        <c:axId val="1210758175"/>
        <c:axId val="1210754815"/>
      </c:scatterChart>
      <c:valAx>
        <c:axId val="1210758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Temperature ('C)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54815"/>
        <c:crosses val="autoZero"/>
        <c:crossBetween val="midCat"/>
      </c:valAx>
      <c:valAx>
        <c:axId val="1210754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581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Humidity VS Rentals</a:t>
            </a:r>
          </a:p>
        </c:rich>
      </c:tx>
      <c:layout>
        <c:manualLayout>
          <c:xMode val="edge"/>
          <c:yMode val="edge"/>
          <c:x val="0.1368123359580052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rgbClr val="0070C0"/>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xVal>
            <c:numRef>
              <c:f>'Pivot Table_Append_MergeDS12_DS'!$AT$4:$AT$67</c:f>
              <c:numCache>
                <c:formatCode>0%</c:formatCode>
                <c:ptCount val="64"/>
                <c:pt idx="0">
                  <c:v>0.21</c:v>
                </c:pt>
                <c:pt idx="1">
                  <c:v>0.24</c:v>
                </c:pt>
                <c:pt idx="2">
                  <c:v>0.25</c:v>
                </c:pt>
                <c:pt idx="3">
                  <c:v>0.26</c:v>
                </c:pt>
                <c:pt idx="4">
                  <c:v>0.27</c:v>
                </c:pt>
                <c:pt idx="5">
                  <c:v>0.28000000000000003</c:v>
                </c:pt>
                <c:pt idx="6">
                  <c:v>0.28999999999999998</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0.55000000000000004</c:v>
                </c:pt>
                <c:pt idx="33">
                  <c:v>0.56000000000000005</c:v>
                </c:pt>
                <c:pt idx="34">
                  <c:v>0.56999999999999995</c:v>
                </c:pt>
                <c:pt idx="35">
                  <c:v>0.57999999999999996</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numCache>
            </c:numRef>
          </c:xVal>
          <c:yVal>
            <c:numRef>
              <c:f>'Pivot Table_Append_MergeDS12_DS'!$AU$4:$AU$67</c:f>
              <c:numCache>
                <c:formatCode>0.00</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yVal>
          <c:smooth val="0"/>
          <c:extLst>
            <c:ext xmlns:c16="http://schemas.microsoft.com/office/drawing/2014/chart" uri="{C3380CC4-5D6E-409C-BE32-E72D297353CC}">
              <c16:uniqueId val="{00000000-7779-4F12-A81F-8F41A0B133FE}"/>
            </c:ext>
          </c:extLst>
        </c:ser>
        <c:dLbls>
          <c:showLegendKey val="0"/>
          <c:showVal val="0"/>
          <c:showCatName val="0"/>
          <c:showSerName val="0"/>
          <c:showPercent val="0"/>
          <c:showBubbleSize val="0"/>
        </c:dLbls>
        <c:axId val="1219779567"/>
        <c:axId val="1219782927"/>
      </c:scatterChart>
      <c:valAx>
        <c:axId val="121977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Humidity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82927"/>
        <c:crosses val="autoZero"/>
        <c:crossBetween val="midCat"/>
      </c:valAx>
      <c:valAx>
        <c:axId val="1219782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795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Windspeed VS Rentals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rgbClr val="0070C0"/>
              </a:solidFill>
              <a:ln w="9525">
                <a:solidFill>
                  <a:schemeClr val="accent1"/>
                </a:solidFill>
              </a:ln>
              <a:effectLst/>
            </c:spPr>
          </c:marker>
          <c:trendline>
            <c:spPr>
              <a:ln w="19050" cap="rnd">
                <a:solidFill>
                  <a:schemeClr val="accent1"/>
                </a:solidFill>
                <a:prstDash val="sysDot"/>
              </a:ln>
              <a:effectLst/>
            </c:spPr>
            <c:trendlineType val="exp"/>
            <c:dispRSqr val="0"/>
            <c:dispEq val="0"/>
          </c:trendline>
          <c:xVal>
            <c:numRef>
              <c:f>'Pivot Table_Append_MergeDS12_DS'!$BH$4:$BH$23</c:f>
              <c:numCache>
                <c:formatCode>General</c:formatCode>
                <c:ptCount val="20"/>
                <c:pt idx="0">
                  <c:v>0</c:v>
                </c:pt>
                <c:pt idx="1">
                  <c:v>8.9599999999999999E-2</c:v>
                </c:pt>
                <c:pt idx="2">
                  <c:v>0.1045</c:v>
                </c:pt>
                <c:pt idx="3">
                  <c:v>0.1343</c:v>
                </c:pt>
                <c:pt idx="4">
                  <c:v>0.16420000000000001</c:v>
                </c:pt>
                <c:pt idx="5">
                  <c:v>0.19400000000000001</c:v>
                </c:pt>
                <c:pt idx="6">
                  <c:v>0.22389999999999999</c:v>
                </c:pt>
                <c:pt idx="7">
                  <c:v>0.25369999999999998</c:v>
                </c:pt>
                <c:pt idx="8">
                  <c:v>0.28360000000000002</c:v>
                </c:pt>
                <c:pt idx="9">
                  <c:v>0.29849999999999999</c:v>
                </c:pt>
                <c:pt idx="10">
                  <c:v>0.32840000000000003</c:v>
                </c:pt>
                <c:pt idx="11">
                  <c:v>0.35820000000000002</c:v>
                </c:pt>
                <c:pt idx="12">
                  <c:v>0.3881</c:v>
                </c:pt>
                <c:pt idx="13">
                  <c:v>0.41789999999999999</c:v>
                </c:pt>
                <c:pt idx="14">
                  <c:v>0.44779999999999998</c:v>
                </c:pt>
                <c:pt idx="15">
                  <c:v>0.4627</c:v>
                </c:pt>
                <c:pt idx="16">
                  <c:v>0.49249999999999999</c:v>
                </c:pt>
                <c:pt idx="17">
                  <c:v>0.52239999999999998</c:v>
                </c:pt>
                <c:pt idx="18">
                  <c:v>0.55220000000000002</c:v>
                </c:pt>
                <c:pt idx="19">
                  <c:v>0.58209999999999995</c:v>
                </c:pt>
              </c:numCache>
            </c:numRef>
          </c:xVal>
          <c:yVal>
            <c:numRef>
              <c:f>'Pivot Table_Append_MergeDS12_DS'!$BI$4:$BI$23</c:f>
              <c:numCache>
                <c:formatCode>0.00</c:formatCode>
                <c:ptCount val="20"/>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yVal>
          <c:smooth val="0"/>
          <c:extLst>
            <c:ext xmlns:c16="http://schemas.microsoft.com/office/drawing/2014/chart" uri="{C3380CC4-5D6E-409C-BE32-E72D297353CC}">
              <c16:uniqueId val="{00000000-2783-4718-99A2-96FF7BAD295A}"/>
            </c:ext>
          </c:extLst>
        </c:ser>
        <c:dLbls>
          <c:showLegendKey val="0"/>
          <c:showVal val="0"/>
          <c:showCatName val="0"/>
          <c:showSerName val="0"/>
          <c:showPercent val="0"/>
          <c:showBubbleSize val="0"/>
        </c:dLbls>
        <c:axId val="2092206943"/>
        <c:axId val="2092208383"/>
      </c:scatterChart>
      <c:valAx>
        <c:axId val="2092206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Windspeed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208383"/>
        <c:crosses val="autoZero"/>
        <c:crossBetween val="midCat"/>
      </c:valAx>
      <c:valAx>
        <c:axId val="20922083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2069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Demand Forecast (Next 30 days)</a:t>
            </a:r>
          </a:p>
        </c:rich>
      </c:tx>
      <c:layout>
        <c:manualLayout>
          <c:xMode val="edge"/>
          <c:yMode val="edge"/>
          <c:x val="0.1180067804024496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'Pivot Table_Append_MergeDS12_DS'!$BV$4:$BV$76</c:f>
              <c:numCache>
                <c:formatCode>m/d/yyyy</c:formatCode>
                <c:ptCount val="7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numCache>
            </c:numRef>
          </c:cat>
          <c:val>
            <c:numRef>
              <c:f>'Pivot Table_Append_MergeDS12_DS'!$BW$4:$BW$76</c:f>
              <c:numCache>
                <c:formatCode>0.00</c:formatCode>
                <c:ptCount val="73"/>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722A-4F6B-B7D4-16A56CC65615}"/>
            </c:ext>
          </c:extLst>
        </c:ser>
        <c:ser>
          <c:idx val="1"/>
          <c:order val="1"/>
          <c:spPr>
            <a:ln w="28575" cap="rnd">
              <a:solidFill>
                <a:schemeClr val="accent2"/>
              </a:solidFill>
              <a:round/>
            </a:ln>
            <a:effectLst/>
          </c:spPr>
          <c:marker>
            <c:symbol val="none"/>
          </c:marker>
          <c:cat>
            <c:numRef>
              <c:f>'Pivot Table_Append_MergeDS12_DS'!$BV$4:$BV$76</c:f>
              <c:numCache>
                <c:formatCode>m/d/yyyy</c:formatCode>
                <c:ptCount val="7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numCache>
            </c:numRef>
          </c:cat>
          <c:val>
            <c:numRef>
              <c:f>'Pivot Table_Append_MergeDS12_DS'!$BX$4:$BX$76</c:f>
              <c:numCache>
                <c:formatCode>General</c:formatCode>
                <c:ptCount val="73"/>
                <c:pt idx="45">
                  <c:v>1387.2167441635288</c:v>
                </c:pt>
                <c:pt idx="46">
                  <c:v>1392.5597746183603</c:v>
                </c:pt>
                <c:pt idx="47">
                  <c:v>1397.902805073192</c:v>
                </c:pt>
                <c:pt idx="48">
                  <c:v>1403.2458355280237</c:v>
                </c:pt>
                <c:pt idx="49">
                  <c:v>1408.5888659828554</c:v>
                </c:pt>
                <c:pt idx="50">
                  <c:v>1413.9318964376871</c:v>
                </c:pt>
                <c:pt idx="51">
                  <c:v>1419.2749268925186</c:v>
                </c:pt>
                <c:pt idx="52">
                  <c:v>1424.6179573473503</c:v>
                </c:pt>
                <c:pt idx="53">
                  <c:v>1429.960987802182</c:v>
                </c:pt>
                <c:pt idx="54">
                  <c:v>1435.3040182570135</c:v>
                </c:pt>
                <c:pt idx="55">
                  <c:v>1440.6470487118452</c:v>
                </c:pt>
                <c:pt idx="56">
                  <c:v>1445.9900791666769</c:v>
                </c:pt>
                <c:pt idx="57">
                  <c:v>1451.3331096215086</c:v>
                </c:pt>
                <c:pt idx="58">
                  <c:v>1456.6761400763403</c:v>
                </c:pt>
                <c:pt idx="59">
                  <c:v>1462.0191705311718</c:v>
                </c:pt>
                <c:pt idx="60">
                  <c:v>1467.3622009860035</c:v>
                </c:pt>
                <c:pt idx="61">
                  <c:v>1472.7052314408352</c:v>
                </c:pt>
                <c:pt idx="62">
                  <c:v>1478.0482618956667</c:v>
                </c:pt>
                <c:pt idx="63">
                  <c:v>1483.3912923504984</c:v>
                </c:pt>
                <c:pt idx="64">
                  <c:v>1488.7343228053301</c:v>
                </c:pt>
                <c:pt idx="65">
                  <c:v>1494.0773532601618</c:v>
                </c:pt>
                <c:pt idx="66">
                  <c:v>1499.4203837149935</c:v>
                </c:pt>
                <c:pt idx="67">
                  <c:v>1504.763414169825</c:v>
                </c:pt>
                <c:pt idx="68">
                  <c:v>1510.1064446246567</c:v>
                </c:pt>
                <c:pt idx="69">
                  <c:v>1515.4494750794884</c:v>
                </c:pt>
                <c:pt idx="70">
                  <c:v>1520.7925055343198</c:v>
                </c:pt>
                <c:pt idx="71">
                  <c:v>1526.1355359891515</c:v>
                </c:pt>
                <c:pt idx="72">
                  <c:v>1531.4785664439833</c:v>
                </c:pt>
              </c:numCache>
            </c:numRef>
          </c:val>
          <c:smooth val="0"/>
          <c:extLst>
            <c:ext xmlns:c16="http://schemas.microsoft.com/office/drawing/2014/chart" uri="{C3380CC4-5D6E-409C-BE32-E72D297353CC}">
              <c16:uniqueId val="{00000001-722A-4F6B-B7D4-16A56CC65615}"/>
            </c:ext>
          </c:extLst>
        </c:ser>
        <c:dLbls>
          <c:showLegendKey val="0"/>
          <c:showVal val="0"/>
          <c:showCatName val="0"/>
          <c:showSerName val="0"/>
          <c:showPercent val="0"/>
          <c:showBubbleSize val="0"/>
        </c:dLbls>
        <c:smooth val="0"/>
        <c:axId val="1115693055"/>
        <c:axId val="1115697855"/>
      </c:lineChart>
      <c:dateAx>
        <c:axId val="111569305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697855"/>
        <c:crosses val="autoZero"/>
        <c:auto val="1"/>
        <c:lblOffset val="100"/>
        <c:baseTimeUnit val="days"/>
      </c:dateAx>
      <c:valAx>
        <c:axId val="11156978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69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Table_Append_MergeDS12_DS!PivotTable1</c:name>
    <c:fmtId val="15"/>
  </c:pivotSource>
  <c:chart>
    <c:title>
      <c:tx>
        <c:rich>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r>
              <a:rPr lang="en-US" b="1"/>
              <a:t>Rentals Trend Over Time</a:t>
            </a:r>
          </a:p>
        </c:rich>
      </c:tx>
      <c:layout>
        <c:manualLayout>
          <c:xMode val="edge"/>
          <c:yMode val="edge"/>
          <c:x val="7.4763779527559041E-2"/>
          <c:y val="2.7777777777777776E-2"/>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100000">
                <a:schemeClr val="accent1">
                  <a:lumMod val="5000"/>
                  <a:lumOff val="95000"/>
                </a:schemeClr>
              </a:gs>
              <a:gs pos="57000">
                <a:schemeClr val="accent1">
                  <a:lumMod val="45000"/>
                  <a:lumOff val="55000"/>
                </a:schemeClr>
              </a:gs>
              <a:gs pos="58000">
                <a:schemeClr val="accent1">
                  <a:lumMod val="45000"/>
                  <a:lumOff val="55000"/>
                </a:schemeClr>
              </a:gs>
              <a:gs pos="19000">
                <a:srgbClr val="97DDF8"/>
              </a:gs>
              <a:gs pos="0">
                <a:srgbClr val="00B0F0"/>
              </a:gs>
            </a:gsLst>
            <a:lin ang="5400000" scaled="1"/>
            <a:tileRect/>
          </a:gradFill>
          <a:ln w="31750">
            <a:gradFill>
              <a:gsLst>
                <a:gs pos="0">
                  <a:srgbClr val="002060"/>
                </a:gs>
                <a:gs pos="100000">
                  <a:srgbClr val="C6DCF0"/>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lumMod val="5000"/>
                  <a:lumOff val="95000"/>
                </a:schemeClr>
              </a:gs>
              <a:gs pos="57000">
                <a:schemeClr val="accent1">
                  <a:lumMod val="45000"/>
                  <a:lumOff val="55000"/>
                </a:schemeClr>
              </a:gs>
              <a:gs pos="58000">
                <a:schemeClr val="accent1">
                  <a:lumMod val="45000"/>
                  <a:lumOff val="55000"/>
                </a:schemeClr>
              </a:gs>
              <a:gs pos="19000">
                <a:srgbClr val="97DDF8"/>
              </a:gs>
              <a:gs pos="0">
                <a:srgbClr val="00B0F0"/>
              </a:gs>
            </a:gsLst>
            <a:lin ang="5400000" scaled="1"/>
            <a:tileRect/>
          </a:gradFill>
          <a:ln w="31750">
            <a:gradFill>
              <a:gsLst>
                <a:gs pos="0">
                  <a:srgbClr val="002060"/>
                </a:gs>
                <a:gs pos="100000">
                  <a:srgbClr val="C6DCF0"/>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1E90FF"/>
              </a:gs>
              <a:gs pos="100000">
                <a:schemeClr val="bg1"/>
              </a:gs>
              <a:gs pos="100000">
                <a:schemeClr val="bg1"/>
              </a:gs>
              <a:gs pos="100000">
                <a:schemeClr val="bg1"/>
              </a:gs>
              <a:gs pos="100000">
                <a:schemeClr val="bg1"/>
              </a:gs>
            </a:gsLst>
            <a:lin ang="5400000" scaled="1"/>
          </a:gradFill>
          <a:ln w="31750">
            <a:gradFill>
              <a:gsLst>
                <a:gs pos="0">
                  <a:srgbClr val="3742FA"/>
                </a:gs>
                <a:gs pos="100000">
                  <a:srgbClr val="C6DCF0"/>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Table_Append_MergeDS12_DS'!$B$3</c:f>
              <c:strCache>
                <c:ptCount val="1"/>
                <c:pt idx="0">
                  <c:v>Total</c:v>
                </c:pt>
              </c:strCache>
            </c:strRef>
          </c:tx>
          <c:spPr>
            <a:gradFill>
              <a:gsLst>
                <a:gs pos="0">
                  <a:srgbClr val="1E90FF"/>
                </a:gs>
                <a:gs pos="100000">
                  <a:schemeClr val="bg1"/>
                </a:gs>
                <a:gs pos="100000">
                  <a:schemeClr val="bg1"/>
                </a:gs>
                <a:gs pos="100000">
                  <a:schemeClr val="bg1"/>
                </a:gs>
                <a:gs pos="100000">
                  <a:schemeClr val="bg1"/>
                </a:gs>
              </a:gsLst>
              <a:lin ang="5400000" scaled="1"/>
            </a:gradFill>
            <a:ln w="31750">
              <a:gradFill>
                <a:gsLst>
                  <a:gs pos="0">
                    <a:srgbClr val="3742FA"/>
                  </a:gs>
                  <a:gs pos="100000">
                    <a:srgbClr val="C6DCF0"/>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effectLst/>
          </c:spPr>
          <c:cat>
            <c:strRef>
              <c:f>'Pivot Table_Append_MergeDS12_DS'!$A$4:$A$49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Table_Append_MergeDS12_DS'!$B$4:$B$49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28A8-4787-B24A-0C3FA7887E11}"/>
            </c:ext>
          </c:extLst>
        </c:ser>
        <c:dLbls>
          <c:showLegendKey val="0"/>
          <c:showVal val="0"/>
          <c:showCatName val="0"/>
          <c:showSerName val="0"/>
          <c:showPercent val="0"/>
          <c:showBubbleSize val="0"/>
        </c:dLbls>
        <c:axId val="1881561823"/>
        <c:axId val="1881568543"/>
      </c:areaChart>
      <c:catAx>
        <c:axId val="1881561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1568543"/>
        <c:crosses val="autoZero"/>
        <c:auto val="1"/>
        <c:lblAlgn val="ctr"/>
        <c:lblOffset val="100"/>
        <c:noMultiLvlLbl val="0"/>
      </c:catAx>
      <c:valAx>
        <c:axId val="18815685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t>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1561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olidFill>
      <a:bevel/>
    </a:ln>
    <a:effectLst>
      <a:softEdge rad="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Table_Append_MergeDS12_DS!PivotTable2</c:name>
    <c:fmtId val="12"/>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Casual Vs Registered</a:t>
            </a:r>
          </a:p>
        </c:rich>
      </c:tx>
      <c:layout>
        <c:manualLayout>
          <c:xMode val="edge"/>
          <c:yMode val="edge"/>
          <c:x val="0.21873732849262106"/>
          <c:y val="3.240740740740740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
        <c:idx val="1"/>
        <c:spPr>
          <a:solidFill>
            <a:srgbClr val="00B050"/>
          </a:solidFill>
          <a:ln w="19050">
            <a:solidFill>
              <a:schemeClr val="lt1"/>
            </a:solidFill>
          </a:ln>
          <a:effectLst/>
        </c:spPr>
        <c:dLbl>
          <c:idx val="0"/>
          <c:layout>
            <c:manualLayout>
              <c:x val="0.25869913715875337"/>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9589168120452011"/>
              <c:y val="-8.333333333333332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
        <c:idx val="4"/>
        <c:spPr>
          <a:solidFill>
            <a:srgbClr val="00B050"/>
          </a:solidFill>
          <a:ln w="19050">
            <a:solidFill>
              <a:schemeClr val="lt1"/>
            </a:solidFill>
          </a:ln>
          <a:effectLst/>
        </c:spPr>
        <c:dLbl>
          <c:idx val="0"/>
          <c:layout>
            <c:manualLayout>
              <c:x val="0.25869913715875337"/>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9589168120452011"/>
              <c:y val="-8.333333333333332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0.25869913715875337"/>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9589168120452011"/>
              <c:y val="-8.333333333333332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9023056249705314"/>
          <c:y val="0.31263706620005827"/>
          <c:w val="0.61953926792085123"/>
          <c:h val="0.57479476523767858"/>
        </c:manualLayout>
      </c:layout>
      <c:doughnutChart>
        <c:varyColors val="1"/>
        <c:ser>
          <c:idx val="0"/>
          <c:order val="0"/>
          <c:tx>
            <c:strRef>
              <c:f>'Pivot Table_Append_MergeDS12_DS'!$P$3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643F-4F12-85E0-97F0B7A928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3F-4F12-85E0-97F0B7A928F2}"/>
              </c:ext>
            </c:extLst>
          </c:dPt>
          <c:dLbls>
            <c:dLbl>
              <c:idx val="0"/>
              <c:layout>
                <c:manualLayout>
                  <c:x val="0.25869913715875337"/>
                  <c:y val="9.2592592592592587E-3"/>
                </c:manualLayout>
              </c:layout>
              <c:showLegendKey val="1"/>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643F-4F12-85E0-97F0B7A928F2}"/>
                </c:ext>
              </c:extLst>
            </c:dLbl>
            <c:dLbl>
              <c:idx val="1"/>
              <c:layout>
                <c:manualLayout>
                  <c:x val="-0.19589168120452011"/>
                  <c:y val="-8.333333333333332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643F-4F12-85E0-97F0B7A928F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showLeaderLines val="0"/>
            <c:extLst>
              <c:ext xmlns:c15="http://schemas.microsoft.com/office/drawing/2012/chart" uri="{CE6537A1-D6FC-4f65-9D91-7224C49458BB}"/>
            </c:extLst>
          </c:dLbls>
          <c:cat>
            <c:strRef>
              <c:f>'Pivot Table_Append_MergeDS12_DS'!$O$4:$O$5</c:f>
              <c:strCache>
                <c:ptCount val="2"/>
                <c:pt idx="0">
                  <c:v> Registered</c:v>
                </c:pt>
                <c:pt idx="1">
                  <c:v> Casual</c:v>
                </c:pt>
              </c:strCache>
            </c:strRef>
          </c:cat>
          <c:val>
            <c:numRef>
              <c:f>'Pivot Table_Append_MergeDS12_DS'!$P$4:$P$5</c:f>
              <c:numCache>
                <c:formatCode>General</c:formatCode>
                <c:ptCount val="2"/>
                <c:pt idx="0">
                  <c:v>53383</c:v>
                </c:pt>
                <c:pt idx="1">
                  <c:v>4921</c:v>
                </c:pt>
              </c:numCache>
            </c:numRef>
          </c:val>
          <c:extLst>
            <c:ext xmlns:c16="http://schemas.microsoft.com/office/drawing/2014/chart" uri="{C3380CC4-5D6E-409C-BE32-E72D297353CC}">
              <c16:uniqueId val="{00000004-643F-4F12-85E0-97F0B7A928F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Rentals By Hour</a:t>
            </a:r>
          </a:p>
        </c:rich>
      </c:tx>
      <c:layout>
        <c:manualLayout>
          <c:xMode val="edge"/>
          <c:yMode val="edge"/>
          <c:x val="0.1634930008748906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bg1"/>
              </a:gs>
              <a:gs pos="0">
                <a:srgbClr val="1E90FF">
                  <a:lumMod val="99000"/>
                </a:srgbClr>
              </a:gs>
              <a:gs pos="100000">
                <a:schemeClr val="bg1"/>
              </a:gs>
              <a:gs pos="100000">
                <a:schemeClr val="bg1"/>
              </a:gs>
              <a:gs pos="100000">
                <a:schemeClr val="bg1"/>
              </a:gs>
            </a:gsLst>
            <a:lin ang="5400000" scaled="1"/>
            <a:tileRect/>
          </a:gradFill>
          <a:ln w="28575">
            <a:gradFill flip="none" rotWithShape="1">
              <a:gsLst>
                <a:gs pos="0">
                  <a:srgbClr val="3742F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bg1"/>
              </a:gs>
              <a:gs pos="0">
                <a:srgbClr val="1E90FF">
                  <a:lumMod val="99000"/>
                </a:srgbClr>
              </a:gs>
              <a:gs pos="100000">
                <a:schemeClr val="bg1"/>
              </a:gs>
              <a:gs pos="100000">
                <a:schemeClr val="bg1"/>
              </a:gs>
              <a:gs pos="100000">
                <a:schemeClr val="bg1"/>
              </a:gs>
            </a:gsLst>
            <a:lin ang="5400000" scaled="1"/>
            <a:tileRect/>
          </a:gradFill>
          <a:ln w="28575">
            <a:gradFill flip="none" rotWithShape="1">
              <a:gsLst>
                <a:gs pos="0">
                  <a:srgbClr val="3742F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bg1"/>
              </a:gs>
              <a:gs pos="0">
                <a:srgbClr val="1E90FF">
                  <a:lumMod val="99000"/>
                </a:srgbClr>
              </a:gs>
              <a:gs pos="100000">
                <a:schemeClr val="bg1"/>
              </a:gs>
              <a:gs pos="100000">
                <a:schemeClr val="bg1"/>
              </a:gs>
              <a:gs pos="100000">
                <a:schemeClr val="bg1"/>
              </a:gs>
            </a:gsLst>
            <a:lin ang="5400000" scaled="1"/>
            <a:tileRect/>
          </a:gradFill>
          <a:ln w="28575">
            <a:gradFill flip="none" rotWithShape="1">
              <a:gsLst>
                <a:gs pos="0">
                  <a:srgbClr val="3742F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Table_Append_MergeDS12_DS'!$U$3</c:f>
              <c:strCache>
                <c:ptCount val="1"/>
                <c:pt idx="0">
                  <c:v>Total</c:v>
                </c:pt>
              </c:strCache>
            </c:strRef>
          </c:tx>
          <c:spPr>
            <a:gradFill flip="none" rotWithShape="1">
              <a:gsLst>
                <a:gs pos="100000">
                  <a:schemeClr val="bg1"/>
                </a:gs>
                <a:gs pos="0">
                  <a:srgbClr val="1E90FF">
                    <a:lumMod val="99000"/>
                  </a:srgbClr>
                </a:gs>
                <a:gs pos="100000">
                  <a:schemeClr val="bg1"/>
                </a:gs>
                <a:gs pos="100000">
                  <a:schemeClr val="bg1"/>
                </a:gs>
                <a:gs pos="100000">
                  <a:schemeClr val="bg1"/>
                </a:gs>
              </a:gsLst>
              <a:lin ang="5400000" scaled="1"/>
              <a:tileRect/>
            </a:gradFill>
            <a:ln w="28575">
              <a:gradFill flip="none" rotWithShape="1">
                <a:gsLst>
                  <a:gs pos="0">
                    <a:srgbClr val="3742F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tileRect/>
              </a:gradFill>
            </a:ln>
            <a:effectLst/>
          </c:spPr>
          <c:cat>
            <c:strRef>
              <c:f>'Pivot Table_Append_MergeDS12_DS'!$T$4:$T$28</c:f>
              <c:strCache>
                <c:ptCount val="24"/>
                <c:pt idx="0">
                  <c:v>12:00:00 AM</c:v>
                </c:pt>
                <c:pt idx="1">
                  <c:v>01:00:00 AM</c:v>
                </c:pt>
                <c:pt idx="2">
                  <c:v>02:00:00 AM</c:v>
                </c:pt>
                <c:pt idx="3">
                  <c:v>03:00:00 AM</c:v>
                </c:pt>
                <c:pt idx="4">
                  <c:v>04:00:00 AM</c:v>
                </c:pt>
                <c:pt idx="5">
                  <c:v>05:00:00 AM</c:v>
                </c:pt>
                <c:pt idx="6">
                  <c:v>06:00:00 AM</c:v>
                </c:pt>
                <c:pt idx="7">
                  <c:v>07:00:00 AM</c:v>
                </c:pt>
                <c:pt idx="8">
                  <c:v>08:00:00 AM</c:v>
                </c:pt>
                <c:pt idx="9">
                  <c:v>09:00:00 AM</c:v>
                </c:pt>
                <c:pt idx="10">
                  <c:v>10:00:00 AM</c:v>
                </c:pt>
                <c:pt idx="11">
                  <c:v>11:00:00 AM</c:v>
                </c:pt>
                <c:pt idx="12">
                  <c:v>12:00:00 PM</c:v>
                </c:pt>
                <c:pt idx="13">
                  <c:v>01:00:00 PM</c:v>
                </c:pt>
                <c:pt idx="14">
                  <c:v>02:00:00 PM</c:v>
                </c:pt>
                <c:pt idx="15">
                  <c:v>03:00:00 PM</c:v>
                </c:pt>
                <c:pt idx="16">
                  <c:v>04:00:00 PM</c:v>
                </c:pt>
                <c:pt idx="17">
                  <c:v>05:00:00 PM</c:v>
                </c:pt>
                <c:pt idx="18">
                  <c:v>06:00:00 PM</c:v>
                </c:pt>
                <c:pt idx="19">
                  <c:v>07:00:00 PM</c:v>
                </c:pt>
                <c:pt idx="20">
                  <c:v>08:00:00 PM</c:v>
                </c:pt>
                <c:pt idx="21">
                  <c:v>09:00:00 PM</c:v>
                </c:pt>
                <c:pt idx="22">
                  <c:v>10:00:00 PM</c:v>
                </c:pt>
                <c:pt idx="23">
                  <c:v>11:00:00 PM</c:v>
                </c:pt>
              </c:strCache>
            </c:strRef>
          </c:cat>
          <c:val>
            <c:numRef>
              <c:f>'Pivot Table_Append_MergeDS12_DS'!$U$4:$U$28</c:f>
              <c:numCache>
                <c:formatCode>0.00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extLst>
            <c:ext xmlns:c16="http://schemas.microsoft.com/office/drawing/2014/chart" uri="{C3380CC4-5D6E-409C-BE32-E72D297353CC}">
              <c16:uniqueId val="{00000000-A914-4A2C-9EF2-5499427B1AA4}"/>
            </c:ext>
          </c:extLst>
        </c:ser>
        <c:dLbls>
          <c:showLegendKey val="0"/>
          <c:showVal val="0"/>
          <c:showCatName val="0"/>
          <c:showSerName val="0"/>
          <c:showPercent val="0"/>
          <c:showBubbleSize val="0"/>
        </c:dLbls>
        <c:axId val="1902926863"/>
        <c:axId val="1902921103"/>
      </c:areaChart>
      <c:catAx>
        <c:axId val="1902926863"/>
        <c:scaling>
          <c:orientation val="minMax"/>
        </c:scaling>
        <c:delete val="0"/>
        <c:axPos val="b"/>
        <c:numFmt formatCode="[$-10409]hh:mm\ AM/P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921103"/>
        <c:crosses val="autoZero"/>
        <c:auto val="1"/>
        <c:lblAlgn val="ctr"/>
        <c:lblOffset val="100"/>
        <c:noMultiLvlLbl val="0"/>
      </c:catAx>
      <c:valAx>
        <c:axId val="19029211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Average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926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Rentals By Weather Condition</a:t>
            </a:r>
          </a:p>
        </c:rich>
      </c:tx>
      <c:layout>
        <c:manualLayout>
          <c:xMode val="edge"/>
          <c:yMode val="edge"/>
          <c:x val="7.811111111111111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74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C000"/>
          </a:solidFill>
          <a:ln>
            <a:noFill/>
          </a:ln>
          <a:effectLst/>
        </c:spPr>
      </c:pivotFmt>
      <c:pivotFmt>
        <c:idx val="3"/>
        <c:spPr>
          <a:solidFill>
            <a:schemeClr val="accent1">
              <a:lumMod val="60000"/>
              <a:lumOff val="40000"/>
            </a:schemeClr>
          </a:solidFill>
          <a:ln>
            <a:noFill/>
          </a:ln>
          <a:effectLst/>
        </c:spPr>
      </c:pivotFmt>
      <c:pivotFmt>
        <c:idx val="4"/>
        <c:spPr>
          <a:solidFill>
            <a:srgbClr val="3742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E90FF"/>
          </a:solidFill>
          <a:ln>
            <a:noFill/>
          </a:ln>
          <a:effectLst/>
        </c:spPr>
      </c:pivotFmt>
      <c:pivotFmt>
        <c:idx val="6"/>
        <c:spPr>
          <a:solidFill>
            <a:schemeClr val="accent1">
              <a:lumMod val="60000"/>
              <a:lumOff val="40000"/>
            </a:schemeClr>
          </a:solidFill>
          <a:ln>
            <a:noFill/>
          </a:ln>
          <a:effectLst/>
        </c:spPr>
      </c:pivotFmt>
      <c:pivotFmt>
        <c:idx val="7"/>
        <c:spPr>
          <a:solidFill>
            <a:srgbClr val="FFC000"/>
          </a:solidFill>
          <a:ln>
            <a:noFill/>
          </a:ln>
          <a:effectLst/>
        </c:spPr>
      </c:pivotFmt>
      <c:pivotFmt>
        <c:idx val="8"/>
        <c:spPr>
          <a:solidFill>
            <a:srgbClr val="FF0000"/>
          </a:solidFill>
          <a:ln>
            <a:noFill/>
          </a:ln>
          <a:effectLst/>
        </c:spPr>
      </c:pivotFmt>
      <c:pivotFmt>
        <c:idx val="9"/>
        <c:spPr>
          <a:solidFill>
            <a:srgbClr val="3742F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E90FF"/>
          </a:solidFill>
          <a:ln>
            <a:noFill/>
          </a:ln>
          <a:effectLst/>
        </c:spPr>
      </c:pivotFmt>
      <c:pivotFmt>
        <c:idx val="11"/>
        <c:spPr>
          <a:solidFill>
            <a:schemeClr val="accent1">
              <a:lumMod val="60000"/>
              <a:lumOff val="40000"/>
            </a:schemeClr>
          </a:solidFill>
          <a:ln>
            <a:noFill/>
          </a:ln>
          <a:effectLst/>
        </c:spPr>
      </c:pivotFmt>
      <c:pivotFmt>
        <c:idx val="12"/>
        <c:spPr>
          <a:solidFill>
            <a:srgbClr val="FFC000"/>
          </a:solidFill>
          <a:ln>
            <a:noFill/>
          </a:ln>
          <a:effectLst/>
        </c:spPr>
      </c:pivotFmt>
      <c:pivotFmt>
        <c:idx val="13"/>
        <c:spPr>
          <a:solidFill>
            <a:srgbClr val="FF0000"/>
          </a:solidFill>
          <a:ln>
            <a:noFill/>
          </a:ln>
          <a:effectLst/>
        </c:spPr>
      </c:pivotFmt>
    </c:pivotFmts>
    <c:plotArea>
      <c:layout/>
      <c:barChart>
        <c:barDir val="col"/>
        <c:grouping val="clustered"/>
        <c:varyColors val="0"/>
        <c:ser>
          <c:idx val="0"/>
          <c:order val="0"/>
          <c:tx>
            <c:strRef>
              <c:f>'Pivot Table_Append_MergeDS12_DS'!$Y$3</c:f>
              <c:strCache>
                <c:ptCount val="1"/>
                <c:pt idx="0">
                  <c:v>Total</c:v>
                </c:pt>
              </c:strCache>
            </c:strRef>
          </c:tx>
          <c:spPr>
            <a:solidFill>
              <a:srgbClr val="3742FA"/>
            </a:solidFill>
            <a:ln>
              <a:noFill/>
            </a:ln>
            <a:effectLst/>
          </c:spPr>
          <c:invertIfNegative val="0"/>
          <c:dPt>
            <c:idx val="0"/>
            <c:invertIfNegative val="0"/>
            <c:bubble3D val="0"/>
            <c:spPr>
              <a:solidFill>
                <a:srgbClr val="1E90FF"/>
              </a:solidFill>
              <a:ln>
                <a:noFill/>
              </a:ln>
              <a:effectLst/>
            </c:spPr>
            <c:extLst>
              <c:ext xmlns:c16="http://schemas.microsoft.com/office/drawing/2014/chart" uri="{C3380CC4-5D6E-409C-BE32-E72D297353CC}">
                <c16:uniqueId val="{00000001-D0A8-42C5-9ED9-49D48E065ACD}"/>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D0A8-42C5-9ED9-49D48E065ACD}"/>
              </c:ext>
            </c:extLst>
          </c:dPt>
          <c:dPt>
            <c:idx val="2"/>
            <c:invertIfNegative val="0"/>
            <c:bubble3D val="0"/>
            <c:spPr>
              <a:solidFill>
                <a:srgbClr val="FFC000"/>
              </a:solidFill>
              <a:ln>
                <a:noFill/>
              </a:ln>
              <a:effectLst/>
            </c:spPr>
            <c:extLst>
              <c:ext xmlns:c16="http://schemas.microsoft.com/office/drawing/2014/chart" uri="{C3380CC4-5D6E-409C-BE32-E72D297353CC}">
                <c16:uniqueId val="{00000005-D0A8-42C5-9ED9-49D48E065ACD}"/>
              </c:ext>
            </c:extLst>
          </c:dPt>
          <c:dPt>
            <c:idx val="3"/>
            <c:invertIfNegative val="0"/>
            <c:bubble3D val="0"/>
            <c:spPr>
              <a:solidFill>
                <a:srgbClr val="FF0000"/>
              </a:solidFill>
              <a:ln>
                <a:noFill/>
              </a:ln>
              <a:effectLst/>
            </c:spPr>
            <c:extLst>
              <c:ext xmlns:c16="http://schemas.microsoft.com/office/drawing/2014/chart" uri="{C3380CC4-5D6E-409C-BE32-E72D297353CC}">
                <c16:uniqueId val="{00000007-D0A8-42C5-9ED9-49D48E065ACD}"/>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Table_Append_MergeDS12_DS'!$X$4:$X$8</c:f>
              <c:strCache>
                <c:ptCount val="4"/>
                <c:pt idx="0">
                  <c:v>Clear or Good Weather</c:v>
                </c:pt>
                <c:pt idx="1">
                  <c:v>Mist or Cloudy Weather</c:v>
                </c:pt>
                <c:pt idx="2">
                  <c:v>Light Rain or Snow</c:v>
                </c:pt>
                <c:pt idx="3">
                  <c:v>Heavy Rain or Strom</c:v>
                </c:pt>
              </c:strCache>
            </c:strRef>
          </c:cat>
          <c:val>
            <c:numRef>
              <c:f>'Pivot Table_Append_MergeDS12_DS'!$Y$4:$Y$8</c:f>
              <c:numCache>
                <c:formatCode>0.00</c:formatCode>
                <c:ptCount val="4"/>
                <c:pt idx="0">
                  <c:v>61.671617161716171</c:v>
                </c:pt>
                <c:pt idx="1">
                  <c:v>58.595469255663431</c:v>
                </c:pt>
                <c:pt idx="2">
                  <c:v>33.202380952380949</c:v>
                </c:pt>
                <c:pt idx="3">
                  <c:v>36</c:v>
                </c:pt>
              </c:numCache>
            </c:numRef>
          </c:val>
          <c:extLst>
            <c:ext xmlns:c16="http://schemas.microsoft.com/office/drawing/2014/chart" uri="{C3380CC4-5D6E-409C-BE32-E72D297353CC}">
              <c16:uniqueId val="{00000008-D0A8-42C5-9ED9-49D48E065ACD}"/>
            </c:ext>
          </c:extLst>
        </c:ser>
        <c:dLbls>
          <c:dLblPos val="outEnd"/>
          <c:showLegendKey val="0"/>
          <c:showVal val="1"/>
          <c:showCatName val="0"/>
          <c:showSerName val="0"/>
          <c:showPercent val="0"/>
          <c:showBubbleSize val="0"/>
        </c:dLbls>
        <c:gapWidth val="219"/>
        <c:overlap val="-27"/>
        <c:axId val="673952831"/>
        <c:axId val="673953791"/>
      </c:barChart>
      <c:catAx>
        <c:axId val="67395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953791"/>
        <c:crosses val="autoZero"/>
        <c:auto val="1"/>
        <c:lblAlgn val="ctr"/>
        <c:lblOffset val="100"/>
        <c:noMultiLvlLbl val="0"/>
      </c:catAx>
      <c:valAx>
        <c:axId val="673953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Average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95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Table_Append_MergeDS12_DS!PivotTable5</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Rentals By Weekday</a:t>
            </a:r>
          </a:p>
        </c:rich>
      </c:tx>
      <c:layout>
        <c:manualLayout>
          <c:xMode val="edge"/>
          <c:yMode val="edge"/>
          <c:x val="7.6479002624671916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rgbClr val="D6E6F5"/>
              </a:gs>
              <a:gs pos="0">
                <a:srgbClr val="3742FA"/>
              </a:gs>
              <a:gs pos="98000">
                <a:srgbClr val="1E90FF"/>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rgbClr val="D6E6F5"/>
              </a:gs>
              <a:gs pos="0">
                <a:srgbClr val="3742FA"/>
              </a:gs>
              <a:gs pos="98000">
                <a:srgbClr val="1E90FF"/>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rgbClr val="D6E6F5"/>
              </a:gs>
              <a:gs pos="0">
                <a:srgbClr val="3742FA"/>
              </a:gs>
              <a:gs pos="98000">
                <a:srgbClr val="1E90FF"/>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Table_Append_MergeDS12_DS'!$AB$3</c:f>
              <c:strCache>
                <c:ptCount val="1"/>
                <c:pt idx="0">
                  <c:v>Total</c:v>
                </c:pt>
              </c:strCache>
            </c:strRef>
          </c:tx>
          <c:spPr>
            <a:gradFill>
              <a:gsLst>
                <a:gs pos="100000">
                  <a:srgbClr val="D6E6F5"/>
                </a:gs>
                <a:gs pos="0">
                  <a:srgbClr val="3742FA"/>
                </a:gs>
                <a:gs pos="98000">
                  <a:srgbClr val="1E90FF"/>
                </a:gs>
                <a:gs pos="100000">
                  <a:schemeClr val="accent1">
                    <a:lumMod val="45000"/>
                    <a:lumOff val="55000"/>
                  </a:schemeClr>
                </a:gs>
                <a:gs pos="100000">
                  <a:schemeClr val="accent1">
                    <a:lumMod val="30000"/>
                    <a:lumOff val="70000"/>
                  </a:schemeClr>
                </a:gs>
              </a:gsLst>
              <a:lin ang="5400000" scaled="1"/>
            </a:gra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Table_Append_MergeDS12_DS'!$AA$4:$AA$11</c:f>
              <c:strCache>
                <c:ptCount val="7"/>
                <c:pt idx="0">
                  <c:v>Monday</c:v>
                </c:pt>
                <c:pt idx="1">
                  <c:v>Tuesday</c:v>
                </c:pt>
                <c:pt idx="2">
                  <c:v>Wednesday</c:v>
                </c:pt>
                <c:pt idx="3">
                  <c:v>Friday</c:v>
                </c:pt>
                <c:pt idx="4">
                  <c:v>Saturday</c:v>
                </c:pt>
                <c:pt idx="5">
                  <c:v>Sunday</c:v>
                </c:pt>
                <c:pt idx="6">
                  <c:v>Thrusday</c:v>
                </c:pt>
              </c:strCache>
            </c:strRef>
          </c:cat>
          <c:val>
            <c:numRef>
              <c:f>'Pivot Table_Append_MergeDS12_DS'!$AB$4:$AB$11</c:f>
              <c:numCache>
                <c:formatCode>0.00</c:formatCode>
                <c:ptCount val="7"/>
                <c:pt idx="0">
                  <c:v>65.125</c:v>
                </c:pt>
                <c:pt idx="1">
                  <c:v>59.603053435114504</c:v>
                </c:pt>
                <c:pt idx="2">
                  <c:v>67.468253968253961</c:v>
                </c:pt>
                <c:pt idx="3">
                  <c:v>55.560810810810814</c:v>
                </c:pt>
                <c:pt idx="4">
                  <c:v>44.775757575757574</c:v>
                </c:pt>
                <c:pt idx="5">
                  <c:v>57.631901840490798</c:v>
                </c:pt>
                <c:pt idx="6">
                  <c:v>62.083969465648856</c:v>
                </c:pt>
              </c:numCache>
            </c:numRef>
          </c:val>
          <c:extLst>
            <c:ext xmlns:c16="http://schemas.microsoft.com/office/drawing/2014/chart" uri="{C3380CC4-5D6E-409C-BE32-E72D297353CC}">
              <c16:uniqueId val="{00000000-B36D-4F83-87A0-B09908621B80}"/>
            </c:ext>
          </c:extLst>
        </c:ser>
        <c:dLbls>
          <c:dLblPos val="outEnd"/>
          <c:showLegendKey val="0"/>
          <c:showVal val="1"/>
          <c:showCatName val="0"/>
          <c:showSerName val="0"/>
          <c:showPercent val="0"/>
          <c:showBubbleSize val="0"/>
        </c:dLbls>
        <c:gapWidth val="182"/>
        <c:axId val="673856831"/>
        <c:axId val="673857311"/>
      </c:barChart>
      <c:catAx>
        <c:axId val="673856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857311"/>
        <c:crosses val="autoZero"/>
        <c:auto val="1"/>
        <c:lblAlgn val="ctr"/>
        <c:lblOffset val="100"/>
        <c:noMultiLvlLbl val="0"/>
      </c:catAx>
      <c:valAx>
        <c:axId val="673857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Avg Rentals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85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Project.xlsx]Pivot Table_Append_MergeDS12_DS!PivotTable6</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Rentals By Season</a:t>
            </a:r>
          </a:p>
        </c:rich>
      </c:tx>
      <c:layout>
        <c:manualLayout>
          <c:xMode val="edge"/>
          <c:yMode val="edge"/>
          <c:x val="0.104390849673202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E90FF"/>
          </a:solidFill>
          <a:ln w="19050">
            <a:solidFill>
              <a:schemeClr val="lt1"/>
            </a:solidFill>
          </a:ln>
          <a:effectLst/>
        </c:spPr>
        <c:marker>
          <c:symbol val="none"/>
        </c:marker>
      </c:pivotFmt>
      <c:pivotFmt>
        <c:idx val="1"/>
        <c:spPr>
          <a:solidFill>
            <a:srgbClr val="1E90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90FF"/>
          </a:solidFill>
          <a:ln w="19050">
            <a:solidFill>
              <a:schemeClr val="lt1"/>
            </a:solidFill>
          </a:ln>
          <a:effectLst/>
        </c:spPr>
      </c:pivotFmt>
      <c:pivotFmt>
        <c:idx val="3"/>
        <c:spPr>
          <a:solidFill>
            <a:srgbClr val="1E90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E90FF"/>
          </a:solidFill>
          <a:ln w="19050">
            <a:solidFill>
              <a:schemeClr val="lt1"/>
            </a:solidFill>
          </a:ln>
          <a:effectLst/>
        </c:spPr>
      </c:pivotFmt>
    </c:pivotFmts>
    <c:plotArea>
      <c:layout/>
      <c:doughnutChart>
        <c:varyColors val="1"/>
        <c:ser>
          <c:idx val="0"/>
          <c:order val="0"/>
          <c:tx>
            <c:strRef>
              <c:f>'Pivot Table_Append_MergeDS12_DS'!$AH$3</c:f>
              <c:strCache>
                <c:ptCount val="1"/>
                <c:pt idx="0">
                  <c:v>Total</c:v>
                </c:pt>
              </c:strCache>
            </c:strRef>
          </c:tx>
          <c:spPr>
            <a:solidFill>
              <a:srgbClr val="1E90FF"/>
            </a:solidFill>
          </c:spPr>
          <c:dPt>
            <c:idx val="0"/>
            <c:bubble3D val="0"/>
            <c:spPr>
              <a:solidFill>
                <a:srgbClr val="1E90FF"/>
              </a:solidFill>
              <a:ln w="19050">
                <a:solidFill>
                  <a:schemeClr val="lt1"/>
                </a:solidFill>
              </a:ln>
              <a:effectLst/>
            </c:spPr>
            <c:extLst>
              <c:ext xmlns:c16="http://schemas.microsoft.com/office/drawing/2014/chart" uri="{C3380CC4-5D6E-409C-BE32-E72D297353CC}">
                <c16:uniqueId val="{00000001-DDC0-4479-99C4-F221A23A57A9}"/>
              </c:ext>
            </c:extLst>
          </c:dPt>
          <c:cat>
            <c:strRef>
              <c:f>'Pivot Table_Append_MergeDS12_DS'!$AG$4:$AG$5</c:f>
              <c:strCache>
                <c:ptCount val="1"/>
                <c:pt idx="0">
                  <c:v>Spring</c:v>
                </c:pt>
              </c:strCache>
            </c:strRef>
          </c:cat>
          <c:val>
            <c:numRef>
              <c:f>'Pivot Table_Append_MergeDS12_DS'!$AH$4:$AH$5</c:f>
              <c:numCache>
                <c:formatCode>General</c:formatCode>
                <c:ptCount val="1"/>
                <c:pt idx="0">
                  <c:v>58304</c:v>
                </c:pt>
              </c:numCache>
            </c:numRef>
          </c:val>
          <c:extLst>
            <c:ext xmlns:c16="http://schemas.microsoft.com/office/drawing/2014/chart" uri="{C3380CC4-5D6E-409C-BE32-E72D297353CC}">
              <c16:uniqueId val="{00000002-DDC0-4479-99C4-F221A23A57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Temperature VS Rentals</a:t>
            </a:r>
          </a:p>
        </c:rich>
      </c:tx>
      <c:layout>
        <c:manualLayout>
          <c:xMode val="edge"/>
          <c:yMode val="edge"/>
          <c:x val="0.1273748906386701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rgbClr val="0070C0"/>
              </a:solidFill>
              <a:ln w="9525">
                <a:solidFill>
                  <a:schemeClr val="accent1"/>
                </a:solidFill>
              </a:ln>
              <a:effectLst/>
            </c:spPr>
          </c:marker>
          <c:trendline>
            <c:spPr>
              <a:ln w="19050" cap="rnd">
                <a:solidFill>
                  <a:schemeClr val="accent1"/>
                </a:solidFill>
                <a:prstDash val="sysDot"/>
              </a:ln>
              <a:effectLst/>
            </c:spPr>
            <c:trendlineType val="movingAvg"/>
            <c:period val="2"/>
            <c:dispRSqr val="0"/>
            <c:dispEq val="0"/>
          </c:trendline>
          <c:xVal>
            <c:numRef>
              <c:f>'Pivot Table_Append_MergeDS12_DS'!$AN$4:$AN$26</c:f>
              <c:numCache>
                <c:formatCode>General</c:formatCode>
                <c:ptCount val="23"/>
                <c:pt idx="0">
                  <c:v>0.02</c:v>
                </c:pt>
                <c:pt idx="1">
                  <c:v>0.04</c:v>
                </c:pt>
                <c:pt idx="2">
                  <c:v>0.06</c:v>
                </c:pt>
                <c:pt idx="3">
                  <c:v>0.08</c:v>
                </c:pt>
                <c:pt idx="4">
                  <c:v>0.1</c:v>
                </c:pt>
                <c:pt idx="5">
                  <c:v>0.12</c:v>
                </c:pt>
                <c:pt idx="6">
                  <c:v>0.14000000000000001</c:v>
                </c:pt>
                <c:pt idx="7">
                  <c:v>0.16</c:v>
                </c:pt>
                <c:pt idx="8">
                  <c:v>0.18</c:v>
                </c:pt>
                <c:pt idx="9">
                  <c:v>0.2</c:v>
                </c:pt>
                <c:pt idx="10">
                  <c:v>0.22</c:v>
                </c:pt>
                <c:pt idx="11">
                  <c:v>0.24</c:v>
                </c:pt>
                <c:pt idx="12">
                  <c:v>0.26</c:v>
                </c:pt>
                <c:pt idx="13">
                  <c:v>0.28000000000000003</c:v>
                </c:pt>
                <c:pt idx="14">
                  <c:v>0.3</c:v>
                </c:pt>
                <c:pt idx="15">
                  <c:v>0.32</c:v>
                </c:pt>
                <c:pt idx="16">
                  <c:v>0.34</c:v>
                </c:pt>
                <c:pt idx="17">
                  <c:v>0.36</c:v>
                </c:pt>
                <c:pt idx="18">
                  <c:v>0.38</c:v>
                </c:pt>
                <c:pt idx="19">
                  <c:v>0.4</c:v>
                </c:pt>
                <c:pt idx="20">
                  <c:v>0.42</c:v>
                </c:pt>
                <c:pt idx="21">
                  <c:v>0.44</c:v>
                </c:pt>
                <c:pt idx="22">
                  <c:v>0.46</c:v>
                </c:pt>
              </c:numCache>
            </c:numRef>
          </c:xVal>
          <c:yVal>
            <c:numRef>
              <c:f>'Pivot Table_Append_MergeDS12_DS'!$AO$4:$AO$26</c:f>
              <c:numCache>
                <c:formatCode>0.00</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yVal>
          <c:smooth val="0"/>
          <c:extLst>
            <c:ext xmlns:c16="http://schemas.microsoft.com/office/drawing/2014/chart" uri="{C3380CC4-5D6E-409C-BE32-E72D297353CC}">
              <c16:uniqueId val="{00000001-58F1-4BB9-978A-86AD391A61CA}"/>
            </c:ext>
          </c:extLst>
        </c:ser>
        <c:dLbls>
          <c:showLegendKey val="0"/>
          <c:showVal val="0"/>
          <c:showCatName val="0"/>
          <c:showSerName val="0"/>
          <c:showPercent val="0"/>
          <c:showBubbleSize val="0"/>
        </c:dLbls>
        <c:axId val="1210758175"/>
        <c:axId val="1210754815"/>
      </c:scatterChart>
      <c:valAx>
        <c:axId val="1210758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Temperature ('C)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54815"/>
        <c:crosses val="autoZero"/>
        <c:crossBetween val="midCat"/>
      </c:valAx>
      <c:valAx>
        <c:axId val="1210754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58175"/>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Humidity VS Rentals</a:t>
            </a:r>
          </a:p>
        </c:rich>
      </c:tx>
      <c:layout>
        <c:manualLayout>
          <c:xMode val="edge"/>
          <c:yMode val="edge"/>
          <c:x val="0.1368123359580052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rgbClr val="0070C0"/>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xVal>
            <c:numRef>
              <c:f>'Pivot Table_Append_MergeDS12_DS'!$AT$4:$AT$67</c:f>
              <c:numCache>
                <c:formatCode>0%</c:formatCode>
                <c:ptCount val="64"/>
                <c:pt idx="0">
                  <c:v>0.21</c:v>
                </c:pt>
                <c:pt idx="1">
                  <c:v>0.24</c:v>
                </c:pt>
                <c:pt idx="2">
                  <c:v>0.25</c:v>
                </c:pt>
                <c:pt idx="3">
                  <c:v>0.26</c:v>
                </c:pt>
                <c:pt idx="4">
                  <c:v>0.27</c:v>
                </c:pt>
                <c:pt idx="5">
                  <c:v>0.28000000000000003</c:v>
                </c:pt>
                <c:pt idx="6">
                  <c:v>0.28999999999999998</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0.55000000000000004</c:v>
                </c:pt>
                <c:pt idx="33">
                  <c:v>0.56000000000000005</c:v>
                </c:pt>
                <c:pt idx="34">
                  <c:v>0.56999999999999995</c:v>
                </c:pt>
                <c:pt idx="35">
                  <c:v>0.57999999999999996</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numCache>
            </c:numRef>
          </c:xVal>
          <c:yVal>
            <c:numRef>
              <c:f>'Pivot Table_Append_MergeDS12_DS'!$AU$4:$AU$67</c:f>
              <c:numCache>
                <c:formatCode>0.00</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yVal>
          <c:smooth val="0"/>
          <c:extLst>
            <c:ext xmlns:c16="http://schemas.microsoft.com/office/drawing/2014/chart" uri="{C3380CC4-5D6E-409C-BE32-E72D297353CC}">
              <c16:uniqueId val="{00000001-0135-46FF-975E-FD24510C1CA9}"/>
            </c:ext>
          </c:extLst>
        </c:ser>
        <c:dLbls>
          <c:showLegendKey val="0"/>
          <c:showVal val="0"/>
          <c:showCatName val="0"/>
          <c:showSerName val="0"/>
          <c:showPercent val="0"/>
          <c:showBubbleSize val="0"/>
        </c:dLbls>
        <c:axId val="1219779567"/>
        <c:axId val="1219782927"/>
      </c:scatterChart>
      <c:valAx>
        <c:axId val="121977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Humidity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82927"/>
        <c:crosses val="autoZero"/>
        <c:crossBetween val="midCat"/>
      </c:valAx>
      <c:valAx>
        <c:axId val="1219782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79567"/>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Windspeed VS Rentals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rgbClr val="0070C0"/>
              </a:solidFill>
              <a:ln w="9525">
                <a:solidFill>
                  <a:schemeClr val="accent1"/>
                </a:solidFill>
              </a:ln>
              <a:effectLst/>
            </c:spPr>
          </c:marker>
          <c:trendline>
            <c:spPr>
              <a:ln w="19050" cap="rnd">
                <a:solidFill>
                  <a:schemeClr val="accent1"/>
                </a:solidFill>
                <a:prstDash val="sysDot"/>
              </a:ln>
              <a:effectLst/>
            </c:spPr>
            <c:trendlineType val="exp"/>
            <c:dispRSqr val="0"/>
            <c:dispEq val="0"/>
          </c:trendline>
          <c:xVal>
            <c:numRef>
              <c:f>'Pivot Table_Append_MergeDS12_DS'!$BH$4:$BH$23</c:f>
              <c:numCache>
                <c:formatCode>General</c:formatCode>
                <c:ptCount val="20"/>
                <c:pt idx="0">
                  <c:v>0</c:v>
                </c:pt>
                <c:pt idx="1">
                  <c:v>8.9599999999999999E-2</c:v>
                </c:pt>
                <c:pt idx="2">
                  <c:v>0.1045</c:v>
                </c:pt>
                <c:pt idx="3">
                  <c:v>0.1343</c:v>
                </c:pt>
                <c:pt idx="4">
                  <c:v>0.16420000000000001</c:v>
                </c:pt>
                <c:pt idx="5">
                  <c:v>0.19400000000000001</c:v>
                </c:pt>
                <c:pt idx="6">
                  <c:v>0.22389999999999999</c:v>
                </c:pt>
                <c:pt idx="7">
                  <c:v>0.25369999999999998</c:v>
                </c:pt>
                <c:pt idx="8">
                  <c:v>0.28360000000000002</c:v>
                </c:pt>
                <c:pt idx="9">
                  <c:v>0.29849999999999999</c:v>
                </c:pt>
                <c:pt idx="10">
                  <c:v>0.32840000000000003</c:v>
                </c:pt>
                <c:pt idx="11">
                  <c:v>0.35820000000000002</c:v>
                </c:pt>
                <c:pt idx="12">
                  <c:v>0.3881</c:v>
                </c:pt>
                <c:pt idx="13">
                  <c:v>0.41789999999999999</c:v>
                </c:pt>
                <c:pt idx="14">
                  <c:v>0.44779999999999998</c:v>
                </c:pt>
                <c:pt idx="15">
                  <c:v>0.4627</c:v>
                </c:pt>
                <c:pt idx="16">
                  <c:v>0.49249999999999999</c:v>
                </c:pt>
                <c:pt idx="17">
                  <c:v>0.52239999999999998</c:v>
                </c:pt>
                <c:pt idx="18">
                  <c:v>0.55220000000000002</c:v>
                </c:pt>
                <c:pt idx="19">
                  <c:v>0.58209999999999995</c:v>
                </c:pt>
              </c:numCache>
            </c:numRef>
          </c:xVal>
          <c:yVal>
            <c:numRef>
              <c:f>'Pivot Table_Append_MergeDS12_DS'!$BI$4:$BI$23</c:f>
              <c:numCache>
                <c:formatCode>0.00</c:formatCode>
                <c:ptCount val="20"/>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yVal>
          <c:smooth val="0"/>
          <c:extLst>
            <c:ext xmlns:c16="http://schemas.microsoft.com/office/drawing/2014/chart" uri="{C3380CC4-5D6E-409C-BE32-E72D297353CC}">
              <c16:uniqueId val="{00000001-529D-4B68-8002-090FF9DF656D}"/>
            </c:ext>
          </c:extLst>
        </c:ser>
        <c:dLbls>
          <c:showLegendKey val="0"/>
          <c:showVal val="0"/>
          <c:showCatName val="0"/>
          <c:showSerName val="0"/>
          <c:showPercent val="0"/>
          <c:showBubbleSize val="0"/>
        </c:dLbls>
        <c:axId val="2092206943"/>
        <c:axId val="2092208383"/>
      </c:scatterChart>
      <c:valAx>
        <c:axId val="2092206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Windspeed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208383"/>
        <c:crosses val="autoZero"/>
        <c:crossBetween val="midCat"/>
      </c:valAx>
      <c:valAx>
        <c:axId val="20922083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206943"/>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Demand Forecast (Next 30 days)</a:t>
            </a:r>
          </a:p>
        </c:rich>
      </c:tx>
      <c:layout>
        <c:manualLayout>
          <c:xMode val="edge"/>
          <c:yMode val="edge"/>
          <c:x val="0.1180067804024496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'Pivot Table_Append_MergeDS12_DS'!$BV$4:$BV$76</c:f>
              <c:numCache>
                <c:formatCode>m/d/yyyy</c:formatCode>
                <c:ptCount val="7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numCache>
            </c:numRef>
          </c:cat>
          <c:val>
            <c:numRef>
              <c:f>'Pivot Table_Append_MergeDS12_DS'!$BW$4:$BW$76</c:f>
              <c:numCache>
                <c:formatCode>0.00</c:formatCode>
                <c:ptCount val="73"/>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45DD-4438-9BFF-A3E11795D400}"/>
            </c:ext>
          </c:extLst>
        </c:ser>
        <c:ser>
          <c:idx val="1"/>
          <c:order val="1"/>
          <c:spPr>
            <a:ln w="28575" cap="rnd">
              <a:solidFill>
                <a:schemeClr val="accent2"/>
              </a:solidFill>
              <a:round/>
            </a:ln>
            <a:effectLst/>
          </c:spPr>
          <c:marker>
            <c:symbol val="none"/>
          </c:marker>
          <c:cat>
            <c:numRef>
              <c:f>'Pivot Table_Append_MergeDS12_DS'!$BV$4:$BV$76</c:f>
              <c:numCache>
                <c:formatCode>m/d/yyyy</c:formatCode>
                <c:ptCount val="7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numCache>
            </c:numRef>
          </c:cat>
          <c:val>
            <c:numRef>
              <c:f>'Pivot Table_Append_MergeDS12_DS'!$BX$4:$BX$76</c:f>
              <c:numCache>
                <c:formatCode>General</c:formatCode>
                <c:ptCount val="73"/>
                <c:pt idx="45">
                  <c:v>1387.2167441635288</c:v>
                </c:pt>
                <c:pt idx="46">
                  <c:v>1392.5597746183603</c:v>
                </c:pt>
                <c:pt idx="47">
                  <c:v>1397.902805073192</c:v>
                </c:pt>
                <c:pt idx="48">
                  <c:v>1403.2458355280237</c:v>
                </c:pt>
                <c:pt idx="49">
                  <c:v>1408.5888659828554</c:v>
                </c:pt>
                <c:pt idx="50">
                  <c:v>1413.9318964376871</c:v>
                </c:pt>
                <c:pt idx="51">
                  <c:v>1419.2749268925186</c:v>
                </c:pt>
                <c:pt idx="52">
                  <c:v>1424.6179573473503</c:v>
                </c:pt>
                <c:pt idx="53">
                  <c:v>1429.960987802182</c:v>
                </c:pt>
                <c:pt idx="54">
                  <c:v>1435.3040182570135</c:v>
                </c:pt>
                <c:pt idx="55">
                  <c:v>1440.6470487118452</c:v>
                </c:pt>
                <c:pt idx="56">
                  <c:v>1445.9900791666769</c:v>
                </c:pt>
                <c:pt idx="57">
                  <c:v>1451.3331096215086</c:v>
                </c:pt>
                <c:pt idx="58">
                  <c:v>1456.6761400763403</c:v>
                </c:pt>
                <c:pt idx="59">
                  <c:v>1462.0191705311718</c:v>
                </c:pt>
                <c:pt idx="60">
                  <c:v>1467.3622009860035</c:v>
                </c:pt>
                <c:pt idx="61">
                  <c:v>1472.7052314408352</c:v>
                </c:pt>
                <c:pt idx="62">
                  <c:v>1478.0482618956667</c:v>
                </c:pt>
                <c:pt idx="63">
                  <c:v>1483.3912923504984</c:v>
                </c:pt>
                <c:pt idx="64">
                  <c:v>1488.7343228053301</c:v>
                </c:pt>
                <c:pt idx="65">
                  <c:v>1494.0773532601618</c:v>
                </c:pt>
                <c:pt idx="66">
                  <c:v>1499.4203837149935</c:v>
                </c:pt>
                <c:pt idx="67">
                  <c:v>1504.763414169825</c:v>
                </c:pt>
                <c:pt idx="68">
                  <c:v>1510.1064446246567</c:v>
                </c:pt>
                <c:pt idx="69">
                  <c:v>1515.4494750794884</c:v>
                </c:pt>
                <c:pt idx="70">
                  <c:v>1520.7925055343198</c:v>
                </c:pt>
                <c:pt idx="71">
                  <c:v>1526.1355359891515</c:v>
                </c:pt>
                <c:pt idx="72">
                  <c:v>1531.4785664439833</c:v>
                </c:pt>
              </c:numCache>
            </c:numRef>
          </c:val>
          <c:smooth val="0"/>
          <c:extLst>
            <c:ext xmlns:c16="http://schemas.microsoft.com/office/drawing/2014/chart" uri="{C3380CC4-5D6E-409C-BE32-E72D297353CC}">
              <c16:uniqueId val="{00000001-45DD-4438-9BFF-A3E11795D400}"/>
            </c:ext>
          </c:extLst>
        </c:ser>
        <c:dLbls>
          <c:showLegendKey val="0"/>
          <c:showVal val="0"/>
          <c:showCatName val="0"/>
          <c:showSerName val="0"/>
          <c:showPercent val="0"/>
          <c:showBubbleSize val="0"/>
        </c:dLbls>
        <c:smooth val="0"/>
        <c:axId val="1115693055"/>
        <c:axId val="1115697855"/>
      </c:lineChart>
      <c:dateAx>
        <c:axId val="111569305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697855"/>
        <c:crosses val="autoZero"/>
        <c:auto val="1"/>
        <c:lblOffset val="100"/>
        <c:baseTimeUnit val="days"/>
      </c:dateAx>
      <c:valAx>
        <c:axId val="11156978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69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6.svg"/><Relationship Id="rId18" Type="http://schemas.openxmlformats.org/officeDocument/2006/relationships/chart" Target="../charts/chart13.xml"/><Relationship Id="rId3" Type="http://schemas.openxmlformats.org/officeDocument/2006/relationships/image" Target="../media/image1.png"/><Relationship Id="rId21" Type="http://schemas.openxmlformats.org/officeDocument/2006/relationships/chart" Target="../charts/chart16.xml"/><Relationship Id="rId7" Type="http://schemas.openxmlformats.org/officeDocument/2006/relationships/chart" Target="../charts/chart10.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7.xml"/><Relationship Id="rId16" Type="http://schemas.openxmlformats.org/officeDocument/2006/relationships/image" Target="../media/image9.png"/><Relationship Id="rId20" Type="http://schemas.openxmlformats.org/officeDocument/2006/relationships/chart" Target="../charts/chart15.xml"/><Relationship Id="rId1" Type="http://schemas.openxmlformats.org/officeDocument/2006/relationships/chart" Target="../charts/chart6.xml"/><Relationship Id="rId6" Type="http://schemas.openxmlformats.org/officeDocument/2006/relationships/chart" Target="../charts/chart9.xml"/><Relationship Id="rId11" Type="http://schemas.openxmlformats.org/officeDocument/2006/relationships/image" Target="../media/image4.svg"/><Relationship Id="rId5" Type="http://schemas.openxmlformats.org/officeDocument/2006/relationships/chart" Target="../charts/chart8.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chart" Target="../charts/chart14.xml"/><Relationship Id="rId4" Type="http://schemas.openxmlformats.org/officeDocument/2006/relationships/image" Target="../media/image2.svg"/><Relationship Id="rId9" Type="http://schemas.openxmlformats.org/officeDocument/2006/relationships/chart" Target="../charts/chart12.xml"/><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3" Type="http://schemas.openxmlformats.org/officeDocument/2006/relationships/chart" Target="../charts/chart22.xml"/><Relationship Id="rId18" Type="http://schemas.openxmlformats.org/officeDocument/2006/relationships/image" Target="../media/image7.png"/><Relationship Id="rId26" Type="http://schemas.openxmlformats.org/officeDocument/2006/relationships/image" Target="../media/image19.png"/><Relationship Id="rId3" Type="http://schemas.openxmlformats.org/officeDocument/2006/relationships/hyperlink" Target="#Executive_Dashboard_Final!A1"/><Relationship Id="rId21" Type="http://schemas.openxmlformats.org/officeDocument/2006/relationships/image" Target="../media/image10.svg"/><Relationship Id="rId34" Type="http://schemas.openxmlformats.org/officeDocument/2006/relationships/image" Target="../media/image26.svg"/><Relationship Id="rId7" Type="http://schemas.openxmlformats.org/officeDocument/2006/relationships/image" Target="../media/image2.svg"/><Relationship Id="rId12" Type="http://schemas.openxmlformats.org/officeDocument/2006/relationships/chart" Target="../charts/chart21.xml"/><Relationship Id="rId17" Type="http://schemas.openxmlformats.org/officeDocument/2006/relationships/image" Target="../media/image6.svg"/><Relationship Id="rId25" Type="http://schemas.openxmlformats.org/officeDocument/2006/relationships/image" Target="../media/image18.svg"/><Relationship Id="rId33" Type="http://schemas.openxmlformats.org/officeDocument/2006/relationships/image" Target="../media/image25.png"/><Relationship Id="rId2" Type="http://schemas.openxmlformats.org/officeDocument/2006/relationships/image" Target="../media/image12.svg"/><Relationship Id="rId16" Type="http://schemas.openxmlformats.org/officeDocument/2006/relationships/image" Target="../media/image5.png"/><Relationship Id="rId20" Type="http://schemas.openxmlformats.org/officeDocument/2006/relationships/image" Target="../media/image9.png"/><Relationship Id="rId29" Type="http://schemas.openxmlformats.org/officeDocument/2006/relationships/image" Target="../media/image22.svg"/><Relationship Id="rId1" Type="http://schemas.openxmlformats.org/officeDocument/2006/relationships/image" Target="../media/image11.png"/><Relationship Id="rId6" Type="http://schemas.openxmlformats.org/officeDocument/2006/relationships/image" Target="../media/image1.png"/><Relationship Id="rId11" Type="http://schemas.openxmlformats.org/officeDocument/2006/relationships/chart" Target="../charts/chart20.xml"/><Relationship Id="rId24" Type="http://schemas.openxmlformats.org/officeDocument/2006/relationships/image" Target="../media/image17.png"/><Relationship Id="rId32" Type="http://schemas.openxmlformats.org/officeDocument/2006/relationships/hyperlink" Target="#Consumer_Dashboard_Final!A1"/><Relationship Id="rId5" Type="http://schemas.openxmlformats.org/officeDocument/2006/relationships/image" Target="../media/image14.svg"/><Relationship Id="rId15" Type="http://schemas.openxmlformats.org/officeDocument/2006/relationships/image" Target="../media/image4.svg"/><Relationship Id="rId23" Type="http://schemas.openxmlformats.org/officeDocument/2006/relationships/image" Target="../media/image16.svg"/><Relationship Id="rId28" Type="http://schemas.openxmlformats.org/officeDocument/2006/relationships/image" Target="../media/image21.png"/><Relationship Id="rId10" Type="http://schemas.openxmlformats.org/officeDocument/2006/relationships/chart" Target="../charts/chart19.xml"/><Relationship Id="rId19" Type="http://schemas.openxmlformats.org/officeDocument/2006/relationships/image" Target="../media/image8.svg"/><Relationship Id="rId31" Type="http://schemas.openxmlformats.org/officeDocument/2006/relationships/image" Target="../media/image24.svg"/><Relationship Id="rId4" Type="http://schemas.openxmlformats.org/officeDocument/2006/relationships/image" Target="../media/image13.png"/><Relationship Id="rId9" Type="http://schemas.openxmlformats.org/officeDocument/2006/relationships/chart" Target="../charts/chart18.xml"/><Relationship Id="rId14" Type="http://schemas.openxmlformats.org/officeDocument/2006/relationships/image" Target="../media/image3.png"/><Relationship Id="rId22" Type="http://schemas.openxmlformats.org/officeDocument/2006/relationships/image" Target="../media/image15.png"/><Relationship Id="rId27" Type="http://schemas.openxmlformats.org/officeDocument/2006/relationships/image" Target="../media/image20.svg"/><Relationship Id="rId30" Type="http://schemas.openxmlformats.org/officeDocument/2006/relationships/image" Target="../media/image23.png"/><Relationship Id="rId8"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8" Type="http://schemas.openxmlformats.org/officeDocument/2006/relationships/hyperlink" Target="#Executive_Dashboard_Final!A1"/><Relationship Id="rId13" Type="http://schemas.openxmlformats.org/officeDocument/2006/relationships/chart" Target="../charts/chart25.xml"/><Relationship Id="rId18" Type="http://schemas.openxmlformats.org/officeDocument/2006/relationships/image" Target="../media/image30.svg"/><Relationship Id="rId3" Type="http://schemas.openxmlformats.org/officeDocument/2006/relationships/image" Target="../media/image12.svg"/><Relationship Id="rId21" Type="http://schemas.openxmlformats.org/officeDocument/2006/relationships/image" Target="../media/image33.png"/><Relationship Id="rId7" Type="http://schemas.openxmlformats.org/officeDocument/2006/relationships/image" Target="../media/image26.svg"/><Relationship Id="rId12" Type="http://schemas.openxmlformats.org/officeDocument/2006/relationships/chart" Target="../charts/chart24.xml"/><Relationship Id="rId17" Type="http://schemas.openxmlformats.org/officeDocument/2006/relationships/image" Target="../media/image29.png"/><Relationship Id="rId2" Type="http://schemas.openxmlformats.org/officeDocument/2006/relationships/image" Target="../media/image11.png"/><Relationship Id="rId16" Type="http://schemas.openxmlformats.org/officeDocument/2006/relationships/image" Target="../media/image28.svg"/><Relationship Id="rId20" Type="http://schemas.openxmlformats.org/officeDocument/2006/relationships/image" Target="../media/image32.svg"/><Relationship Id="rId1" Type="http://schemas.openxmlformats.org/officeDocument/2006/relationships/hyperlink" Target="#Consumer_Dashboard_Final!A1"/><Relationship Id="rId6" Type="http://schemas.openxmlformats.org/officeDocument/2006/relationships/image" Target="../media/image25.png"/><Relationship Id="rId11" Type="http://schemas.openxmlformats.org/officeDocument/2006/relationships/chart" Target="../charts/chart23.xml"/><Relationship Id="rId5" Type="http://schemas.openxmlformats.org/officeDocument/2006/relationships/image" Target="../media/image14.svg"/><Relationship Id="rId15" Type="http://schemas.openxmlformats.org/officeDocument/2006/relationships/image" Target="../media/image27.png"/><Relationship Id="rId10" Type="http://schemas.openxmlformats.org/officeDocument/2006/relationships/image" Target="../media/image16.svg"/><Relationship Id="rId19" Type="http://schemas.openxmlformats.org/officeDocument/2006/relationships/image" Target="../media/image31.png"/><Relationship Id="rId4" Type="http://schemas.openxmlformats.org/officeDocument/2006/relationships/image" Target="../media/image13.png"/><Relationship Id="rId9" Type="http://schemas.openxmlformats.org/officeDocument/2006/relationships/image" Target="../media/image15.png"/><Relationship Id="rId14" Type="http://schemas.openxmlformats.org/officeDocument/2006/relationships/chart" Target="../charts/chart26.xml"/><Relationship Id="rId22" Type="http://schemas.openxmlformats.org/officeDocument/2006/relationships/image" Target="../media/image34.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373380</xdr:colOff>
      <xdr:row>25</xdr:row>
      <xdr:rowOff>7620</xdr:rowOff>
    </xdr:to>
    <xdr:graphicFrame macro="">
      <xdr:nvGraphicFramePr>
        <xdr:cNvPr id="6" name="Chart 5">
          <a:extLst>
            <a:ext uri="{FF2B5EF4-FFF2-40B4-BE49-F238E27FC236}">
              <a16:creationId xmlns:a16="http://schemas.microsoft.com/office/drawing/2014/main" id="{A54E33AB-3DB1-4C67-804D-A64CE4394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396240</xdr:colOff>
      <xdr:row>0</xdr:row>
      <xdr:rowOff>0</xdr:rowOff>
    </xdr:from>
    <xdr:to>
      <xdr:col>23</xdr:col>
      <xdr:colOff>464820</xdr:colOff>
      <xdr:row>25</xdr:row>
      <xdr:rowOff>15240</xdr:rowOff>
    </xdr:to>
    <xdr:graphicFrame macro="">
      <xdr:nvGraphicFramePr>
        <xdr:cNvPr id="7" name="Chart 6">
          <a:extLst>
            <a:ext uri="{FF2B5EF4-FFF2-40B4-BE49-F238E27FC236}">
              <a16:creationId xmlns:a16="http://schemas.microsoft.com/office/drawing/2014/main" id="{5902D739-4DB4-4E55-B5BD-3BFD4F11F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30480</xdr:rowOff>
    </xdr:from>
    <xdr:to>
      <xdr:col>12</xdr:col>
      <xdr:colOff>373380</xdr:colOff>
      <xdr:row>53</xdr:row>
      <xdr:rowOff>167640</xdr:rowOff>
    </xdr:to>
    <xdr:graphicFrame macro="">
      <xdr:nvGraphicFramePr>
        <xdr:cNvPr id="8" name="Chart 7">
          <a:extLst>
            <a:ext uri="{FF2B5EF4-FFF2-40B4-BE49-F238E27FC236}">
              <a16:creationId xmlns:a16="http://schemas.microsoft.com/office/drawing/2014/main" id="{04126095-91A8-41F1-85B2-D77755E60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54</xdr:row>
      <xdr:rowOff>15240</xdr:rowOff>
    </xdr:from>
    <xdr:to>
      <xdr:col>12</xdr:col>
      <xdr:colOff>365760</xdr:colOff>
      <xdr:row>84</xdr:row>
      <xdr:rowOff>137160</xdr:rowOff>
    </xdr:to>
    <xdr:graphicFrame macro="">
      <xdr:nvGraphicFramePr>
        <xdr:cNvPr id="9" name="Chart 8">
          <a:extLst>
            <a:ext uri="{FF2B5EF4-FFF2-40B4-BE49-F238E27FC236}">
              <a16:creationId xmlns:a16="http://schemas.microsoft.com/office/drawing/2014/main" id="{B42E3BB4-6C2E-43DC-8E95-A636E276D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396240</xdr:colOff>
      <xdr:row>25</xdr:row>
      <xdr:rowOff>45720</xdr:rowOff>
    </xdr:from>
    <xdr:to>
      <xdr:col>23</xdr:col>
      <xdr:colOff>487680</xdr:colOff>
      <xdr:row>53</xdr:row>
      <xdr:rowOff>160020</xdr:rowOff>
    </xdr:to>
    <xdr:graphicFrame macro="">
      <xdr:nvGraphicFramePr>
        <xdr:cNvPr id="2" name="Chart 1">
          <a:extLst>
            <a:ext uri="{FF2B5EF4-FFF2-40B4-BE49-F238E27FC236}">
              <a16:creationId xmlns:a16="http://schemas.microsoft.com/office/drawing/2014/main" id="{019CA7B3-2755-4265-A740-179588B79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22860</xdr:colOff>
      <xdr:row>18</xdr:row>
      <xdr:rowOff>3810</xdr:rowOff>
    </xdr:from>
    <xdr:to>
      <xdr:col>14</xdr:col>
      <xdr:colOff>327660</xdr:colOff>
      <xdr:row>33</xdr:row>
      <xdr:rowOff>3810</xdr:rowOff>
    </xdr:to>
    <xdr:graphicFrame macro="">
      <xdr:nvGraphicFramePr>
        <xdr:cNvPr id="2" name="Chart 1">
          <a:extLst>
            <a:ext uri="{FF2B5EF4-FFF2-40B4-BE49-F238E27FC236}">
              <a16:creationId xmlns:a16="http://schemas.microsoft.com/office/drawing/2014/main" id="{E5867E32-6873-69ED-91A0-81B680B91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68580</xdr:colOff>
      <xdr:row>6</xdr:row>
      <xdr:rowOff>19050</xdr:rowOff>
    </xdr:from>
    <xdr:to>
      <xdr:col>18</xdr:col>
      <xdr:colOff>297180</xdr:colOff>
      <xdr:row>21</xdr:row>
      <xdr:rowOff>19050</xdr:rowOff>
    </xdr:to>
    <xdr:graphicFrame macro="">
      <xdr:nvGraphicFramePr>
        <xdr:cNvPr id="3" name="Chart 2">
          <a:extLst>
            <a:ext uri="{FF2B5EF4-FFF2-40B4-BE49-F238E27FC236}">
              <a16:creationId xmlns:a16="http://schemas.microsoft.com/office/drawing/2014/main" id="{D77267F1-19DA-B117-EF0A-766F05950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15</xdr:col>
      <xdr:colOff>202909</xdr:colOff>
      <xdr:row>12</xdr:row>
      <xdr:rowOff>60960</xdr:rowOff>
    </xdr:from>
    <xdr:ext cx="951094" cy="436786"/>
    <xdr:sp macro="" textlink="">
      <xdr:nvSpPr>
        <xdr:cNvPr id="4" name="TextBox 3">
          <a:extLst>
            <a:ext uri="{FF2B5EF4-FFF2-40B4-BE49-F238E27FC236}">
              <a16:creationId xmlns:a16="http://schemas.microsoft.com/office/drawing/2014/main" id="{89899AA4-1F81-19B1-539D-59C2DA60B9D0}"/>
            </a:ext>
          </a:extLst>
        </xdr:cNvPr>
        <xdr:cNvSpPr txBox="1"/>
      </xdr:nvSpPr>
      <xdr:spPr>
        <a:xfrm>
          <a:off x="10863289" y="2255520"/>
          <a:ext cx="95109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a:t>58,304</a:t>
          </a:r>
        </a:p>
        <a:p>
          <a:pPr algn="ctr"/>
          <a:r>
            <a:rPr lang="en-IN" sz="1100" b="1"/>
            <a:t>Total Rentals</a:t>
          </a:r>
        </a:p>
      </xdr:txBody>
    </xdr:sp>
    <xdr:clientData/>
  </xdr:oneCellAnchor>
  <xdr:twoCellAnchor>
    <xdr:from>
      <xdr:col>3</xdr:col>
      <xdr:colOff>91440</xdr:colOff>
      <xdr:row>25</xdr:row>
      <xdr:rowOff>106680</xdr:rowOff>
    </xdr:from>
    <xdr:to>
      <xdr:col>6</xdr:col>
      <xdr:colOff>601980</xdr:colOff>
      <xdr:row>30</xdr:row>
      <xdr:rowOff>68580</xdr:rowOff>
    </xdr:to>
    <xdr:sp macro="" textlink="">
      <xdr:nvSpPr>
        <xdr:cNvPr id="5" name="TextBox 4">
          <a:extLst>
            <a:ext uri="{FF2B5EF4-FFF2-40B4-BE49-F238E27FC236}">
              <a16:creationId xmlns:a16="http://schemas.microsoft.com/office/drawing/2014/main" id="{AB499D6F-D6FC-720D-48C3-13714E7A733F}"/>
            </a:ext>
          </a:extLst>
        </xdr:cNvPr>
        <xdr:cNvSpPr txBox="1"/>
      </xdr:nvSpPr>
      <xdr:spPr>
        <a:xfrm>
          <a:off x="3360420" y="4678680"/>
          <a:ext cx="2339340" cy="876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Rentals</a:t>
          </a:r>
        </a:p>
        <a:p>
          <a:r>
            <a:rPr lang="en-IN" sz="2400" b="1"/>
            <a:t>58,304 </a:t>
          </a:r>
        </a:p>
        <a:p>
          <a:r>
            <a:rPr lang="en-IN" sz="1200" b="0" baseline="0"/>
            <a:t>  </a:t>
          </a:r>
          <a:r>
            <a:rPr lang="en-IN" sz="1200" b="0" baseline="0">
              <a:solidFill>
                <a:schemeClr val="tx1"/>
              </a:solidFill>
            </a:rPr>
            <a:t>Total Bike Rentals</a:t>
          </a:r>
          <a:endParaRPr lang="en-IN" sz="1200" b="0">
            <a:solidFill>
              <a:schemeClr val="tx1"/>
            </a:solidFill>
          </a:endParaRPr>
        </a:p>
      </xdr:txBody>
    </xdr:sp>
    <xdr:clientData/>
  </xdr:twoCellAnchor>
  <xdr:twoCellAnchor editAs="oneCell">
    <xdr:from>
      <xdr:col>5</xdr:col>
      <xdr:colOff>373380</xdr:colOff>
      <xdr:row>25</xdr:row>
      <xdr:rowOff>160020</xdr:rowOff>
    </xdr:from>
    <xdr:to>
      <xdr:col>6</xdr:col>
      <xdr:colOff>457200</xdr:colOff>
      <xdr:row>29</xdr:row>
      <xdr:rowOff>121920</xdr:rowOff>
    </xdr:to>
    <xdr:pic>
      <xdr:nvPicPr>
        <xdr:cNvPr id="7" name="Graphic 6" descr="Motorcycle with solid fill">
          <a:extLst>
            <a:ext uri="{FF2B5EF4-FFF2-40B4-BE49-F238E27FC236}">
              <a16:creationId xmlns:a16="http://schemas.microsoft.com/office/drawing/2014/main" id="{42814C42-5302-3194-398F-B18F34F5919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61560" y="4732020"/>
          <a:ext cx="693420" cy="693420"/>
        </a:xfrm>
        <a:prstGeom prst="rect">
          <a:avLst/>
        </a:prstGeom>
      </xdr:spPr>
    </xdr:pic>
    <xdr:clientData/>
  </xdr:twoCellAnchor>
  <xdr:twoCellAnchor>
    <xdr:from>
      <xdr:col>4</xdr:col>
      <xdr:colOff>502920</xdr:colOff>
      <xdr:row>3</xdr:row>
      <xdr:rowOff>19050</xdr:rowOff>
    </xdr:from>
    <xdr:to>
      <xdr:col>12</xdr:col>
      <xdr:colOff>198120</xdr:colOff>
      <xdr:row>18</xdr:row>
      <xdr:rowOff>19050</xdr:rowOff>
    </xdr:to>
    <xdr:graphicFrame macro="">
      <xdr:nvGraphicFramePr>
        <xdr:cNvPr id="8" name="Chart 7">
          <a:extLst>
            <a:ext uri="{FF2B5EF4-FFF2-40B4-BE49-F238E27FC236}">
              <a16:creationId xmlns:a16="http://schemas.microsoft.com/office/drawing/2014/main" id="{8070BC7E-F5B4-0194-B164-EEC66D873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426720</xdr:colOff>
      <xdr:row>38</xdr:row>
      <xdr:rowOff>38100</xdr:rowOff>
    </xdr:from>
    <xdr:to>
      <xdr:col>6</xdr:col>
      <xdr:colOff>594360</xdr:colOff>
      <xdr:row>42</xdr:row>
      <xdr:rowOff>83820</xdr:rowOff>
    </xdr:to>
    <xdr:pic>
      <xdr:nvPicPr>
        <xdr:cNvPr id="9" name="Graphic 8" descr="Motorcycle with solid fill">
          <a:extLst>
            <a:ext uri="{FF2B5EF4-FFF2-40B4-BE49-F238E27FC236}">
              <a16:creationId xmlns:a16="http://schemas.microsoft.com/office/drawing/2014/main" id="{D6D21DD6-DBE5-4154-9B06-A51CAEBD71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14900" y="6987540"/>
          <a:ext cx="777240" cy="777240"/>
        </a:xfrm>
        <a:prstGeom prst="rect">
          <a:avLst/>
        </a:prstGeom>
      </xdr:spPr>
    </xdr:pic>
    <xdr:clientData/>
  </xdr:twoCellAnchor>
  <xdr:twoCellAnchor>
    <xdr:from>
      <xdr:col>16</xdr:col>
      <xdr:colOff>381000</xdr:colOff>
      <xdr:row>28</xdr:row>
      <xdr:rowOff>133350</xdr:rowOff>
    </xdr:from>
    <xdr:to>
      <xdr:col>21</xdr:col>
      <xdr:colOff>251460</xdr:colOff>
      <xdr:row>43</xdr:row>
      <xdr:rowOff>133350</xdr:rowOff>
    </xdr:to>
    <xdr:graphicFrame macro="">
      <xdr:nvGraphicFramePr>
        <xdr:cNvPr id="10" name="Chart 9">
          <a:extLst>
            <a:ext uri="{FF2B5EF4-FFF2-40B4-BE49-F238E27FC236}">
              <a16:creationId xmlns:a16="http://schemas.microsoft.com/office/drawing/2014/main" id="{2CE9C704-E400-0B38-A6C7-4D1FD1ED2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472440</xdr:colOff>
      <xdr:row>11</xdr:row>
      <xdr:rowOff>64770</xdr:rowOff>
    </xdr:from>
    <xdr:to>
      <xdr:col>25</xdr:col>
      <xdr:colOff>403860</xdr:colOff>
      <xdr:row>26</xdr:row>
      <xdr:rowOff>64770</xdr:rowOff>
    </xdr:to>
    <xdr:graphicFrame macro="">
      <xdr:nvGraphicFramePr>
        <xdr:cNvPr id="6" name="Chart 5">
          <a:extLst>
            <a:ext uri="{FF2B5EF4-FFF2-40B4-BE49-F238E27FC236}">
              <a16:creationId xmlns:a16="http://schemas.microsoft.com/office/drawing/2014/main" id="{9BB8991F-DA01-3A46-1B3B-85E50BB85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541020</xdr:colOff>
      <xdr:row>16</xdr:row>
      <xdr:rowOff>19050</xdr:rowOff>
    </xdr:from>
    <xdr:to>
      <xdr:col>31</xdr:col>
      <xdr:colOff>411480</xdr:colOff>
      <xdr:row>31</xdr:row>
      <xdr:rowOff>19050</xdr:rowOff>
    </xdr:to>
    <xdr:graphicFrame macro="">
      <xdr:nvGraphicFramePr>
        <xdr:cNvPr id="11" name="Chart 10">
          <a:extLst>
            <a:ext uri="{FF2B5EF4-FFF2-40B4-BE49-F238E27FC236}">
              <a16:creationId xmlns:a16="http://schemas.microsoft.com/office/drawing/2014/main" id="{3BF6459E-D4F0-A117-778C-8ED8462AE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289560</xdr:colOff>
      <xdr:row>7</xdr:row>
      <xdr:rowOff>72390</xdr:rowOff>
    </xdr:from>
    <xdr:to>
      <xdr:col>35</xdr:col>
      <xdr:colOff>0</xdr:colOff>
      <xdr:row>22</xdr:row>
      <xdr:rowOff>72390</xdr:rowOff>
    </xdr:to>
    <xdr:graphicFrame macro="">
      <xdr:nvGraphicFramePr>
        <xdr:cNvPr id="16" name="Chart 15">
          <a:extLst>
            <a:ext uri="{FF2B5EF4-FFF2-40B4-BE49-F238E27FC236}">
              <a16:creationId xmlns:a16="http://schemas.microsoft.com/office/drawing/2014/main" id="{33ECE715-3BFE-4661-9D46-BF356B392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563880</xdr:colOff>
      <xdr:row>49</xdr:row>
      <xdr:rowOff>83820</xdr:rowOff>
    </xdr:from>
    <xdr:to>
      <xdr:col>6</xdr:col>
      <xdr:colOff>464820</xdr:colOff>
      <xdr:row>54</xdr:row>
      <xdr:rowOff>45720</xdr:rowOff>
    </xdr:to>
    <xdr:sp macro="" textlink="">
      <xdr:nvSpPr>
        <xdr:cNvPr id="17" name="TextBox 16">
          <a:extLst>
            <a:ext uri="{FF2B5EF4-FFF2-40B4-BE49-F238E27FC236}">
              <a16:creationId xmlns:a16="http://schemas.microsoft.com/office/drawing/2014/main" id="{29BF12FF-D1DD-44B6-9E1F-71340FBF3791}"/>
            </a:ext>
          </a:extLst>
        </xdr:cNvPr>
        <xdr:cNvSpPr txBox="1"/>
      </xdr:nvSpPr>
      <xdr:spPr>
        <a:xfrm>
          <a:off x="3223260" y="9044940"/>
          <a:ext cx="2339340" cy="876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Registered Users</a:t>
          </a:r>
        </a:p>
        <a:p>
          <a:r>
            <a:rPr lang="en-IN" sz="2400" b="1"/>
            <a:t>53,383 </a:t>
          </a:r>
        </a:p>
        <a:p>
          <a:r>
            <a:rPr lang="en-IN" sz="1200" b="0" baseline="0"/>
            <a:t>  </a:t>
          </a:r>
          <a:r>
            <a:rPr lang="en-IN" sz="1200" b="0" baseline="0">
              <a:solidFill>
                <a:schemeClr val="tx1"/>
              </a:solidFill>
            </a:rPr>
            <a:t>91.56 % of Total</a:t>
          </a:r>
          <a:endParaRPr lang="en-IN" sz="1200" b="0">
            <a:solidFill>
              <a:schemeClr val="tx1"/>
            </a:solidFill>
          </a:endParaRPr>
        </a:p>
      </xdr:txBody>
    </xdr:sp>
    <xdr:clientData/>
  </xdr:twoCellAnchor>
  <xdr:twoCellAnchor editAs="oneCell">
    <xdr:from>
      <xdr:col>5</xdr:col>
      <xdr:colOff>304800</xdr:colOff>
      <xdr:row>50</xdr:row>
      <xdr:rowOff>22860</xdr:rowOff>
    </xdr:from>
    <xdr:to>
      <xdr:col>6</xdr:col>
      <xdr:colOff>327660</xdr:colOff>
      <xdr:row>53</xdr:row>
      <xdr:rowOff>106680</xdr:rowOff>
    </xdr:to>
    <xdr:pic>
      <xdr:nvPicPr>
        <xdr:cNvPr id="19" name="Graphic 18" descr="User with solid fill">
          <a:extLst>
            <a:ext uri="{FF2B5EF4-FFF2-40B4-BE49-F238E27FC236}">
              <a16:creationId xmlns:a16="http://schemas.microsoft.com/office/drawing/2014/main" id="{8A674361-802C-42F2-6ACD-861F4BA37F5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792980" y="9166860"/>
          <a:ext cx="632460" cy="632460"/>
        </a:xfrm>
        <a:prstGeom prst="rect">
          <a:avLst/>
        </a:prstGeom>
      </xdr:spPr>
    </xdr:pic>
    <xdr:clientData/>
  </xdr:twoCellAnchor>
  <xdr:twoCellAnchor>
    <xdr:from>
      <xdr:col>2</xdr:col>
      <xdr:colOff>556260</xdr:colOff>
      <xdr:row>57</xdr:row>
      <xdr:rowOff>121920</xdr:rowOff>
    </xdr:from>
    <xdr:to>
      <xdr:col>6</xdr:col>
      <xdr:colOff>457200</xdr:colOff>
      <xdr:row>62</xdr:row>
      <xdr:rowOff>83820</xdr:rowOff>
    </xdr:to>
    <xdr:sp macro="" textlink="">
      <xdr:nvSpPr>
        <xdr:cNvPr id="12" name="TextBox 11">
          <a:extLst>
            <a:ext uri="{FF2B5EF4-FFF2-40B4-BE49-F238E27FC236}">
              <a16:creationId xmlns:a16="http://schemas.microsoft.com/office/drawing/2014/main" id="{418983D7-9FD3-4E0B-84F7-5FE1301296E6}"/>
            </a:ext>
          </a:extLst>
        </xdr:cNvPr>
        <xdr:cNvSpPr txBox="1"/>
      </xdr:nvSpPr>
      <xdr:spPr>
        <a:xfrm>
          <a:off x="3215640" y="10546080"/>
          <a:ext cx="2339340" cy="876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Casual Users</a:t>
          </a:r>
        </a:p>
        <a:p>
          <a:r>
            <a:rPr lang="en-IN" sz="2400" b="1"/>
            <a:t>4,921</a:t>
          </a:r>
        </a:p>
        <a:p>
          <a:r>
            <a:rPr lang="en-IN" sz="1200" b="0" baseline="0"/>
            <a:t>  </a:t>
          </a:r>
          <a:r>
            <a:rPr lang="en-IN" sz="1200" b="0" baseline="0">
              <a:solidFill>
                <a:schemeClr val="tx1"/>
              </a:solidFill>
            </a:rPr>
            <a:t>8.44 % of Total</a:t>
          </a:r>
          <a:endParaRPr lang="en-IN" sz="1200" b="0">
            <a:solidFill>
              <a:schemeClr val="tx1"/>
            </a:solidFill>
          </a:endParaRPr>
        </a:p>
      </xdr:txBody>
    </xdr:sp>
    <xdr:clientData/>
  </xdr:twoCellAnchor>
  <xdr:twoCellAnchor editAs="oneCell">
    <xdr:from>
      <xdr:col>5</xdr:col>
      <xdr:colOff>297180</xdr:colOff>
      <xdr:row>58</xdr:row>
      <xdr:rowOff>60960</xdr:rowOff>
    </xdr:from>
    <xdr:to>
      <xdr:col>6</xdr:col>
      <xdr:colOff>320040</xdr:colOff>
      <xdr:row>61</xdr:row>
      <xdr:rowOff>144780</xdr:rowOff>
    </xdr:to>
    <xdr:pic>
      <xdr:nvPicPr>
        <xdr:cNvPr id="13" name="Graphic 12" descr="User with solid fill">
          <a:extLst>
            <a:ext uri="{FF2B5EF4-FFF2-40B4-BE49-F238E27FC236}">
              <a16:creationId xmlns:a16="http://schemas.microsoft.com/office/drawing/2014/main" id="{DF0FE932-F075-454F-B3A7-7BE0C8FF8E8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785360" y="10668000"/>
          <a:ext cx="632460" cy="632460"/>
        </a:xfrm>
        <a:prstGeom prst="rect">
          <a:avLst/>
        </a:prstGeom>
      </xdr:spPr>
    </xdr:pic>
    <xdr:clientData/>
  </xdr:twoCellAnchor>
  <xdr:twoCellAnchor>
    <xdr:from>
      <xdr:col>2</xdr:col>
      <xdr:colOff>434340</xdr:colOff>
      <xdr:row>67</xdr:row>
      <xdr:rowOff>137160</xdr:rowOff>
    </xdr:from>
    <xdr:to>
      <xdr:col>6</xdr:col>
      <xdr:colOff>335280</xdr:colOff>
      <xdr:row>72</xdr:row>
      <xdr:rowOff>99060</xdr:rowOff>
    </xdr:to>
    <xdr:sp macro="" textlink="">
      <xdr:nvSpPr>
        <xdr:cNvPr id="15" name="TextBox 14">
          <a:extLst>
            <a:ext uri="{FF2B5EF4-FFF2-40B4-BE49-F238E27FC236}">
              <a16:creationId xmlns:a16="http://schemas.microsoft.com/office/drawing/2014/main" id="{659790F1-B13C-4290-B67F-9966DCC0415C}"/>
            </a:ext>
          </a:extLst>
        </xdr:cNvPr>
        <xdr:cNvSpPr txBox="1"/>
      </xdr:nvSpPr>
      <xdr:spPr>
        <a:xfrm>
          <a:off x="3093720" y="12390120"/>
          <a:ext cx="2339340" cy="876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Hourly Rentals</a:t>
          </a:r>
        </a:p>
        <a:p>
          <a:r>
            <a:rPr lang="en-IN" sz="2400" b="1"/>
            <a:t>58</a:t>
          </a:r>
        </a:p>
        <a:p>
          <a:r>
            <a:rPr lang="en-IN" sz="1200" b="0" baseline="0"/>
            <a:t>  </a:t>
          </a:r>
          <a:r>
            <a:rPr lang="en-IN" sz="1200" b="0" baseline="0">
              <a:solidFill>
                <a:schemeClr val="tx1"/>
              </a:solidFill>
            </a:rPr>
            <a:t>Across All Hours</a:t>
          </a:r>
          <a:endParaRPr lang="en-IN" sz="1200" b="0">
            <a:solidFill>
              <a:schemeClr val="tx1"/>
            </a:solidFill>
          </a:endParaRPr>
        </a:p>
      </xdr:txBody>
    </xdr:sp>
    <xdr:clientData/>
  </xdr:twoCellAnchor>
  <xdr:twoCellAnchor editAs="oneCell">
    <xdr:from>
      <xdr:col>5</xdr:col>
      <xdr:colOff>38100</xdr:colOff>
      <xdr:row>68</xdr:row>
      <xdr:rowOff>76200</xdr:rowOff>
    </xdr:from>
    <xdr:to>
      <xdr:col>6</xdr:col>
      <xdr:colOff>68580</xdr:colOff>
      <xdr:row>71</xdr:row>
      <xdr:rowOff>167640</xdr:rowOff>
    </xdr:to>
    <xdr:pic>
      <xdr:nvPicPr>
        <xdr:cNvPr id="21" name="Graphic 20" descr="Clock with solid fill">
          <a:extLst>
            <a:ext uri="{FF2B5EF4-FFF2-40B4-BE49-F238E27FC236}">
              <a16:creationId xmlns:a16="http://schemas.microsoft.com/office/drawing/2014/main" id="{59D2A7D4-4050-AC5D-5656-352DC64A70C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526280" y="12512040"/>
          <a:ext cx="640080" cy="640080"/>
        </a:xfrm>
        <a:prstGeom prst="rect">
          <a:avLst/>
        </a:prstGeom>
      </xdr:spPr>
    </xdr:pic>
    <xdr:clientData/>
  </xdr:twoCellAnchor>
  <xdr:twoCellAnchor>
    <xdr:from>
      <xdr:col>2</xdr:col>
      <xdr:colOff>487680</xdr:colOff>
      <xdr:row>77</xdr:row>
      <xdr:rowOff>106680</xdr:rowOff>
    </xdr:from>
    <xdr:to>
      <xdr:col>6</xdr:col>
      <xdr:colOff>388620</xdr:colOff>
      <xdr:row>82</xdr:row>
      <xdr:rowOff>68580</xdr:rowOff>
    </xdr:to>
    <xdr:sp macro="" textlink="">
      <xdr:nvSpPr>
        <xdr:cNvPr id="22" name="TextBox 21">
          <a:extLst>
            <a:ext uri="{FF2B5EF4-FFF2-40B4-BE49-F238E27FC236}">
              <a16:creationId xmlns:a16="http://schemas.microsoft.com/office/drawing/2014/main" id="{5EFD946C-B7A3-465E-8A02-DB42D6DF650C}"/>
            </a:ext>
          </a:extLst>
        </xdr:cNvPr>
        <xdr:cNvSpPr txBox="1"/>
      </xdr:nvSpPr>
      <xdr:spPr>
        <a:xfrm>
          <a:off x="3147060" y="14188440"/>
          <a:ext cx="2339340" cy="876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Peak Hour</a:t>
          </a:r>
        </a:p>
        <a:p>
          <a:r>
            <a:rPr lang="en-IN" sz="2400" b="1"/>
            <a:t>5</a:t>
          </a:r>
          <a:r>
            <a:rPr lang="en-IN" sz="2400" b="1" baseline="0"/>
            <a:t> PM</a:t>
          </a:r>
          <a:endParaRPr lang="en-IN" sz="2400" b="1"/>
        </a:p>
        <a:p>
          <a:r>
            <a:rPr lang="en-IN" sz="1200" b="0" baseline="0"/>
            <a:t>  </a:t>
          </a:r>
          <a:r>
            <a:rPr lang="en-IN" sz="1200" b="0" baseline="0">
              <a:solidFill>
                <a:schemeClr val="tx1"/>
              </a:solidFill>
            </a:rPr>
            <a:t>140 Avg Rentals</a:t>
          </a:r>
          <a:endParaRPr lang="en-IN" sz="1200" b="0">
            <a:solidFill>
              <a:schemeClr val="tx1"/>
            </a:solidFill>
          </a:endParaRPr>
        </a:p>
      </xdr:txBody>
    </xdr:sp>
    <xdr:clientData/>
  </xdr:twoCellAnchor>
  <xdr:twoCellAnchor editAs="oneCell">
    <xdr:from>
      <xdr:col>5</xdr:col>
      <xdr:colOff>91440</xdr:colOff>
      <xdr:row>78</xdr:row>
      <xdr:rowOff>83820</xdr:rowOff>
    </xdr:from>
    <xdr:to>
      <xdr:col>6</xdr:col>
      <xdr:colOff>137160</xdr:colOff>
      <xdr:row>82</xdr:row>
      <xdr:rowOff>7620</xdr:rowOff>
    </xdr:to>
    <xdr:pic>
      <xdr:nvPicPr>
        <xdr:cNvPr id="24" name="Graphic 23" descr="Escalator Up with solid fill">
          <a:extLst>
            <a:ext uri="{FF2B5EF4-FFF2-40B4-BE49-F238E27FC236}">
              <a16:creationId xmlns:a16="http://schemas.microsoft.com/office/drawing/2014/main" id="{1A139C2E-356F-C803-ED0E-0E40C0D8C44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739640" y="14348460"/>
          <a:ext cx="655320" cy="655320"/>
        </a:xfrm>
        <a:prstGeom prst="rect">
          <a:avLst/>
        </a:prstGeom>
      </xdr:spPr>
    </xdr:pic>
    <xdr:clientData/>
  </xdr:twoCellAnchor>
  <xdr:twoCellAnchor>
    <xdr:from>
      <xdr:col>30</xdr:col>
      <xdr:colOff>114300</xdr:colOff>
      <xdr:row>6</xdr:row>
      <xdr:rowOff>41910</xdr:rowOff>
    </xdr:from>
    <xdr:to>
      <xdr:col>35</xdr:col>
      <xdr:colOff>198120</xdr:colOff>
      <xdr:row>21</xdr:row>
      <xdr:rowOff>41910</xdr:rowOff>
    </xdr:to>
    <xdr:graphicFrame macro="">
      <xdr:nvGraphicFramePr>
        <xdr:cNvPr id="26" name="Chart 25">
          <a:extLst>
            <a:ext uri="{FF2B5EF4-FFF2-40B4-BE49-F238E27FC236}">
              <a16:creationId xmlns:a16="http://schemas.microsoft.com/office/drawing/2014/main" id="{B9456A70-5F2D-C09D-1FEC-2769FE11B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47</xdr:col>
      <xdr:colOff>251460</xdr:colOff>
      <xdr:row>12</xdr:row>
      <xdr:rowOff>11430</xdr:rowOff>
    </xdr:from>
    <xdr:to>
      <xdr:col>54</xdr:col>
      <xdr:colOff>556260</xdr:colOff>
      <xdr:row>27</xdr:row>
      <xdr:rowOff>11430</xdr:rowOff>
    </xdr:to>
    <xdr:graphicFrame macro="">
      <xdr:nvGraphicFramePr>
        <xdr:cNvPr id="29" name="Chart 28">
          <a:extLst>
            <a:ext uri="{FF2B5EF4-FFF2-40B4-BE49-F238E27FC236}">
              <a16:creationId xmlns:a16="http://schemas.microsoft.com/office/drawing/2014/main" id="{D9FB7E45-89BF-6809-98E5-B7E544754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61</xdr:col>
      <xdr:colOff>236220</xdr:colOff>
      <xdr:row>4</xdr:row>
      <xdr:rowOff>148590</xdr:rowOff>
    </xdr:from>
    <xdr:to>
      <xdr:col>68</xdr:col>
      <xdr:colOff>541020</xdr:colOff>
      <xdr:row>19</xdr:row>
      <xdr:rowOff>148590</xdr:rowOff>
    </xdr:to>
    <xdr:graphicFrame macro="">
      <xdr:nvGraphicFramePr>
        <xdr:cNvPr id="30" name="Chart 29">
          <a:extLst>
            <a:ext uri="{FF2B5EF4-FFF2-40B4-BE49-F238E27FC236}">
              <a16:creationId xmlns:a16="http://schemas.microsoft.com/office/drawing/2014/main" id="{BBE156A4-645B-BCC1-07CE-14271AAA3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65</xdr:col>
      <xdr:colOff>281940</xdr:colOff>
      <xdr:row>56</xdr:row>
      <xdr:rowOff>41910</xdr:rowOff>
    </xdr:from>
    <xdr:to>
      <xdr:col>71</xdr:col>
      <xdr:colOff>944880</xdr:colOff>
      <xdr:row>71</xdr:row>
      <xdr:rowOff>41910</xdr:rowOff>
    </xdr:to>
    <xdr:graphicFrame macro="">
      <xdr:nvGraphicFramePr>
        <xdr:cNvPr id="31" name="Chart 30">
          <a:extLst>
            <a:ext uri="{FF2B5EF4-FFF2-40B4-BE49-F238E27FC236}">
              <a16:creationId xmlns:a16="http://schemas.microsoft.com/office/drawing/2014/main" id="{B7EEC0D0-3718-58DB-F42D-D3D8EB7FD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63</xdr:col>
      <xdr:colOff>396240</xdr:colOff>
      <xdr:row>20</xdr:row>
      <xdr:rowOff>38100</xdr:rowOff>
    </xdr:from>
    <xdr:to>
      <xdr:col>69</xdr:col>
      <xdr:colOff>76200</xdr:colOff>
      <xdr:row>27</xdr:row>
      <xdr:rowOff>129540</xdr:rowOff>
    </xdr:to>
    <mc:AlternateContent xmlns:mc="http://schemas.openxmlformats.org/markup-compatibility/2006">
      <mc:Choice xmlns:tsle="http://schemas.microsoft.com/office/drawing/2012/timeslicer" Requires="tsle">
        <xdr:graphicFrame macro="">
          <xdr:nvGraphicFramePr>
            <xdr:cNvPr id="32" name="Date">
              <a:extLst>
                <a:ext uri="{FF2B5EF4-FFF2-40B4-BE49-F238E27FC236}">
                  <a16:creationId xmlns:a16="http://schemas.microsoft.com/office/drawing/2014/main" id="{05693744-9D17-3EB6-7EAF-500F5A214E5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1907440" y="36957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929640</xdr:colOff>
      <xdr:row>28</xdr:row>
      <xdr:rowOff>53341</xdr:rowOff>
    </xdr:from>
    <xdr:to>
      <xdr:col>26</xdr:col>
      <xdr:colOff>137160</xdr:colOff>
      <xdr:row>40</xdr:row>
      <xdr:rowOff>68581</xdr:rowOff>
    </xdr:to>
    <mc:AlternateContent xmlns:mc="http://schemas.openxmlformats.org/markup-compatibility/2006">
      <mc:Choice xmlns:a14="http://schemas.microsoft.com/office/drawing/2010/main" Requires="a14">
        <xdr:graphicFrame macro="">
          <xdr:nvGraphicFramePr>
            <xdr:cNvPr id="33" name="Weekday">
              <a:extLst>
                <a:ext uri="{FF2B5EF4-FFF2-40B4-BE49-F238E27FC236}">
                  <a16:creationId xmlns:a16="http://schemas.microsoft.com/office/drawing/2014/main" id="{614BBEAF-4842-BF8A-2584-EEC2CFCD49FF}"/>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19491960" y="5173981"/>
              <a:ext cx="1828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716280</xdr:colOff>
      <xdr:row>31</xdr:row>
      <xdr:rowOff>137161</xdr:rowOff>
    </xdr:from>
    <xdr:to>
      <xdr:col>27</xdr:col>
      <xdr:colOff>1684020</xdr:colOff>
      <xdr:row>39</xdr:row>
      <xdr:rowOff>99061</xdr:rowOff>
    </xdr:to>
    <mc:AlternateContent xmlns:mc="http://schemas.openxmlformats.org/markup-compatibility/2006">
      <mc:Choice xmlns:a14="http://schemas.microsoft.com/office/drawing/2010/main" Requires="a14">
        <xdr:graphicFrame macro="">
          <xdr:nvGraphicFramePr>
            <xdr:cNvPr id="34" name="Weather Condition">
              <a:extLst>
                <a:ext uri="{FF2B5EF4-FFF2-40B4-BE49-F238E27FC236}">
                  <a16:creationId xmlns:a16="http://schemas.microsoft.com/office/drawing/2014/main" id="{E2889233-27BE-9C25-8351-6B7472469CA6}"/>
                </a:ext>
              </a:extLst>
            </xdr:cNvPr>
            <xdr:cNvGraphicFramePr/>
          </xdr:nvGraphicFramePr>
          <xdr:xfrm>
            <a:off x="0" y="0"/>
            <a:ext cx="0" cy="0"/>
          </xdr:xfrm>
          <a:graphic>
            <a:graphicData uri="http://schemas.microsoft.com/office/drawing/2010/slicer">
              <sle:slicer xmlns:sle="http://schemas.microsoft.com/office/drawing/2010/slicer" name="Weather Condition"/>
            </a:graphicData>
          </a:graphic>
        </xdr:graphicFrame>
      </mc:Choice>
      <mc:Fallback>
        <xdr:sp macro="" textlink="">
          <xdr:nvSpPr>
            <xdr:cNvPr id="0" name=""/>
            <xdr:cNvSpPr>
              <a:spLocks noTextEdit="1"/>
            </xdr:cNvSpPr>
          </xdr:nvSpPr>
          <xdr:spPr>
            <a:xfrm>
              <a:off x="21899880" y="580644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99060</xdr:colOff>
      <xdr:row>51</xdr:row>
      <xdr:rowOff>0</xdr:rowOff>
    </xdr:to>
    <xdr:sp macro="" textlink="">
      <xdr:nvSpPr>
        <xdr:cNvPr id="2" name="Rectangle 1">
          <a:extLst>
            <a:ext uri="{FF2B5EF4-FFF2-40B4-BE49-F238E27FC236}">
              <a16:creationId xmlns:a16="http://schemas.microsoft.com/office/drawing/2014/main" id="{55B156A7-8859-FD53-83BA-67188D0FD6A9}"/>
            </a:ext>
          </a:extLst>
        </xdr:cNvPr>
        <xdr:cNvSpPr/>
      </xdr:nvSpPr>
      <xdr:spPr>
        <a:xfrm>
          <a:off x="0" y="0"/>
          <a:ext cx="1927860" cy="9326880"/>
        </a:xfrm>
        <a:prstGeom prst="rect">
          <a:avLst/>
        </a:prstGeom>
        <a:solidFill>
          <a:srgbClr val="002060"/>
        </a:solidFill>
        <a:ln>
          <a:noFill/>
        </a:ln>
        <a:effectLst>
          <a:outerShdw blurRad="50800" dist="38100" dir="2700000" algn="tl" rotWithShape="0">
            <a:srgbClr val="1E90F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sng"/>
        </a:p>
      </xdr:txBody>
    </xdr:sp>
    <xdr:clientData/>
  </xdr:twoCellAnchor>
  <xdr:twoCellAnchor editAs="oneCell">
    <xdr:from>
      <xdr:col>0</xdr:col>
      <xdr:colOff>449580</xdr:colOff>
      <xdr:row>0</xdr:row>
      <xdr:rowOff>0</xdr:rowOff>
    </xdr:from>
    <xdr:to>
      <xdr:col>2</xdr:col>
      <xdr:colOff>144780</xdr:colOff>
      <xdr:row>5</xdr:row>
      <xdr:rowOff>0</xdr:rowOff>
    </xdr:to>
    <xdr:pic>
      <xdr:nvPicPr>
        <xdr:cNvPr id="7" name="Graphic 6" descr="Motorcycle outline">
          <a:extLst>
            <a:ext uri="{FF2B5EF4-FFF2-40B4-BE49-F238E27FC236}">
              <a16:creationId xmlns:a16="http://schemas.microsoft.com/office/drawing/2014/main" id="{ED0C0B2C-4934-D5A5-F25F-B71EDD21DC7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9580" y="0"/>
          <a:ext cx="914400" cy="914400"/>
        </a:xfrm>
        <a:prstGeom prst="rect">
          <a:avLst/>
        </a:prstGeom>
      </xdr:spPr>
    </xdr:pic>
    <xdr:clientData/>
  </xdr:twoCellAnchor>
  <xdr:oneCellAnchor>
    <xdr:from>
      <xdr:col>0</xdr:col>
      <xdr:colOff>7620</xdr:colOff>
      <xdr:row>4</xdr:row>
      <xdr:rowOff>29265</xdr:rowOff>
    </xdr:from>
    <xdr:ext cx="1767840" cy="530658"/>
    <xdr:sp macro="" textlink="">
      <xdr:nvSpPr>
        <xdr:cNvPr id="8" name="TextBox 7">
          <a:extLst>
            <a:ext uri="{FF2B5EF4-FFF2-40B4-BE49-F238E27FC236}">
              <a16:creationId xmlns:a16="http://schemas.microsoft.com/office/drawing/2014/main" id="{EF20BB4A-F97B-63B9-5D49-E9DAAEB4629C}"/>
            </a:ext>
          </a:extLst>
        </xdr:cNvPr>
        <xdr:cNvSpPr txBox="1"/>
      </xdr:nvSpPr>
      <xdr:spPr>
        <a:xfrm>
          <a:off x="7620" y="760785"/>
          <a:ext cx="176784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cap="all" baseline="0">
              <a:solidFill>
                <a:schemeClr val="bg1"/>
              </a:solidFill>
            </a:rPr>
            <a:t>Bike Rental</a:t>
          </a:r>
        </a:p>
        <a:p>
          <a:pPr algn="ctr"/>
          <a:r>
            <a:rPr lang="en-IN" sz="1200" cap="all" baseline="0">
              <a:solidFill>
                <a:schemeClr val="bg1"/>
              </a:solidFill>
            </a:rPr>
            <a:t>Dashboard</a:t>
          </a:r>
        </a:p>
      </xdr:txBody>
    </xdr:sp>
    <xdr:clientData/>
  </xdr:oneCellAnchor>
  <xdr:twoCellAnchor>
    <xdr:from>
      <xdr:col>0</xdr:col>
      <xdr:colOff>213360</xdr:colOff>
      <xdr:row>8</xdr:row>
      <xdr:rowOff>114300</xdr:rowOff>
    </xdr:from>
    <xdr:to>
      <xdr:col>3</xdr:col>
      <xdr:colOff>274320</xdr:colOff>
      <xdr:row>11</xdr:row>
      <xdr:rowOff>83820</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B97D6D9C-AB15-8ABD-D896-105C6AC474DA}"/>
            </a:ext>
          </a:extLst>
        </xdr:cNvPr>
        <xdr:cNvSpPr/>
      </xdr:nvSpPr>
      <xdr:spPr>
        <a:xfrm>
          <a:off x="213360" y="1577340"/>
          <a:ext cx="1889760" cy="518160"/>
        </a:xfrm>
        <a:prstGeom prst="roundRect">
          <a:avLst/>
        </a:prstGeom>
        <a:gradFill flip="none" rotWithShape="1">
          <a:gsLst>
            <a:gs pos="0">
              <a:srgbClr val="1E90FF">
                <a:lumMod val="99000"/>
              </a:srgbClr>
            </a:gs>
            <a:gs pos="29000">
              <a:srgbClr val="1E90FF"/>
            </a:gs>
            <a:gs pos="18000">
              <a:srgbClr val="1E90FF"/>
            </a:gs>
            <a:gs pos="83000">
              <a:srgbClr val="3742FA"/>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lt1"/>
              </a:solidFill>
              <a:effectLst/>
              <a:latin typeface="+mn-lt"/>
              <a:ea typeface="+mn-ea"/>
              <a:cs typeface="+mn-cs"/>
            </a:rPr>
            <a:t>         Overview</a:t>
          </a:r>
          <a:endParaRPr lang="en-IN" sz="1400" b="1">
            <a:effectLst/>
          </a:endParaRPr>
        </a:p>
      </xdr:txBody>
    </xdr:sp>
    <xdr:clientData/>
  </xdr:twoCellAnchor>
  <xdr:twoCellAnchor>
    <xdr:from>
      <xdr:col>3</xdr:col>
      <xdr:colOff>83820</xdr:colOff>
      <xdr:row>0</xdr:row>
      <xdr:rowOff>0</xdr:rowOff>
    </xdr:from>
    <xdr:to>
      <xdr:col>3</xdr:col>
      <xdr:colOff>419100</xdr:colOff>
      <xdr:row>51</xdr:row>
      <xdr:rowOff>22860</xdr:rowOff>
    </xdr:to>
    <xdr:sp macro="" textlink="">
      <xdr:nvSpPr>
        <xdr:cNvPr id="11" name="Rectangle 10">
          <a:extLst>
            <a:ext uri="{FF2B5EF4-FFF2-40B4-BE49-F238E27FC236}">
              <a16:creationId xmlns:a16="http://schemas.microsoft.com/office/drawing/2014/main" id="{8F6DC64F-518D-F2E1-B43C-E198AF44D5D8}"/>
            </a:ext>
          </a:extLst>
        </xdr:cNvPr>
        <xdr:cNvSpPr/>
      </xdr:nvSpPr>
      <xdr:spPr>
        <a:xfrm>
          <a:off x="1912620" y="0"/>
          <a:ext cx="335280" cy="9349740"/>
        </a:xfrm>
        <a:prstGeom prst="rect">
          <a:avLst/>
        </a:prstGeom>
        <a:gradFill flip="none" rotWithShape="1">
          <a:gsLst>
            <a:gs pos="0">
              <a:srgbClr val="1E90FF">
                <a:lumMod val="99000"/>
              </a:srgbClr>
            </a:gs>
            <a:gs pos="0">
              <a:srgbClr val="1E90FF"/>
            </a:gs>
            <a:gs pos="0">
              <a:srgbClr val="1E90FF"/>
            </a:gs>
            <a:gs pos="0">
              <a:srgbClr val="3742FA"/>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358140</xdr:colOff>
      <xdr:row>8</xdr:row>
      <xdr:rowOff>167640</xdr:rowOff>
    </xdr:from>
    <xdr:to>
      <xdr:col>1</xdr:col>
      <xdr:colOff>220980</xdr:colOff>
      <xdr:row>11</xdr:row>
      <xdr:rowOff>91440</xdr:rowOff>
    </xdr:to>
    <xdr:pic>
      <xdr:nvPicPr>
        <xdr:cNvPr id="13" name="Graphic 12" descr="Presentation with bar chart with solid fill">
          <a:extLst>
            <a:ext uri="{FF2B5EF4-FFF2-40B4-BE49-F238E27FC236}">
              <a16:creationId xmlns:a16="http://schemas.microsoft.com/office/drawing/2014/main" id="{BCE61934-AD38-87CF-A17C-A0FD642772D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8140" y="1630680"/>
          <a:ext cx="472440" cy="472440"/>
        </a:xfrm>
        <a:prstGeom prst="rect">
          <a:avLst/>
        </a:prstGeom>
      </xdr:spPr>
    </xdr:pic>
    <xdr:clientData/>
  </xdr:twoCellAnchor>
  <xdr:twoCellAnchor>
    <xdr:from>
      <xdr:col>4</xdr:col>
      <xdr:colOff>45720</xdr:colOff>
      <xdr:row>4</xdr:row>
      <xdr:rowOff>129540</xdr:rowOff>
    </xdr:from>
    <xdr:to>
      <xdr:col>7</xdr:col>
      <xdr:colOff>365760</xdr:colOff>
      <xdr:row>9</xdr:row>
      <xdr:rowOff>167640</xdr:rowOff>
    </xdr:to>
    <xdr:sp macro="" textlink="">
      <xdr:nvSpPr>
        <xdr:cNvPr id="16" name="TextBox 15">
          <a:extLst>
            <a:ext uri="{FF2B5EF4-FFF2-40B4-BE49-F238E27FC236}">
              <a16:creationId xmlns:a16="http://schemas.microsoft.com/office/drawing/2014/main" id="{E17EA0E6-E22D-4E29-A937-01B8FADD53E4}"/>
            </a:ext>
          </a:extLst>
        </xdr:cNvPr>
        <xdr:cNvSpPr txBox="1"/>
      </xdr:nvSpPr>
      <xdr:spPr>
        <a:xfrm>
          <a:off x="2484120" y="861060"/>
          <a:ext cx="2148840" cy="952500"/>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Rentals</a:t>
          </a:r>
        </a:p>
        <a:p>
          <a:r>
            <a:rPr lang="en-IN" sz="2400" b="1"/>
            <a:t>58,304 </a:t>
          </a:r>
        </a:p>
        <a:p>
          <a:r>
            <a:rPr lang="en-IN" sz="1200" b="0" baseline="0"/>
            <a:t>  </a:t>
          </a:r>
          <a:r>
            <a:rPr lang="en-IN" sz="1200" b="0" baseline="0">
              <a:solidFill>
                <a:schemeClr val="tx1"/>
              </a:solidFill>
            </a:rPr>
            <a:t>Total Bike Rentals</a:t>
          </a:r>
          <a:endParaRPr lang="en-IN" sz="1200" b="0">
            <a:solidFill>
              <a:schemeClr val="tx1"/>
            </a:solidFill>
          </a:endParaRPr>
        </a:p>
      </xdr:txBody>
    </xdr:sp>
    <xdr:clientData/>
  </xdr:twoCellAnchor>
  <xdr:twoCellAnchor editAs="oneCell">
    <xdr:from>
      <xdr:col>6</xdr:col>
      <xdr:colOff>213360</xdr:colOff>
      <xdr:row>5</xdr:row>
      <xdr:rowOff>7620</xdr:rowOff>
    </xdr:from>
    <xdr:to>
      <xdr:col>7</xdr:col>
      <xdr:colOff>297180</xdr:colOff>
      <xdr:row>8</xdr:row>
      <xdr:rowOff>152400</xdr:rowOff>
    </xdr:to>
    <xdr:pic>
      <xdr:nvPicPr>
        <xdr:cNvPr id="17" name="Graphic 16" descr="Motorcycle with solid fill">
          <a:extLst>
            <a:ext uri="{FF2B5EF4-FFF2-40B4-BE49-F238E27FC236}">
              <a16:creationId xmlns:a16="http://schemas.microsoft.com/office/drawing/2014/main" id="{23482FC4-3D1E-4FF0-93CA-0EE8D5156D0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70960" y="922020"/>
          <a:ext cx="693420" cy="693420"/>
        </a:xfrm>
        <a:prstGeom prst="rect">
          <a:avLst/>
        </a:prstGeom>
      </xdr:spPr>
    </xdr:pic>
    <xdr:clientData/>
  </xdr:twoCellAnchor>
  <xdr:twoCellAnchor>
    <xdr:from>
      <xdr:col>4</xdr:col>
      <xdr:colOff>45720</xdr:colOff>
      <xdr:row>10</xdr:row>
      <xdr:rowOff>22860</xdr:rowOff>
    </xdr:from>
    <xdr:to>
      <xdr:col>11</xdr:col>
      <xdr:colOff>350520</xdr:colOff>
      <xdr:row>25</xdr:row>
      <xdr:rowOff>22860</xdr:rowOff>
    </xdr:to>
    <xdr:graphicFrame macro="">
      <xdr:nvGraphicFramePr>
        <xdr:cNvPr id="19" name="Chart 18">
          <a:extLst>
            <a:ext uri="{FF2B5EF4-FFF2-40B4-BE49-F238E27FC236}">
              <a16:creationId xmlns:a16="http://schemas.microsoft.com/office/drawing/2014/main" id="{D50DBC90-0352-414E-ABE3-11DD00BF2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472440</xdr:colOff>
      <xdr:row>10</xdr:row>
      <xdr:rowOff>30480</xdr:rowOff>
    </xdr:from>
    <xdr:to>
      <xdr:col>15</xdr:col>
      <xdr:colOff>579120</xdr:colOff>
      <xdr:row>25</xdr:row>
      <xdr:rowOff>30480</xdr:rowOff>
    </xdr:to>
    <xdr:graphicFrame macro="">
      <xdr:nvGraphicFramePr>
        <xdr:cNvPr id="20" name="Chart 19">
          <a:extLst>
            <a:ext uri="{FF2B5EF4-FFF2-40B4-BE49-F238E27FC236}">
              <a16:creationId xmlns:a16="http://schemas.microsoft.com/office/drawing/2014/main" id="{C32CFE47-0164-4001-92FE-7FF97A702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68580</xdr:colOff>
      <xdr:row>10</xdr:row>
      <xdr:rowOff>30480</xdr:rowOff>
    </xdr:from>
    <xdr:to>
      <xdr:col>23</xdr:col>
      <xdr:colOff>373380</xdr:colOff>
      <xdr:row>25</xdr:row>
      <xdr:rowOff>30480</xdr:rowOff>
    </xdr:to>
    <xdr:graphicFrame macro="">
      <xdr:nvGraphicFramePr>
        <xdr:cNvPr id="3" name="Chart 2">
          <a:extLst>
            <a:ext uri="{FF2B5EF4-FFF2-40B4-BE49-F238E27FC236}">
              <a16:creationId xmlns:a16="http://schemas.microsoft.com/office/drawing/2014/main" id="{653C81D6-A29B-4E39-AFD7-722CEE1BC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45720</xdr:colOff>
      <xdr:row>25</xdr:row>
      <xdr:rowOff>137160</xdr:rowOff>
    </xdr:from>
    <xdr:to>
      <xdr:col>11</xdr:col>
      <xdr:colOff>350520</xdr:colOff>
      <xdr:row>40</xdr:row>
      <xdr:rowOff>137160</xdr:rowOff>
    </xdr:to>
    <xdr:graphicFrame macro="">
      <xdr:nvGraphicFramePr>
        <xdr:cNvPr id="4" name="Chart 3">
          <a:extLst>
            <a:ext uri="{FF2B5EF4-FFF2-40B4-BE49-F238E27FC236}">
              <a16:creationId xmlns:a16="http://schemas.microsoft.com/office/drawing/2014/main" id="{8FE98CF3-BEBD-4358-B90D-51511645D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449580</xdr:colOff>
      <xdr:row>25</xdr:row>
      <xdr:rowOff>129540</xdr:rowOff>
    </xdr:from>
    <xdr:to>
      <xdr:col>19</xdr:col>
      <xdr:colOff>144780</xdr:colOff>
      <xdr:row>40</xdr:row>
      <xdr:rowOff>129540</xdr:rowOff>
    </xdr:to>
    <xdr:graphicFrame macro="">
      <xdr:nvGraphicFramePr>
        <xdr:cNvPr id="5" name="Chart 4">
          <a:extLst>
            <a:ext uri="{FF2B5EF4-FFF2-40B4-BE49-F238E27FC236}">
              <a16:creationId xmlns:a16="http://schemas.microsoft.com/office/drawing/2014/main" id="{4E452476-53A0-4B19-BF51-5ED052A91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182880</xdr:colOff>
      <xdr:row>25</xdr:row>
      <xdr:rowOff>129540</xdr:rowOff>
    </xdr:from>
    <xdr:to>
      <xdr:col>23</xdr:col>
      <xdr:colOff>408480</xdr:colOff>
      <xdr:row>40</xdr:row>
      <xdr:rowOff>129540</xdr:rowOff>
    </xdr:to>
    <xdr:graphicFrame macro="">
      <xdr:nvGraphicFramePr>
        <xdr:cNvPr id="12" name="Chart 11">
          <a:extLst>
            <a:ext uri="{FF2B5EF4-FFF2-40B4-BE49-F238E27FC236}">
              <a16:creationId xmlns:a16="http://schemas.microsoft.com/office/drawing/2014/main" id="{936FAF85-2204-4A97-A667-22EFE97E1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45720</xdr:colOff>
      <xdr:row>40</xdr:row>
      <xdr:rowOff>167640</xdr:rowOff>
    </xdr:from>
    <xdr:to>
      <xdr:col>23</xdr:col>
      <xdr:colOff>419100</xdr:colOff>
      <xdr:row>47</xdr:row>
      <xdr:rowOff>152400</xdr:rowOff>
    </xdr:to>
    <xdr:sp macro="" textlink="">
      <xdr:nvSpPr>
        <xdr:cNvPr id="14" name="TextBox 13">
          <a:extLst>
            <a:ext uri="{FF2B5EF4-FFF2-40B4-BE49-F238E27FC236}">
              <a16:creationId xmlns:a16="http://schemas.microsoft.com/office/drawing/2014/main" id="{1E1A2DAA-87EF-403D-FBE5-F394157A0D52}"/>
            </a:ext>
          </a:extLst>
        </xdr:cNvPr>
        <xdr:cNvSpPr txBox="1"/>
      </xdr:nvSpPr>
      <xdr:spPr>
        <a:xfrm>
          <a:off x="2484120" y="7482840"/>
          <a:ext cx="11955780" cy="1264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Key Insights</a:t>
          </a:r>
        </a:p>
        <a:p>
          <a:r>
            <a:rPr lang="en-IN" sz="1100" b="1"/>
            <a:t>                           </a:t>
          </a:r>
        </a:p>
        <a:p>
          <a:r>
            <a:rPr lang="en-IN" sz="1100" b="1"/>
            <a:t>                           </a:t>
          </a:r>
          <a:r>
            <a:rPr lang="en-IN" sz="1100" b="0"/>
            <a:t>92% of</a:t>
          </a:r>
          <a:r>
            <a:rPr lang="en-IN" sz="1100" b="0" baseline="0"/>
            <a:t> total rentals                                          peak demand occurs                                   Bad weather                                                   Wednesday shows                                                Bussiness is highly</a:t>
          </a:r>
        </a:p>
        <a:p>
          <a:r>
            <a:rPr lang="en-IN" sz="1100" b="0" baseline="0"/>
            <a:t>                           are from registered                                          during 8 AM and                                           reduces rentals by                                         the highest average                                             driven by office</a:t>
          </a:r>
        </a:p>
        <a:p>
          <a:r>
            <a:rPr lang="en-IN" sz="1100" b="0" baseline="0"/>
            <a:t>                           users.                                                                  5-6 PM.                                                           nearly 45%.                                                      rentals.                                                                  commuters.</a:t>
          </a:r>
        </a:p>
      </xdr:txBody>
    </xdr:sp>
    <xdr:clientData/>
  </xdr:twoCellAnchor>
  <xdr:twoCellAnchor>
    <xdr:from>
      <xdr:col>8</xdr:col>
      <xdr:colOff>22860</xdr:colOff>
      <xdr:row>4</xdr:row>
      <xdr:rowOff>121920</xdr:rowOff>
    </xdr:from>
    <xdr:to>
      <xdr:col>11</xdr:col>
      <xdr:colOff>342900</xdr:colOff>
      <xdr:row>9</xdr:row>
      <xdr:rowOff>160020</xdr:rowOff>
    </xdr:to>
    <xdr:sp macro="" textlink="">
      <xdr:nvSpPr>
        <xdr:cNvPr id="15" name="TextBox 14">
          <a:extLst>
            <a:ext uri="{FF2B5EF4-FFF2-40B4-BE49-F238E27FC236}">
              <a16:creationId xmlns:a16="http://schemas.microsoft.com/office/drawing/2014/main" id="{FCDB5D14-17E9-4B75-A85A-283502591899}"/>
            </a:ext>
          </a:extLst>
        </xdr:cNvPr>
        <xdr:cNvSpPr txBox="1"/>
      </xdr:nvSpPr>
      <xdr:spPr>
        <a:xfrm>
          <a:off x="4899660" y="853440"/>
          <a:ext cx="2148840" cy="952500"/>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prstClr val="black"/>
              </a:solidFill>
              <a:effectLst/>
              <a:uLnTx/>
              <a:uFillTx/>
              <a:latin typeface="+mn-lt"/>
              <a:ea typeface="+mn-ea"/>
              <a:cs typeface="+mn-cs"/>
            </a:rPr>
            <a:t>Registered Users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2400" b="1" i="0" u="none" strike="noStrike" kern="0" cap="none" spc="0" normalizeH="0" baseline="0" noProof="0">
              <a:ln>
                <a:noFill/>
              </a:ln>
              <a:solidFill>
                <a:prstClr val="black"/>
              </a:solidFill>
              <a:effectLst/>
              <a:uLnTx/>
              <a:uFillTx/>
              <a:latin typeface="+mn-lt"/>
              <a:ea typeface="+mn-ea"/>
              <a:cs typeface="+mn-cs"/>
            </a:rPr>
            <a:t>53,383 </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prstClr val="black"/>
              </a:solidFill>
              <a:effectLst/>
              <a:uLnTx/>
              <a:uFillTx/>
              <a:latin typeface="+mn-lt"/>
              <a:ea typeface="+mn-ea"/>
              <a:cs typeface="+mn-cs"/>
            </a:rPr>
            <a:t>  91.56 % of Total</a:t>
          </a:r>
        </a:p>
      </xdr:txBody>
    </xdr:sp>
    <xdr:clientData/>
  </xdr:twoCellAnchor>
  <xdr:twoCellAnchor>
    <xdr:from>
      <xdr:col>12</xdr:col>
      <xdr:colOff>30480</xdr:colOff>
      <xdr:row>4</xdr:row>
      <xdr:rowOff>121920</xdr:rowOff>
    </xdr:from>
    <xdr:to>
      <xdr:col>15</xdr:col>
      <xdr:colOff>350520</xdr:colOff>
      <xdr:row>9</xdr:row>
      <xdr:rowOff>160020</xdr:rowOff>
    </xdr:to>
    <xdr:sp macro="" textlink="">
      <xdr:nvSpPr>
        <xdr:cNvPr id="18" name="TextBox 17">
          <a:extLst>
            <a:ext uri="{FF2B5EF4-FFF2-40B4-BE49-F238E27FC236}">
              <a16:creationId xmlns:a16="http://schemas.microsoft.com/office/drawing/2014/main" id="{B617138F-4B2F-45A4-AA56-A9671BCA0F73}"/>
            </a:ext>
          </a:extLst>
        </xdr:cNvPr>
        <xdr:cNvSpPr txBox="1"/>
      </xdr:nvSpPr>
      <xdr:spPr>
        <a:xfrm>
          <a:off x="7345680" y="853440"/>
          <a:ext cx="2148840" cy="952500"/>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prstClr val="black"/>
              </a:solidFill>
              <a:effectLst/>
              <a:uLnTx/>
              <a:uFillTx/>
              <a:latin typeface="+mn-lt"/>
              <a:ea typeface="+mn-ea"/>
              <a:cs typeface="+mn-cs"/>
            </a:rPr>
            <a:t>Casual Users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2400" b="1" i="0" u="none" strike="noStrike" kern="0" cap="none" spc="0" normalizeH="0" baseline="0" noProof="0">
              <a:ln>
                <a:noFill/>
              </a:ln>
              <a:solidFill>
                <a:prstClr val="black"/>
              </a:solidFill>
              <a:effectLst/>
              <a:uLnTx/>
              <a:uFillTx/>
              <a:latin typeface="+mn-lt"/>
              <a:ea typeface="+mn-ea"/>
              <a:cs typeface="+mn-cs"/>
            </a:rPr>
            <a:t>4,921</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prstClr val="black"/>
              </a:solidFill>
              <a:effectLst/>
              <a:uLnTx/>
              <a:uFillTx/>
              <a:latin typeface="+mn-lt"/>
              <a:ea typeface="+mn-ea"/>
              <a:cs typeface="+mn-cs"/>
            </a:rPr>
            <a:t>  8.44 % of Total</a:t>
          </a:r>
        </a:p>
      </xdr:txBody>
    </xdr:sp>
    <xdr:clientData/>
  </xdr:twoCellAnchor>
  <xdr:twoCellAnchor>
    <xdr:from>
      <xdr:col>20</xdr:col>
      <xdr:colOff>7620</xdr:colOff>
      <xdr:row>4</xdr:row>
      <xdr:rowOff>114300</xdr:rowOff>
    </xdr:from>
    <xdr:to>
      <xdr:col>23</xdr:col>
      <xdr:colOff>327660</xdr:colOff>
      <xdr:row>9</xdr:row>
      <xdr:rowOff>152400</xdr:rowOff>
    </xdr:to>
    <xdr:sp macro="" textlink="">
      <xdr:nvSpPr>
        <xdr:cNvPr id="21" name="TextBox 20">
          <a:extLst>
            <a:ext uri="{FF2B5EF4-FFF2-40B4-BE49-F238E27FC236}">
              <a16:creationId xmlns:a16="http://schemas.microsoft.com/office/drawing/2014/main" id="{CD1EF441-0129-474B-9BCD-7B77628831BD}"/>
            </a:ext>
          </a:extLst>
        </xdr:cNvPr>
        <xdr:cNvSpPr txBox="1"/>
      </xdr:nvSpPr>
      <xdr:spPr>
        <a:xfrm>
          <a:off x="12199620" y="845820"/>
          <a:ext cx="2148840" cy="952500"/>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prstClr val="black"/>
              </a:solidFill>
              <a:effectLst/>
              <a:uLnTx/>
              <a:uFillTx/>
              <a:latin typeface="+mn-lt"/>
              <a:ea typeface="+mn-ea"/>
              <a:cs typeface="+mn-cs"/>
            </a:rPr>
            <a:t>Peak Hour</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2400" b="1" i="0" u="none" strike="noStrike" kern="0" cap="none" spc="0" normalizeH="0" baseline="0" noProof="0">
              <a:ln>
                <a:noFill/>
              </a:ln>
              <a:solidFill>
                <a:prstClr val="black"/>
              </a:solidFill>
              <a:effectLst/>
              <a:uLnTx/>
              <a:uFillTx/>
              <a:latin typeface="+mn-lt"/>
              <a:ea typeface="+mn-ea"/>
              <a:cs typeface="+mn-cs"/>
            </a:rPr>
            <a:t>5 PM</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prstClr val="black"/>
              </a:solidFill>
              <a:effectLst/>
              <a:uLnTx/>
              <a:uFillTx/>
              <a:latin typeface="+mn-lt"/>
              <a:ea typeface="+mn-ea"/>
              <a:cs typeface="+mn-cs"/>
            </a:rPr>
            <a:t>  140 Avg Rentals</a:t>
          </a:r>
        </a:p>
      </xdr:txBody>
    </xdr:sp>
    <xdr:clientData/>
  </xdr:twoCellAnchor>
  <xdr:twoCellAnchor>
    <xdr:from>
      <xdr:col>16</xdr:col>
      <xdr:colOff>38100</xdr:colOff>
      <xdr:row>4</xdr:row>
      <xdr:rowOff>106680</xdr:rowOff>
    </xdr:from>
    <xdr:to>
      <xdr:col>19</xdr:col>
      <xdr:colOff>358140</xdr:colOff>
      <xdr:row>9</xdr:row>
      <xdr:rowOff>144780</xdr:rowOff>
    </xdr:to>
    <xdr:sp macro="" textlink="">
      <xdr:nvSpPr>
        <xdr:cNvPr id="22" name="TextBox 21">
          <a:extLst>
            <a:ext uri="{FF2B5EF4-FFF2-40B4-BE49-F238E27FC236}">
              <a16:creationId xmlns:a16="http://schemas.microsoft.com/office/drawing/2014/main" id="{E3A5C501-A1D4-4D8C-B770-5B531441E82B}"/>
            </a:ext>
          </a:extLst>
        </xdr:cNvPr>
        <xdr:cNvSpPr txBox="1"/>
      </xdr:nvSpPr>
      <xdr:spPr>
        <a:xfrm>
          <a:off x="9791700" y="838200"/>
          <a:ext cx="2148840" cy="952500"/>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prstClr val="black"/>
              </a:solidFill>
              <a:effectLst/>
              <a:uLnTx/>
              <a:uFillTx/>
              <a:latin typeface="+mn-lt"/>
              <a:ea typeface="+mn-ea"/>
              <a:cs typeface="+mn-cs"/>
            </a:rPr>
            <a:t>Avg Hourly Rentals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2400" b="1" i="0" u="none" strike="noStrike" kern="0" cap="none" spc="0" normalizeH="0" baseline="0" noProof="0">
              <a:ln>
                <a:noFill/>
              </a:ln>
              <a:solidFill>
                <a:prstClr val="black"/>
              </a:solidFill>
              <a:effectLst/>
              <a:uLnTx/>
              <a:uFillTx/>
              <a:latin typeface="+mn-lt"/>
              <a:ea typeface="+mn-ea"/>
              <a:cs typeface="+mn-cs"/>
            </a:rPr>
            <a:t>58</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prstClr val="black"/>
              </a:solidFill>
              <a:effectLst/>
              <a:uLnTx/>
              <a:uFillTx/>
              <a:latin typeface="+mn-lt"/>
              <a:ea typeface="+mn-ea"/>
              <a:cs typeface="+mn-cs"/>
            </a:rPr>
            <a:t>  Across All Hours</a:t>
          </a:r>
        </a:p>
      </xdr:txBody>
    </xdr:sp>
    <xdr:clientData/>
  </xdr:twoCellAnchor>
  <xdr:twoCellAnchor editAs="oneCell">
    <xdr:from>
      <xdr:col>10</xdr:col>
      <xdr:colOff>228600</xdr:colOff>
      <xdr:row>5</xdr:row>
      <xdr:rowOff>91440</xdr:rowOff>
    </xdr:from>
    <xdr:to>
      <xdr:col>11</xdr:col>
      <xdr:colOff>251460</xdr:colOff>
      <xdr:row>8</xdr:row>
      <xdr:rowOff>175260</xdr:rowOff>
    </xdr:to>
    <xdr:pic>
      <xdr:nvPicPr>
        <xdr:cNvPr id="23" name="Graphic 22" descr="User with solid fill">
          <a:extLst>
            <a:ext uri="{FF2B5EF4-FFF2-40B4-BE49-F238E27FC236}">
              <a16:creationId xmlns:a16="http://schemas.microsoft.com/office/drawing/2014/main" id="{EBF14FFF-95A1-4B71-9D69-1DEF4A53695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324600" y="1005840"/>
          <a:ext cx="632460" cy="632460"/>
        </a:xfrm>
        <a:prstGeom prst="rect">
          <a:avLst/>
        </a:prstGeom>
      </xdr:spPr>
    </xdr:pic>
    <xdr:clientData/>
  </xdr:twoCellAnchor>
  <xdr:twoCellAnchor editAs="oneCell">
    <xdr:from>
      <xdr:col>14</xdr:col>
      <xdr:colOff>198120</xdr:colOff>
      <xdr:row>5</xdr:row>
      <xdr:rowOff>76200</xdr:rowOff>
    </xdr:from>
    <xdr:to>
      <xdr:col>15</xdr:col>
      <xdr:colOff>220980</xdr:colOff>
      <xdr:row>8</xdr:row>
      <xdr:rowOff>160020</xdr:rowOff>
    </xdr:to>
    <xdr:pic>
      <xdr:nvPicPr>
        <xdr:cNvPr id="24" name="Graphic 23" descr="User with solid fill">
          <a:extLst>
            <a:ext uri="{FF2B5EF4-FFF2-40B4-BE49-F238E27FC236}">
              <a16:creationId xmlns:a16="http://schemas.microsoft.com/office/drawing/2014/main" id="{4C343B17-DCBB-4770-A7A9-2F952D1A957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732520" y="990600"/>
          <a:ext cx="632460" cy="632460"/>
        </a:xfrm>
        <a:prstGeom prst="rect">
          <a:avLst/>
        </a:prstGeom>
      </xdr:spPr>
    </xdr:pic>
    <xdr:clientData/>
  </xdr:twoCellAnchor>
  <xdr:twoCellAnchor editAs="oneCell">
    <xdr:from>
      <xdr:col>18</xdr:col>
      <xdr:colOff>251460</xdr:colOff>
      <xdr:row>5</xdr:row>
      <xdr:rowOff>60960</xdr:rowOff>
    </xdr:from>
    <xdr:to>
      <xdr:col>19</xdr:col>
      <xdr:colOff>281940</xdr:colOff>
      <xdr:row>8</xdr:row>
      <xdr:rowOff>152400</xdr:rowOff>
    </xdr:to>
    <xdr:pic>
      <xdr:nvPicPr>
        <xdr:cNvPr id="25" name="Graphic 24" descr="Clock with solid fill">
          <a:extLst>
            <a:ext uri="{FF2B5EF4-FFF2-40B4-BE49-F238E27FC236}">
              <a16:creationId xmlns:a16="http://schemas.microsoft.com/office/drawing/2014/main" id="{4388D771-30C5-4E4E-82EC-DDDAEBC8085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224260" y="975360"/>
          <a:ext cx="640080" cy="640080"/>
        </a:xfrm>
        <a:prstGeom prst="rect">
          <a:avLst/>
        </a:prstGeom>
      </xdr:spPr>
    </xdr:pic>
    <xdr:clientData/>
  </xdr:twoCellAnchor>
  <xdr:twoCellAnchor editAs="oneCell">
    <xdr:from>
      <xdr:col>22</xdr:col>
      <xdr:colOff>160020</xdr:colOff>
      <xdr:row>5</xdr:row>
      <xdr:rowOff>76200</xdr:rowOff>
    </xdr:from>
    <xdr:to>
      <xdr:col>23</xdr:col>
      <xdr:colOff>205740</xdr:colOff>
      <xdr:row>9</xdr:row>
      <xdr:rowOff>0</xdr:rowOff>
    </xdr:to>
    <xdr:pic>
      <xdr:nvPicPr>
        <xdr:cNvPr id="26" name="Graphic 25" descr="Escalator Up with solid fill">
          <a:extLst>
            <a:ext uri="{FF2B5EF4-FFF2-40B4-BE49-F238E27FC236}">
              <a16:creationId xmlns:a16="http://schemas.microsoft.com/office/drawing/2014/main" id="{29DD7AB7-1D41-4901-995C-444E31C36EA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571220" y="990600"/>
          <a:ext cx="655320" cy="655320"/>
        </a:xfrm>
        <a:prstGeom prst="rect">
          <a:avLst/>
        </a:prstGeom>
      </xdr:spPr>
    </xdr:pic>
    <xdr:clientData/>
  </xdr:twoCellAnchor>
  <xdr:twoCellAnchor>
    <xdr:from>
      <xdr:col>4</xdr:col>
      <xdr:colOff>53340</xdr:colOff>
      <xdr:row>0</xdr:row>
      <xdr:rowOff>144780</xdr:rowOff>
    </xdr:from>
    <xdr:to>
      <xdr:col>9</xdr:col>
      <xdr:colOff>563880</xdr:colOff>
      <xdr:row>3</xdr:row>
      <xdr:rowOff>160020</xdr:rowOff>
    </xdr:to>
    <xdr:sp macro="" textlink="">
      <xdr:nvSpPr>
        <xdr:cNvPr id="27" name="TextBox 26">
          <a:extLst>
            <a:ext uri="{FF2B5EF4-FFF2-40B4-BE49-F238E27FC236}">
              <a16:creationId xmlns:a16="http://schemas.microsoft.com/office/drawing/2014/main" id="{3E519771-2FFC-E1D6-D89A-B172B9004348}"/>
            </a:ext>
          </a:extLst>
        </xdr:cNvPr>
        <xdr:cNvSpPr txBox="1"/>
      </xdr:nvSpPr>
      <xdr:spPr>
        <a:xfrm>
          <a:off x="2491740" y="144780"/>
          <a:ext cx="355854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EXECUTIVE OVERVIEW</a:t>
          </a:r>
        </a:p>
        <a:p>
          <a:r>
            <a:rPr lang="en-IN" sz="1200" b="0"/>
            <a:t>Key performance Summary of Bike Rentals Operations</a:t>
          </a:r>
          <a:endParaRPr lang="en-IN" sz="1100" b="0"/>
        </a:p>
      </xdr:txBody>
    </xdr:sp>
    <xdr:clientData/>
  </xdr:twoCellAnchor>
  <xdr:twoCellAnchor editAs="oneCell">
    <xdr:from>
      <xdr:col>22</xdr:col>
      <xdr:colOff>495300</xdr:colOff>
      <xdr:row>1</xdr:row>
      <xdr:rowOff>7620</xdr:rowOff>
    </xdr:from>
    <xdr:to>
      <xdr:col>23</xdr:col>
      <xdr:colOff>274320</xdr:colOff>
      <xdr:row>3</xdr:row>
      <xdr:rowOff>30480</xdr:rowOff>
    </xdr:to>
    <xdr:pic>
      <xdr:nvPicPr>
        <xdr:cNvPr id="29" name="Graphic 28" descr="Daily calendar outline">
          <a:extLst>
            <a:ext uri="{FF2B5EF4-FFF2-40B4-BE49-F238E27FC236}">
              <a16:creationId xmlns:a16="http://schemas.microsoft.com/office/drawing/2014/main" id="{F7321A9C-BF69-D9AF-C244-9750BED77E6F}"/>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3906500" y="190500"/>
          <a:ext cx="388620" cy="388620"/>
        </a:xfrm>
        <a:prstGeom prst="rect">
          <a:avLst/>
        </a:prstGeom>
      </xdr:spPr>
    </xdr:pic>
    <xdr:clientData/>
  </xdr:twoCellAnchor>
  <xdr:twoCellAnchor>
    <xdr:from>
      <xdr:col>20</xdr:col>
      <xdr:colOff>106680</xdr:colOff>
      <xdr:row>1</xdr:row>
      <xdr:rowOff>99060</xdr:rowOff>
    </xdr:from>
    <xdr:to>
      <xdr:col>22</xdr:col>
      <xdr:colOff>556260</xdr:colOff>
      <xdr:row>3</xdr:row>
      <xdr:rowOff>15240</xdr:rowOff>
    </xdr:to>
    <xdr:sp macro="" textlink="">
      <xdr:nvSpPr>
        <xdr:cNvPr id="30" name="TextBox 29">
          <a:extLst>
            <a:ext uri="{FF2B5EF4-FFF2-40B4-BE49-F238E27FC236}">
              <a16:creationId xmlns:a16="http://schemas.microsoft.com/office/drawing/2014/main" id="{354BD16A-1208-4FBE-1A2A-571DA7F6E60C}"/>
            </a:ext>
          </a:extLst>
        </xdr:cNvPr>
        <xdr:cNvSpPr txBox="1"/>
      </xdr:nvSpPr>
      <xdr:spPr>
        <a:xfrm>
          <a:off x="12298680" y="281940"/>
          <a:ext cx="16687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01 Jan 2011 - 14 Feb 2011</a:t>
          </a:r>
        </a:p>
      </xdr:txBody>
    </xdr:sp>
    <xdr:clientData/>
  </xdr:twoCellAnchor>
  <xdr:twoCellAnchor editAs="oneCell">
    <xdr:from>
      <xdr:col>4</xdr:col>
      <xdr:colOff>251460</xdr:colOff>
      <xdr:row>42</xdr:row>
      <xdr:rowOff>175260</xdr:rowOff>
    </xdr:from>
    <xdr:to>
      <xdr:col>5</xdr:col>
      <xdr:colOff>266700</xdr:colOff>
      <xdr:row>46</xdr:row>
      <xdr:rowOff>68580</xdr:rowOff>
    </xdr:to>
    <xdr:pic>
      <xdr:nvPicPr>
        <xdr:cNvPr id="35" name="Graphic 34" descr="Target Audience with solid fill">
          <a:extLst>
            <a:ext uri="{FF2B5EF4-FFF2-40B4-BE49-F238E27FC236}">
              <a16:creationId xmlns:a16="http://schemas.microsoft.com/office/drawing/2014/main" id="{48F9C6CF-69D8-E3A9-91DE-3DE3CE68B19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689860" y="7856220"/>
          <a:ext cx="624840" cy="624840"/>
        </a:xfrm>
        <a:prstGeom prst="rect">
          <a:avLst/>
        </a:prstGeom>
      </xdr:spPr>
    </xdr:pic>
    <xdr:clientData/>
  </xdr:twoCellAnchor>
  <xdr:twoCellAnchor editAs="oneCell">
    <xdr:from>
      <xdr:col>8</xdr:col>
      <xdr:colOff>320040</xdr:colOff>
      <xdr:row>42</xdr:row>
      <xdr:rowOff>167640</xdr:rowOff>
    </xdr:from>
    <xdr:to>
      <xdr:col>9</xdr:col>
      <xdr:colOff>304800</xdr:colOff>
      <xdr:row>46</xdr:row>
      <xdr:rowOff>30480</xdr:rowOff>
    </xdr:to>
    <xdr:pic>
      <xdr:nvPicPr>
        <xdr:cNvPr id="37" name="Graphic 36" descr="Clock with solid fill">
          <a:extLst>
            <a:ext uri="{FF2B5EF4-FFF2-40B4-BE49-F238E27FC236}">
              <a16:creationId xmlns:a16="http://schemas.microsoft.com/office/drawing/2014/main" id="{42BA8ADA-70A9-CE24-F03C-95C9F30313F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196840" y="7848600"/>
          <a:ext cx="594360" cy="594360"/>
        </a:xfrm>
        <a:prstGeom prst="rect">
          <a:avLst/>
        </a:prstGeom>
      </xdr:spPr>
    </xdr:pic>
    <xdr:clientData/>
  </xdr:twoCellAnchor>
  <xdr:twoCellAnchor editAs="oneCell">
    <xdr:from>
      <xdr:col>12</xdr:col>
      <xdr:colOff>144780</xdr:colOff>
      <xdr:row>42</xdr:row>
      <xdr:rowOff>144780</xdr:rowOff>
    </xdr:from>
    <xdr:to>
      <xdr:col>13</xdr:col>
      <xdr:colOff>198120</xdr:colOff>
      <xdr:row>46</xdr:row>
      <xdr:rowOff>76200</xdr:rowOff>
    </xdr:to>
    <xdr:pic>
      <xdr:nvPicPr>
        <xdr:cNvPr id="39" name="Graphic 38" descr="Cloud With Lightning And Rain with solid fill">
          <a:extLst>
            <a:ext uri="{FF2B5EF4-FFF2-40B4-BE49-F238E27FC236}">
              <a16:creationId xmlns:a16="http://schemas.microsoft.com/office/drawing/2014/main" id="{7F89EF61-B44E-3964-74C8-68AF5A1F13CA}"/>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7459980" y="7825740"/>
          <a:ext cx="662940" cy="662940"/>
        </a:xfrm>
        <a:prstGeom prst="rect">
          <a:avLst/>
        </a:prstGeom>
      </xdr:spPr>
    </xdr:pic>
    <xdr:clientData/>
  </xdr:twoCellAnchor>
  <xdr:twoCellAnchor editAs="oneCell">
    <xdr:from>
      <xdr:col>16</xdr:col>
      <xdr:colOff>121920</xdr:colOff>
      <xdr:row>42</xdr:row>
      <xdr:rowOff>175260</xdr:rowOff>
    </xdr:from>
    <xdr:to>
      <xdr:col>17</xdr:col>
      <xdr:colOff>76200</xdr:colOff>
      <xdr:row>46</xdr:row>
      <xdr:rowOff>7620</xdr:rowOff>
    </xdr:to>
    <xdr:pic>
      <xdr:nvPicPr>
        <xdr:cNvPr id="41" name="Graphic 40" descr="Monthly calendar with solid fill">
          <a:extLst>
            <a:ext uri="{FF2B5EF4-FFF2-40B4-BE49-F238E27FC236}">
              <a16:creationId xmlns:a16="http://schemas.microsoft.com/office/drawing/2014/main" id="{2FD373CD-4DEC-FFC0-43B9-1D0AB693CDDB}"/>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9875520" y="7856220"/>
          <a:ext cx="563880" cy="563880"/>
        </a:xfrm>
        <a:prstGeom prst="rect">
          <a:avLst/>
        </a:prstGeom>
      </xdr:spPr>
    </xdr:pic>
    <xdr:clientData/>
  </xdr:twoCellAnchor>
  <xdr:twoCellAnchor editAs="oneCell">
    <xdr:from>
      <xdr:col>20</xdr:col>
      <xdr:colOff>137160</xdr:colOff>
      <xdr:row>42</xdr:row>
      <xdr:rowOff>175260</xdr:rowOff>
    </xdr:from>
    <xdr:to>
      <xdr:col>21</xdr:col>
      <xdr:colOff>91440</xdr:colOff>
      <xdr:row>46</xdr:row>
      <xdr:rowOff>7620</xdr:rowOff>
    </xdr:to>
    <xdr:pic>
      <xdr:nvPicPr>
        <xdr:cNvPr id="45" name="Graphic 44" descr="Business Growth with solid fill">
          <a:extLst>
            <a:ext uri="{FF2B5EF4-FFF2-40B4-BE49-F238E27FC236}">
              <a16:creationId xmlns:a16="http://schemas.microsoft.com/office/drawing/2014/main" id="{CFA5FB47-8216-076A-B0A2-CADCCA34AEFC}"/>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2329160" y="7856220"/>
          <a:ext cx="563880" cy="563880"/>
        </a:xfrm>
        <a:prstGeom prst="rect">
          <a:avLst/>
        </a:prstGeom>
      </xdr:spPr>
    </xdr:pic>
    <xdr:clientData/>
  </xdr:twoCellAnchor>
  <xdr:twoCellAnchor>
    <xdr:from>
      <xdr:col>0</xdr:col>
      <xdr:colOff>205740</xdr:colOff>
      <xdr:row>12</xdr:row>
      <xdr:rowOff>121920</xdr:rowOff>
    </xdr:from>
    <xdr:to>
      <xdr:col>3</xdr:col>
      <xdr:colOff>266700</xdr:colOff>
      <xdr:row>15</xdr:row>
      <xdr:rowOff>91440</xdr:rowOff>
    </xdr:to>
    <xdr:sp macro="" textlink="">
      <xdr:nvSpPr>
        <xdr:cNvPr id="46" name="Rectangle: Rounded Corners 45">
          <a:hlinkClick xmlns:r="http://schemas.openxmlformats.org/officeDocument/2006/relationships" r:id="rId32"/>
          <a:extLst>
            <a:ext uri="{FF2B5EF4-FFF2-40B4-BE49-F238E27FC236}">
              <a16:creationId xmlns:a16="http://schemas.microsoft.com/office/drawing/2014/main" id="{A1B5D63D-2416-4EBF-AB78-E7AB587CE306}"/>
            </a:ext>
          </a:extLst>
        </xdr:cNvPr>
        <xdr:cNvSpPr/>
      </xdr:nvSpPr>
      <xdr:spPr>
        <a:xfrm>
          <a:off x="205740" y="2316480"/>
          <a:ext cx="1889760" cy="5181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lt1"/>
              </a:solidFill>
              <a:effectLst/>
              <a:latin typeface="+mn-lt"/>
              <a:ea typeface="+mn-ea"/>
              <a:cs typeface="+mn-cs"/>
            </a:rPr>
            <a:t>         Customer</a:t>
          </a:r>
          <a:endParaRPr lang="en-IN" sz="1400" b="1">
            <a:effectLst/>
          </a:endParaRPr>
        </a:p>
      </xdr:txBody>
    </xdr:sp>
    <xdr:clientData/>
  </xdr:twoCellAnchor>
  <xdr:twoCellAnchor editAs="oneCell">
    <xdr:from>
      <xdr:col>0</xdr:col>
      <xdr:colOff>327660</xdr:colOff>
      <xdr:row>12</xdr:row>
      <xdr:rowOff>114300</xdr:rowOff>
    </xdr:from>
    <xdr:to>
      <xdr:col>1</xdr:col>
      <xdr:colOff>251460</xdr:colOff>
      <xdr:row>15</xdr:row>
      <xdr:rowOff>99060</xdr:rowOff>
    </xdr:to>
    <xdr:pic>
      <xdr:nvPicPr>
        <xdr:cNvPr id="48" name="Graphic 47" descr="Users with solid fill">
          <a:extLst>
            <a:ext uri="{FF2B5EF4-FFF2-40B4-BE49-F238E27FC236}">
              <a16:creationId xmlns:a16="http://schemas.microsoft.com/office/drawing/2014/main" id="{30208A7B-ACD5-787D-0675-1C05A68E1E44}"/>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327660" y="2308860"/>
          <a:ext cx="533400" cy="533400"/>
        </a:xfrm>
        <a:prstGeom prst="rect">
          <a:avLst/>
        </a:prstGeom>
      </xdr:spPr>
    </xdr:pic>
    <xdr:clientData/>
  </xdr:twoCellAnchor>
  <xdr:twoCellAnchor>
    <xdr:from>
      <xdr:col>8</xdr:col>
      <xdr:colOff>15240</xdr:colOff>
      <xdr:row>42</xdr:row>
      <xdr:rowOff>53340</xdr:rowOff>
    </xdr:from>
    <xdr:to>
      <xdr:col>8</xdr:col>
      <xdr:colOff>22860</xdr:colOff>
      <xdr:row>46</xdr:row>
      <xdr:rowOff>121920</xdr:rowOff>
    </xdr:to>
    <xdr:cxnSp macro="">
      <xdr:nvCxnSpPr>
        <xdr:cNvPr id="50" name="Straight Connector 49">
          <a:extLst>
            <a:ext uri="{FF2B5EF4-FFF2-40B4-BE49-F238E27FC236}">
              <a16:creationId xmlns:a16="http://schemas.microsoft.com/office/drawing/2014/main" id="{A1214841-5DC3-E3DF-3E27-51A2128A89C8}"/>
            </a:ext>
          </a:extLst>
        </xdr:cNvPr>
        <xdr:cNvCxnSpPr/>
      </xdr:nvCxnSpPr>
      <xdr:spPr>
        <a:xfrm>
          <a:off x="4892040" y="7734300"/>
          <a:ext cx="7620" cy="800100"/>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586740</xdr:colOff>
      <xdr:row>42</xdr:row>
      <xdr:rowOff>53340</xdr:rowOff>
    </xdr:from>
    <xdr:to>
      <xdr:col>11</xdr:col>
      <xdr:colOff>594360</xdr:colOff>
      <xdr:row>46</xdr:row>
      <xdr:rowOff>121920</xdr:rowOff>
    </xdr:to>
    <xdr:cxnSp macro="">
      <xdr:nvCxnSpPr>
        <xdr:cNvPr id="51" name="Straight Connector 50">
          <a:extLst>
            <a:ext uri="{FF2B5EF4-FFF2-40B4-BE49-F238E27FC236}">
              <a16:creationId xmlns:a16="http://schemas.microsoft.com/office/drawing/2014/main" id="{94DBE54B-1993-469D-B411-313FC7AE4EF0}"/>
            </a:ext>
          </a:extLst>
        </xdr:cNvPr>
        <xdr:cNvCxnSpPr/>
      </xdr:nvCxnSpPr>
      <xdr:spPr>
        <a:xfrm>
          <a:off x="7292340" y="7734300"/>
          <a:ext cx="7620" cy="800100"/>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472440</xdr:colOff>
      <xdr:row>42</xdr:row>
      <xdr:rowOff>38100</xdr:rowOff>
    </xdr:from>
    <xdr:to>
      <xdr:col>15</xdr:col>
      <xdr:colOff>480060</xdr:colOff>
      <xdr:row>46</xdr:row>
      <xdr:rowOff>106680</xdr:rowOff>
    </xdr:to>
    <xdr:cxnSp macro="">
      <xdr:nvCxnSpPr>
        <xdr:cNvPr id="52" name="Straight Connector 51">
          <a:extLst>
            <a:ext uri="{FF2B5EF4-FFF2-40B4-BE49-F238E27FC236}">
              <a16:creationId xmlns:a16="http://schemas.microsoft.com/office/drawing/2014/main" id="{1A685DA5-614A-4C52-A58B-F9E22E9B0BF6}"/>
            </a:ext>
          </a:extLst>
        </xdr:cNvPr>
        <xdr:cNvCxnSpPr/>
      </xdr:nvCxnSpPr>
      <xdr:spPr>
        <a:xfrm>
          <a:off x="9616440" y="7719060"/>
          <a:ext cx="7620" cy="800100"/>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419100</xdr:colOff>
      <xdr:row>42</xdr:row>
      <xdr:rowOff>22860</xdr:rowOff>
    </xdr:from>
    <xdr:to>
      <xdr:col>19</xdr:col>
      <xdr:colOff>426720</xdr:colOff>
      <xdr:row>46</xdr:row>
      <xdr:rowOff>91440</xdr:rowOff>
    </xdr:to>
    <xdr:cxnSp macro="">
      <xdr:nvCxnSpPr>
        <xdr:cNvPr id="53" name="Straight Connector 52">
          <a:extLst>
            <a:ext uri="{FF2B5EF4-FFF2-40B4-BE49-F238E27FC236}">
              <a16:creationId xmlns:a16="http://schemas.microsoft.com/office/drawing/2014/main" id="{0712438F-A0FA-4BBE-A177-1F99739AC7EC}"/>
            </a:ext>
          </a:extLst>
        </xdr:cNvPr>
        <xdr:cNvCxnSpPr/>
      </xdr:nvCxnSpPr>
      <xdr:spPr>
        <a:xfrm>
          <a:off x="12001500" y="7703820"/>
          <a:ext cx="7620" cy="800100"/>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106680</xdr:colOff>
      <xdr:row>44</xdr:row>
      <xdr:rowOff>121920</xdr:rowOff>
    </xdr:from>
    <xdr:ext cx="1836420" cy="436786"/>
    <xdr:sp macro="" textlink="">
      <xdr:nvSpPr>
        <xdr:cNvPr id="6" name="TextBox 5">
          <a:extLst>
            <a:ext uri="{FF2B5EF4-FFF2-40B4-BE49-F238E27FC236}">
              <a16:creationId xmlns:a16="http://schemas.microsoft.com/office/drawing/2014/main" id="{8877B1BF-01B7-BDC2-A0A4-B4C207F2E262}"/>
            </a:ext>
          </a:extLst>
        </xdr:cNvPr>
        <xdr:cNvSpPr txBox="1"/>
      </xdr:nvSpPr>
      <xdr:spPr>
        <a:xfrm>
          <a:off x="106680" y="8168640"/>
          <a:ext cx="183642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rPr>
            <a:t>Data Source</a:t>
          </a:r>
          <a:r>
            <a:rPr lang="en-IN" sz="1100" baseline="0">
              <a:solidFill>
                <a:schemeClr val="bg1"/>
              </a:solidFill>
            </a:rPr>
            <a:t> </a:t>
          </a:r>
          <a:r>
            <a:rPr lang="en-IN" sz="1100">
              <a:solidFill>
                <a:schemeClr val="bg1"/>
              </a:solidFill>
            </a:rPr>
            <a:t>:</a:t>
          </a:r>
        </a:p>
        <a:p>
          <a:r>
            <a:rPr lang="en-IN" sz="1100">
              <a:solidFill>
                <a:schemeClr val="bg1"/>
              </a:solidFill>
            </a:rPr>
            <a:t>Append_MergeDS12_DS3</a:t>
          </a:r>
        </a:p>
      </xdr:txBody>
    </xdr:sp>
    <xdr:clientData/>
  </xdr:oneCellAnchor>
  <xdr:twoCellAnchor editAs="oneCell">
    <xdr:from>
      <xdr:col>0</xdr:col>
      <xdr:colOff>0</xdr:colOff>
      <xdr:row>17</xdr:row>
      <xdr:rowOff>0</xdr:rowOff>
    </xdr:from>
    <xdr:to>
      <xdr:col>3</xdr:col>
      <xdr:colOff>76200</xdr:colOff>
      <xdr:row>25</xdr:row>
      <xdr:rowOff>15240</xdr:rowOff>
    </xdr:to>
    <mc:AlternateContent xmlns:mc="http://schemas.openxmlformats.org/markup-compatibility/2006">
      <mc:Choice xmlns:tsle="http://schemas.microsoft.com/office/drawing/2012/timeslicer" Requires="tsle">
        <xdr:graphicFrame macro="">
          <xdr:nvGraphicFramePr>
            <xdr:cNvPr id="28" name="Date 1">
              <a:extLst>
                <a:ext uri="{FF2B5EF4-FFF2-40B4-BE49-F238E27FC236}">
                  <a16:creationId xmlns:a16="http://schemas.microsoft.com/office/drawing/2014/main" id="{52E2D4A5-F313-458C-AE48-F5F0BBA957E2}"/>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0" y="3108960"/>
              <a:ext cx="1905000" cy="14782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7620</xdr:colOff>
      <xdr:row>24</xdr:row>
      <xdr:rowOff>76200</xdr:rowOff>
    </xdr:from>
    <xdr:to>
      <xdr:col>3</xdr:col>
      <xdr:colOff>83820</xdr:colOff>
      <xdr:row>36</xdr:row>
      <xdr:rowOff>99060</xdr:rowOff>
    </xdr:to>
    <mc:AlternateContent xmlns:mc="http://schemas.openxmlformats.org/markup-compatibility/2006">
      <mc:Choice xmlns:a14="http://schemas.microsoft.com/office/drawing/2010/main" Requires="a14">
        <xdr:graphicFrame macro="">
          <xdr:nvGraphicFramePr>
            <xdr:cNvPr id="31" name="Weekday 1">
              <a:extLst>
                <a:ext uri="{FF2B5EF4-FFF2-40B4-BE49-F238E27FC236}">
                  <a16:creationId xmlns:a16="http://schemas.microsoft.com/office/drawing/2014/main" id="{E6AE5F4B-EF66-4FB3-9D02-26D83807FB76}"/>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dr:sp macro="" textlink="">
          <xdr:nvSpPr>
            <xdr:cNvPr id="0" name=""/>
            <xdr:cNvSpPr>
              <a:spLocks noTextEdit="1"/>
            </xdr:cNvSpPr>
          </xdr:nvSpPr>
          <xdr:spPr>
            <a:xfrm>
              <a:off x="7620" y="4465320"/>
              <a:ext cx="190500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83820</xdr:rowOff>
    </xdr:from>
    <xdr:to>
      <xdr:col>3</xdr:col>
      <xdr:colOff>83820</xdr:colOff>
      <xdr:row>44</xdr:row>
      <xdr:rowOff>45720</xdr:rowOff>
    </xdr:to>
    <mc:AlternateContent xmlns:mc="http://schemas.openxmlformats.org/markup-compatibility/2006">
      <mc:Choice xmlns:a14="http://schemas.microsoft.com/office/drawing/2010/main" Requires="a14">
        <xdr:graphicFrame macro="">
          <xdr:nvGraphicFramePr>
            <xdr:cNvPr id="32" name="Weather Condition 1">
              <a:extLst>
                <a:ext uri="{FF2B5EF4-FFF2-40B4-BE49-F238E27FC236}">
                  <a16:creationId xmlns:a16="http://schemas.microsoft.com/office/drawing/2014/main" id="{CF03C040-CAA7-4FA4-BE83-8F6B2EAD5764}"/>
                </a:ext>
              </a:extLst>
            </xdr:cNvPr>
            <xdr:cNvGraphicFramePr/>
          </xdr:nvGraphicFramePr>
          <xdr:xfrm>
            <a:off x="0" y="0"/>
            <a:ext cx="0" cy="0"/>
          </xdr:xfrm>
          <a:graphic>
            <a:graphicData uri="http://schemas.microsoft.com/office/drawing/2010/slicer">
              <sle:slicer xmlns:sle="http://schemas.microsoft.com/office/drawing/2010/slicer" name="Weather Condition 1"/>
            </a:graphicData>
          </a:graphic>
        </xdr:graphicFrame>
      </mc:Choice>
      <mc:Fallback>
        <xdr:sp macro="" textlink="">
          <xdr:nvSpPr>
            <xdr:cNvPr id="0" name=""/>
            <xdr:cNvSpPr>
              <a:spLocks noTextEdit="1"/>
            </xdr:cNvSpPr>
          </xdr:nvSpPr>
          <xdr:spPr>
            <a:xfrm>
              <a:off x="0" y="6667500"/>
              <a:ext cx="191262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0.32236</cdr:x>
      <cdr:y>0.51019</cdr:y>
    </cdr:from>
    <cdr:to>
      <cdr:x>0.69605</cdr:x>
      <cdr:y>0.66941</cdr:y>
    </cdr:to>
    <cdr:sp macro="" textlink="">
      <cdr:nvSpPr>
        <cdr:cNvPr id="2" name="TextBox 3">
          <a:extLst xmlns:a="http://schemas.openxmlformats.org/drawingml/2006/main">
            <a:ext uri="{FF2B5EF4-FFF2-40B4-BE49-F238E27FC236}">
              <a16:creationId xmlns:a16="http://schemas.microsoft.com/office/drawing/2014/main" id="{89899AA4-1F81-19B1-539D-59C2DA60B9D0}"/>
            </a:ext>
          </a:extLst>
        </cdr:cNvPr>
        <cdr:cNvSpPr txBox="1"/>
      </cdr:nvSpPr>
      <cdr:spPr>
        <a:xfrm xmlns:a="http://schemas.openxmlformats.org/drawingml/2006/main">
          <a:off x="820420" y="1399540"/>
          <a:ext cx="951094" cy="43678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ctr">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n-IN" sz="1100" b="1"/>
            <a:t>58,304</a:t>
          </a:r>
        </a:p>
        <a:p xmlns:a="http://schemas.openxmlformats.org/drawingml/2006/main">
          <a:pPr algn="ctr"/>
          <a:r>
            <a:rPr lang="en-IN" sz="1100" b="1"/>
            <a:t>Total Rentals</a:t>
          </a:r>
        </a:p>
      </cdr:txBody>
    </cdr:sp>
  </cdr:relSizeAnchor>
</c:userShapes>
</file>

<file path=xl/drawings/drawing5.xml><?xml version="1.0" encoding="utf-8"?>
<c:userShapes xmlns:c="http://schemas.openxmlformats.org/drawingml/2006/chart">
  <cdr:relSizeAnchor xmlns:cdr="http://schemas.openxmlformats.org/drawingml/2006/chartDrawing">
    <cdr:from>
      <cdr:x>0.21929</cdr:x>
      <cdr:y>0.47963</cdr:y>
    </cdr:from>
    <cdr:to>
      <cdr:x>0.5763</cdr:x>
      <cdr:y>0.63885</cdr:y>
    </cdr:to>
    <cdr:sp macro="" textlink="">
      <cdr:nvSpPr>
        <cdr:cNvPr id="2" name="TextBox 3">
          <a:extLst xmlns:a="http://schemas.openxmlformats.org/drawingml/2006/main">
            <a:ext uri="{FF2B5EF4-FFF2-40B4-BE49-F238E27FC236}">
              <a16:creationId xmlns:a16="http://schemas.microsoft.com/office/drawing/2014/main" id="{40A04593-4C48-2B39-3F57-2872340D3C30}"/>
            </a:ext>
          </a:extLst>
        </cdr:cNvPr>
        <cdr:cNvSpPr txBox="1"/>
      </cdr:nvSpPr>
      <cdr:spPr>
        <a:xfrm xmlns:a="http://schemas.openxmlformats.org/drawingml/2006/main">
          <a:off x="584200" y="1315720"/>
          <a:ext cx="951071" cy="43677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ctr">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n-IN" sz="1100" b="1"/>
            <a:t>58,304</a:t>
          </a:r>
        </a:p>
        <a:p xmlns:a="http://schemas.openxmlformats.org/drawingml/2006/main">
          <a:pPr algn="ctr"/>
          <a:r>
            <a:rPr lang="en-IN" sz="1100" b="1"/>
            <a:t>Total Rentals</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99060</xdr:colOff>
      <xdr:row>51</xdr:row>
      <xdr:rowOff>0</xdr:rowOff>
    </xdr:to>
    <xdr:sp macro="" textlink="">
      <xdr:nvSpPr>
        <xdr:cNvPr id="2" name="Rectangle 1">
          <a:extLst>
            <a:ext uri="{FF2B5EF4-FFF2-40B4-BE49-F238E27FC236}">
              <a16:creationId xmlns:a16="http://schemas.microsoft.com/office/drawing/2014/main" id="{025C04BE-6D05-4D99-85D7-853A7E9A9EEE}"/>
            </a:ext>
          </a:extLst>
        </xdr:cNvPr>
        <xdr:cNvSpPr/>
      </xdr:nvSpPr>
      <xdr:spPr>
        <a:xfrm>
          <a:off x="0" y="0"/>
          <a:ext cx="1927860" cy="9326880"/>
        </a:xfrm>
        <a:prstGeom prst="rect">
          <a:avLst/>
        </a:prstGeom>
        <a:solidFill>
          <a:srgbClr val="002060"/>
        </a:solidFill>
        <a:ln>
          <a:noFill/>
        </a:ln>
        <a:effectLst>
          <a:outerShdw blurRad="50800" dist="38100" dir="2700000" algn="tl" rotWithShape="0">
            <a:srgbClr val="1E90F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sng"/>
        </a:p>
      </xdr:txBody>
    </xdr:sp>
    <xdr:clientData/>
  </xdr:twoCellAnchor>
  <xdr:twoCellAnchor>
    <xdr:from>
      <xdr:col>0</xdr:col>
      <xdr:colOff>236220</xdr:colOff>
      <xdr:row>12</xdr:row>
      <xdr:rowOff>114300</xdr:rowOff>
    </xdr:from>
    <xdr:to>
      <xdr:col>3</xdr:col>
      <xdr:colOff>297180</xdr:colOff>
      <xdr:row>15</xdr:row>
      <xdr:rowOff>83820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0F8200AA-2D36-44B0-9D1E-D9A5F6289BF7}"/>
            </a:ext>
          </a:extLst>
        </xdr:cNvPr>
        <xdr:cNvSpPr/>
      </xdr:nvSpPr>
      <xdr:spPr>
        <a:xfrm>
          <a:off x="236220" y="2308860"/>
          <a:ext cx="1889760" cy="518160"/>
        </a:xfrm>
        <a:prstGeom prst="roundRect">
          <a:avLst/>
        </a:prstGeom>
        <a:gradFill flip="none" rotWithShape="1">
          <a:gsLst>
            <a:gs pos="0">
              <a:srgbClr val="1E90FF">
                <a:lumMod val="99000"/>
              </a:srgbClr>
            </a:gs>
            <a:gs pos="29000">
              <a:srgbClr val="1E90FF"/>
            </a:gs>
            <a:gs pos="18000">
              <a:srgbClr val="1E90FF"/>
            </a:gs>
            <a:gs pos="83000">
              <a:srgbClr val="3742FA"/>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lt1"/>
              </a:solidFill>
              <a:effectLst/>
              <a:latin typeface="+mn-lt"/>
              <a:ea typeface="+mn-ea"/>
              <a:cs typeface="+mn-cs"/>
            </a:rPr>
            <a:t>        Customer</a:t>
          </a:r>
          <a:endParaRPr lang="en-IN" sz="1400" b="1">
            <a:effectLst/>
          </a:endParaRPr>
        </a:p>
      </xdr:txBody>
    </xdr:sp>
    <xdr:clientData/>
  </xdr:twoCellAnchor>
  <xdr:twoCellAnchor editAs="oneCell">
    <xdr:from>
      <xdr:col>0</xdr:col>
      <xdr:colOff>449580</xdr:colOff>
      <xdr:row>0</xdr:row>
      <xdr:rowOff>0</xdr:rowOff>
    </xdr:from>
    <xdr:to>
      <xdr:col>2</xdr:col>
      <xdr:colOff>144780</xdr:colOff>
      <xdr:row>5</xdr:row>
      <xdr:rowOff>0</xdr:rowOff>
    </xdr:to>
    <xdr:pic>
      <xdr:nvPicPr>
        <xdr:cNvPr id="3" name="Graphic 2" descr="Motorcycle outline">
          <a:extLst>
            <a:ext uri="{FF2B5EF4-FFF2-40B4-BE49-F238E27FC236}">
              <a16:creationId xmlns:a16="http://schemas.microsoft.com/office/drawing/2014/main" id="{1792F421-CE7B-4C83-A7C5-8F1F1DC8079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49580" y="0"/>
          <a:ext cx="914400" cy="914400"/>
        </a:xfrm>
        <a:prstGeom prst="rect">
          <a:avLst/>
        </a:prstGeom>
      </xdr:spPr>
    </xdr:pic>
    <xdr:clientData/>
  </xdr:twoCellAnchor>
  <xdr:oneCellAnchor>
    <xdr:from>
      <xdr:col>0</xdr:col>
      <xdr:colOff>7620</xdr:colOff>
      <xdr:row>4</xdr:row>
      <xdr:rowOff>29265</xdr:rowOff>
    </xdr:from>
    <xdr:ext cx="1767840" cy="530658"/>
    <xdr:sp macro="" textlink="">
      <xdr:nvSpPr>
        <xdr:cNvPr id="4" name="TextBox 3">
          <a:extLst>
            <a:ext uri="{FF2B5EF4-FFF2-40B4-BE49-F238E27FC236}">
              <a16:creationId xmlns:a16="http://schemas.microsoft.com/office/drawing/2014/main" id="{AF5896D3-755F-458B-A290-D9D1A1C557BE}"/>
            </a:ext>
          </a:extLst>
        </xdr:cNvPr>
        <xdr:cNvSpPr txBox="1"/>
      </xdr:nvSpPr>
      <xdr:spPr>
        <a:xfrm>
          <a:off x="7620" y="760785"/>
          <a:ext cx="176784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cap="all" baseline="0">
              <a:solidFill>
                <a:schemeClr val="bg1"/>
              </a:solidFill>
            </a:rPr>
            <a:t>Bike Rental</a:t>
          </a:r>
        </a:p>
        <a:p>
          <a:pPr algn="ctr"/>
          <a:r>
            <a:rPr lang="en-IN" sz="1200" cap="all" baseline="0">
              <a:solidFill>
                <a:schemeClr val="bg1"/>
              </a:solidFill>
            </a:rPr>
            <a:t>Dashboard</a:t>
          </a:r>
        </a:p>
      </xdr:txBody>
    </xdr:sp>
    <xdr:clientData/>
  </xdr:oneCellAnchor>
  <xdr:twoCellAnchor>
    <xdr:from>
      <xdr:col>3</xdr:col>
      <xdr:colOff>83820</xdr:colOff>
      <xdr:row>0</xdr:row>
      <xdr:rowOff>0</xdr:rowOff>
    </xdr:from>
    <xdr:to>
      <xdr:col>3</xdr:col>
      <xdr:colOff>419100</xdr:colOff>
      <xdr:row>51</xdr:row>
      <xdr:rowOff>22860</xdr:rowOff>
    </xdr:to>
    <xdr:sp macro="" textlink="">
      <xdr:nvSpPr>
        <xdr:cNvPr id="6" name="Rectangle 5">
          <a:extLst>
            <a:ext uri="{FF2B5EF4-FFF2-40B4-BE49-F238E27FC236}">
              <a16:creationId xmlns:a16="http://schemas.microsoft.com/office/drawing/2014/main" id="{254DB924-7C44-4FF4-BAD8-00C4922FA522}"/>
            </a:ext>
          </a:extLst>
        </xdr:cNvPr>
        <xdr:cNvSpPr/>
      </xdr:nvSpPr>
      <xdr:spPr>
        <a:xfrm>
          <a:off x="1912620" y="0"/>
          <a:ext cx="335280" cy="9349740"/>
        </a:xfrm>
        <a:prstGeom prst="rect">
          <a:avLst/>
        </a:prstGeom>
        <a:gradFill flip="none" rotWithShape="1">
          <a:gsLst>
            <a:gs pos="0">
              <a:srgbClr val="1E90FF">
                <a:lumMod val="99000"/>
              </a:srgbClr>
            </a:gs>
            <a:gs pos="0">
              <a:srgbClr val="1E90FF"/>
            </a:gs>
            <a:gs pos="0">
              <a:srgbClr val="1E90FF"/>
            </a:gs>
            <a:gs pos="0">
              <a:srgbClr val="3742FA"/>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358140</xdr:colOff>
      <xdr:row>8</xdr:row>
      <xdr:rowOff>167640</xdr:rowOff>
    </xdr:from>
    <xdr:to>
      <xdr:col>1</xdr:col>
      <xdr:colOff>220980</xdr:colOff>
      <xdr:row>11</xdr:row>
      <xdr:rowOff>91440</xdr:rowOff>
    </xdr:to>
    <xdr:pic>
      <xdr:nvPicPr>
        <xdr:cNvPr id="7" name="Graphic 6" descr="Presentation with bar chart with solid fill">
          <a:extLst>
            <a:ext uri="{FF2B5EF4-FFF2-40B4-BE49-F238E27FC236}">
              <a16:creationId xmlns:a16="http://schemas.microsoft.com/office/drawing/2014/main" id="{BA158EC8-4E7D-489D-9CCE-44125B87EAD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8140" y="1630680"/>
          <a:ext cx="472440" cy="472440"/>
        </a:xfrm>
        <a:prstGeom prst="rect">
          <a:avLst/>
        </a:prstGeom>
      </xdr:spPr>
    </xdr:pic>
    <xdr:clientData/>
  </xdr:twoCellAnchor>
  <xdr:twoCellAnchor editAs="oneCell">
    <xdr:from>
      <xdr:col>0</xdr:col>
      <xdr:colOff>320040</xdr:colOff>
      <xdr:row>12</xdr:row>
      <xdr:rowOff>114300</xdr:rowOff>
    </xdr:from>
    <xdr:to>
      <xdr:col>1</xdr:col>
      <xdr:colOff>243840</xdr:colOff>
      <xdr:row>15</xdr:row>
      <xdr:rowOff>99060</xdr:rowOff>
    </xdr:to>
    <xdr:pic>
      <xdr:nvPicPr>
        <xdr:cNvPr id="10" name="Graphic 9" descr="Users with solid fill">
          <a:hlinkClick xmlns:r="http://schemas.openxmlformats.org/officeDocument/2006/relationships" r:id="rId1"/>
          <a:extLst>
            <a:ext uri="{FF2B5EF4-FFF2-40B4-BE49-F238E27FC236}">
              <a16:creationId xmlns:a16="http://schemas.microsoft.com/office/drawing/2014/main" id="{51368454-FA1E-464D-B7E3-0EF22A42F7A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0040" y="2308860"/>
          <a:ext cx="533400" cy="533400"/>
        </a:xfrm>
        <a:prstGeom prst="rect">
          <a:avLst/>
        </a:prstGeom>
      </xdr:spPr>
    </xdr:pic>
    <xdr:clientData/>
  </xdr:twoCellAnchor>
  <xdr:twoCellAnchor>
    <xdr:from>
      <xdr:col>0</xdr:col>
      <xdr:colOff>213360</xdr:colOff>
      <xdr:row>8</xdr:row>
      <xdr:rowOff>106680</xdr:rowOff>
    </xdr:from>
    <xdr:to>
      <xdr:col>3</xdr:col>
      <xdr:colOff>274320</xdr:colOff>
      <xdr:row>11</xdr:row>
      <xdr:rowOff>76200</xdr:rowOff>
    </xdr:to>
    <xdr:sp macro="" textlink="">
      <xdr:nvSpPr>
        <xdr:cNvPr id="12" name="Rectangle: Rounded Corners 11">
          <a:hlinkClick xmlns:r="http://schemas.openxmlformats.org/officeDocument/2006/relationships" r:id="rId8"/>
          <a:extLst>
            <a:ext uri="{FF2B5EF4-FFF2-40B4-BE49-F238E27FC236}">
              <a16:creationId xmlns:a16="http://schemas.microsoft.com/office/drawing/2014/main" id="{4CFF4624-5CAD-4B24-8FEA-32692B0FB174}"/>
            </a:ext>
          </a:extLst>
        </xdr:cNvPr>
        <xdr:cNvSpPr/>
      </xdr:nvSpPr>
      <xdr:spPr>
        <a:xfrm>
          <a:off x="213360" y="1569720"/>
          <a:ext cx="1889760" cy="5181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lt1"/>
              </a:solidFill>
              <a:effectLst/>
              <a:latin typeface="+mn-lt"/>
              <a:ea typeface="+mn-ea"/>
              <a:cs typeface="+mn-cs"/>
            </a:rPr>
            <a:t>         Overview</a:t>
          </a:r>
          <a:endParaRPr lang="en-IN" sz="1400" b="1">
            <a:effectLst/>
          </a:endParaRPr>
        </a:p>
      </xdr:txBody>
    </xdr:sp>
    <xdr:clientData/>
  </xdr:twoCellAnchor>
  <xdr:oneCellAnchor>
    <xdr:from>
      <xdr:col>0</xdr:col>
      <xdr:colOff>137160</xdr:colOff>
      <xdr:row>44</xdr:row>
      <xdr:rowOff>129540</xdr:rowOff>
    </xdr:from>
    <xdr:ext cx="1836420" cy="436786"/>
    <xdr:sp macro="" textlink="">
      <xdr:nvSpPr>
        <xdr:cNvPr id="13" name="TextBox 12">
          <a:extLst>
            <a:ext uri="{FF2B5EF4-FFF2-40B4-BE49-F238E27FC236}">
              <a16:creationId xmlns:a16="http://schemas.microsoft.com/office/drawing/2014/main" id="{F648002A-B3E4-4E3E-AAC6-CDCCB542E7C1}"/>
            </a:ext>
          </a:extLst>
        </xdr:cNvPr>
        <xdr:cNvSpPr txBox="1"/>
      </xdr:nvSpPr>
      <xdr:spPr>
        <a:xfrm>
          <a:off x="137160" y="8176260"/>
          <a:ext cx="183642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rPr>
            <a:t>Data Source</a:t>
          </a:r>
          <a:r>
            <a:rPr lang="en-IN" sz="1100" baseline="0">
              <a:solidFill>
                <a:schemeClr val="bg1"/>
              </a:solidFill>
            </a:rPr>
            <a:t> </a:t>
          </a:r>
          <a:r>
            <a:rPr lang="en-IN" sz="1100">
              <a:solidFill>
                <a:schemeClr val="bg1"/>
              </a:solidFill>
            </a:rPr>
            <a:t>:</a:t>
          </a:r>
        </a:p>
        <a:p>
          <a:r>
            <a:rPr lang="en-IN" sz="1100">
              <a:solidFill>
                <a:schemeClr val="bg1"/>
              </a:solidFill>
            </a:rPr>
            <a:t>Append_MergeDS12_DS3</a:t>
          </a:r>
        </a:p>
      </xdr:txBody>
    </xdr:sp>
    <xdr:clientData/>
  </xdr:oneCellAnchor>
  <xdr:twoCellAnchor>
    <xdr:from>
      <xdr:col>4</xdr:col>
      <xdr:colOff>60960</xdr:colOff>
      <xdr:row>0</xdr:row>
      <xdr:rowOff>144780</xdr:rowOff>
    </xdr:from>
    <xdr:to>
      <xdr:col>12</xdr:col>
      <xdr:colOff>502920</xdr:colOff>
      <xdr:row>3</xdr:row>
      <xdr:rowOff>160020</xdr:rowOff>
    </xdr:to>
    <xdr:sp macro="" textlink="">
      <xdr:nvSpPr>
        <xdr:cNvPr id="14" name="TextBox 13">
          <a:extLst>
            <a:ext uri="{FF2B5EF4-FFF2-40B4-BE49-F238E27FC236}">
              <a16:creationId xmlns:a16="http://schemas.microsoft.com/office/drawing/2014/main" id="{0D76FB6D-82DA-48D8-83DB-75DEBF8DA6C6}"/>
            </a:ext>
          </a:extLst>
        </xdr:cNvPr>
        <xdr:cNvSpPr txBox="1"/>
      </xdr:nvSpPr>
      <xdr:spPr>
        <a:xfrm>
          <a:off x="2499360" y="144780"/>
          <a:ext cx="531876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CUSTOMER</a:t>
          </a:r>
          <a:r>
            <a:rPr lang="en-IN" sz="1800" b="1" baseline="0"/>
            <a:t> BEHAVIOR DASHBOARD</a:t>
          </a:r>
          <a:r>
            <a:rPr lang="en-IN" sz="1800" b="1"/>
            <a:t> </a:t>
          </a:r>
        </a:p>
        <a:p>
          <a:r>
            <a:rPr lang="en-IN" sz="1200" b="0"/>
            <a:t>Understand customer segments, usage pattern and factors</a:t>
          </a:r>
          <a:r>
            <a:rPr lang="en-IN" sz="1200" b="0" baseline="0"/>
            <a:t> affecting rental</a:t>
          </a:r>
          <a:r>
            <a:rPr lang="en-IN" sz="1200" b="0"/>
            <a:t> trends</a:t>
          </a:r>
          <a:endParaRPr lang="en-IN" sz="1100" b="0"/>
        </a:p>
      </xdr:txBody>
    </xdr:sp>
    <xdr:clientData/>
  </xdr:twoCellAnchor>
  <xdr:twoCellAnchor editAs="oneCell">
    <xdr:from>
      <xdr:col>22</xdr:col>
      <xdr:colOff>495300</xdr:colOff>
      <xdr:row>1</xdr:row>
      <xdr:rowOff>7620</xdr:rowOff>
    </xdr:from>
    <xdr:to>
      <xdr:col>23</xdr:col>
      <xdr:colOff>274320</xdr:colOff>
      <xdr:row>3</xdr:row>
      <xdr:rowOff>30480</xdr:rowOff>
    </xdr:to>
    <xdr:pic>
      <xdr:nvPicPr>
        <xdr:cNvPr id="15" name="Graphic 14" descr="Daily calendar outline">
          <a:extLst>
            <a:ext uri="{FF2B5EF4-FFF2-40B4-BE49-F238E27FC236}">
              <a16:creationId xmlns:a16="http://schemas.microsoft.com/office/drawing/2014/main" id="{072EC93B-BEF3-4CD6-A81A-2B33F1159EE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906500" y="190500"/>
          <a:ext cx="388620" cy="388620"/>
        </a:xfrm>
        <a:prstGeom prst="rect">
          <a:avLst/>
        </a:prstGeom>
      </xdr:spPr>
    </xdr:pic>
    <xdr:clientData/>
  </xdr:twoCellAnchor>
  <xdr:twoCellAnchor>
    <xdr:from>
      <xdr:col>20</xdr:col>
      <xdr:colOff>106680</xdr:colOff>
      <xdr:row>1</xdr:row>
      <xdr:rowOff>99060</xdr:rowOff>
    </xdr:from>
    <xdr:to>
      <xdr:col>22</xdr:col>
      <xdr:colOff>556260</xdr:colOff>
      <xdr:row>3</xdr:row>
      <xdr:rowOff>15240</xdr:rowOff>
    </xdr:to>
    <xdr:sp macro="" textlink="">
      <xdr:nvSpPr>
        <xdr:cNvPr id="16" name="TextBox 15">
          <a:extLst>
            <a:ext uri="{FF2B5EF4-FFF2-40B4-BE49-F238E27FC236}">
              <a16:creationId xmlns:a16="http://schemas.microsoft.com/office/drawing/2014/main" id="{6108FAEF-7CCC-4264-89FC-B4915E5FE71A}"/>
            </a:ext>
          </a:extLst>
        </xdr:cNvPr>
        <xdr:cNvSpPr txBox="1"/>
      </xdr:nvSpPr>
      <xdr:spPr>
        <a:xfrm>
          <a:off x="12298680" y="281940"/>
          <a:ext cx="16687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01 Jan 2011 - 14 Feb 2011</a:t>
          </a:r>
        </a:p>
      </xdr:txBody>
    </xdr:sp>
    <xdr:clientData/>
  </xdr:twoCellAnchor>
  <xdr:twoCellAnchor>
    <xdr:from>
      <xdr:col>4</xdr:col>
      <xdr:colOff>175260</xdr:colOff>
      <xdr:row>4</xdr:row>
      <xdr:rowOff>144780</xdr:rowOff>
    </xdr:from>
    <xdr:to>
      <xdr:col>11</xdr:col>
      <xdr:colOff>480060</xdr:colOff>
      <xdr:row>19</xdr:row>
      <xdr:rowOff>144780</xdr:rowOff>
    </xdr:to>
    <xdr:graphicFrame macro="">
      <xdr:nvGraphicFramePr>
        <xdr:cNvPr id="17" name="Chart 16">
          <a:extLst>
            <a:ext uri="{FF2B5EF4-FFF2-40B4-BE49-F238E27FC236}">
              <a16:creationId xmlns:a16="http://schemas.microsoft.com/office/drawing/2014/main" id="{0FEB9832-A7F2-4890-B19D-B865C6B43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312420</xdr:colOff>
      <xdr:row>4</xdr:row>
      <xdr:rowOff>144780</xdr:rowOff>
    </xdr:from>
    <xdr:to>
      <xdr:col>20</xdr:col>
      <xdr:colOff>7620</xdr:colOff>
      <xdr:row>19</xdr:row>
      <xdr:rowOff>144780</xdr:rowOff>
    </xdr:to>
    <xdr:graphicFrame macro="">
      <xdr:nvGraphicFramePr>
        <xdr:cNvPr id="18" name="Chart 17">
          <a:extLst>
            <a:ext uri="{FF2B5EF4-FFF2-40B4-BE49-F238E27FC236}">
              <a16:creationId xmlns:a16="http://schemas.microsoft.com/office/drawing/2014/main" id="{AA99D004-C2CF-4C06-8384-10B41DD7C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15240</xdr:colOff>
      <xdr:row>20</xdr:row>
      <xdr:rowOff>152400</xdr:rowOff>
    </xdr:from>
    <xdr:to>
      <xdr:col>23</xdr:col>
      <xdr:colOff>320040</xdr:colOff>
      <xdr:row>35</xdr:row>
      <xdr:rowOff>152400</xdr:rowOff>
    </xdr:to>
    <xdr:graphicFrame macro="">
      <xdr:nvGraphicFramePr>
        <xdr:cNvPr id="19" name="Chart 18">
          <a:extLst>
            <a:ext uri="{FF2B5EF4-FFF2-40B4-BE49-F238E27FC236}">
              <a16:creationId xmlns:a16="http://schemas.microsoft.com/office/drawing/2014/main" id="{6DDE813D-C5E2-4C12-A73A-4F9359CA7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167640</xdr:colOff>
      <xdr:row>20</xdr:row>
      <xdr:rowOff>152400</xdr:rowOff>
    </xdr:from>
    <xdr:to>
      <xdr:col>15</xdr:col>
      <xdr:colOff>434340</xdr:colOff>
      <xdr:row>35</xdr:row>
      <xdr:rowOff>152400</xdr:rowOff>
    </xdr:to>
    <xdr:graphicFrame macro="">
      <xdr:nvGraphicFramePr>
        <xdr:cNvPr id="20" name="Chart 19">
          <a:extLst>
            <a:ext uri="{FF2B5EF4-FFF2-40B4-BE49-F238E27FC236}">
              <a16:creationId xmlns:a16="http://schemas.microsoft.com/office/drawing/2014/main" id="{63FD5548-1F99-45B8-B8B5-E8730D9F7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182880</xdr:colOff>
      <xdr:row>4</xdr:row>
      <xdr:rowOff>144780</xdr:rowOff>
    </xdr:from>
    <xdr:to>
      <xdr:col>23</xdr:col>
      <xdr:colOff>289560</xdr:colOff>
      <xdr:row>19</xdr:row>
      <xdr:rowOff>144780</xdr:rowOff>
    </xdr:to>
    <xdr:sp macro="" textlink="">
      <xdr:nvSpPr>
        <xdr:cNvPr id="21" name="TextBox 20">
          <a:extLst>
            <a:ext uri="{FF2B5EF4-FFF2-40B4-BE49-F238E27FC236}">
              <a16:creationId xmlns:a16="http://schemas.microsoft.com/office/drawing/2014/main" id="{C4CBED33-F9DD-D1A9-28F8-818E6961DD42}"/>
            </a:ext>
          </a:extLst>
        </xdr:cNvPr>
        <xdr:cNvSpPr txBox="1"/>
      </xdr:nvSpPr>
      <xdr:spPr>
        <a:xfrm>
          <a:off x="12374880" y="876300"/>
          <a:ext cx="1935480" cy="274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endParaRPr lang="en-IN" sz="1400"/>
        </a:p>
        <a:p>
          <a:pPr algn="l"/>
          <a:r>
            <a:rPr lang="en-IN" sz="1400" baseline="0"/>
            <a:t>          Rentals is high in </a:t>
          </a:r>
        </a:p>
        <a:p>
          <a:pPr algn="l"/>
          <a:r>
            <a:rPr lang="en-IN" sz="1400" baseline="0"/>
            <a:t>          moderate         temperature, decreases with temperature going extremes.</a:t>
          </a:r>
        </a:p>
        <a:p>
          <a:pPr algn="ctr"/>
          <a:endParaRPr lang="en-IN" sz="1400" baseline="0"/>
        </a:p>
        <a:p>
          <a:pPr algn="l"/>
          <a:r>
            <a:rPr lang="en-IN" sz="1400" baseline="0">
              <a:solidFill>
                <a:schemeClr val="dk1"/>
              </a:solidFill>
              <a:latin typeface="+mn-lt"/>
              <a:ea typeface="+mn-ea"/>
              <a:cs typeface="+mn-cs"/>
            </a:rPr>
            <a:t>           </a:t>
          </a:r>
        </a:p>
        <a:p>
          <a:pPr algn="l"/>
          <a:r>
            <a:rPr lang="en-IN" sz="1400" baseline="0">
              <a:solidFill>
                <a:schemeClr val="dk1"/>
              </a:solidFill>
              <a:latin typeface="+mn-lt"/>
              <a:ea typeface="+mn-ea"/>
              <a:cs typeface="+mn-cs"/>
            </a:rPr>
            <a:t>           Rentals have          </a:t>
          </a:r>
        </a:p>
        <a:p>
          <a:pPr algn="l"/>
          <a:r>
            <a:rPr lang="en-IN" sz="1400" baseline="0">
              <a:solidFill>
                <a:schemeClr val="dk1"/>
              </a:solidFill>
              <a:latin typeface="+mn-lt"/>
              <a:ea typeface="+mn-ea"/>
              <a:cs typeface="+mn-cs"/>
            </a:rPr>
            <a:t>           nagative relationship with humidity.</a:t>
          </a:r>
        </a:p>
        <a:p>
          <a:endParaRPr lang="en-IN" sz="1100"/>
        </a:p>
      </xdr:txBody>
    </xdr:sp>
    <xdr:clientData/>
  </xdr:twoCellAnchor>
  <xdr:twoCellAnchor editAs="oneCell">
    <xdr:from>
      <xdr:col>20</xdr:col>
      <xdr:colOff>220980</xdr:colOff>
      <xdr:row>5</xdr:row>
      <xdr:rowOff>53340</xdr:rowOff>
    </xdr:from>
    <xdr:to>
      <xdr:col>21</xdr:col>
      <xdr:colOff>83820</xdr:colOff>
      <xdr:row>7</xdr:row>
      <xdr:rowOff>160020</xdr:rowOff>
    </xdr:to>
    <xdr:pic>
      <xdr:nvPicPr>
        <xdr:cNvPr id="23" name="Graphic 22" descr="Thermometer with solid fill">
          <a:extLst>
            <a:ext uri="{FF2B5EF4-FFF2-40B4-BE49-F238E27FC236}">
              <a16:creationId xmlns:a16="http://schemas.microsoft.com/office/drawing/2014/main" id="{A8C23637-7E82-6441-6CDB-CD314A245EC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412980" y="967740"/>
          <a:ext cx="472440" cy="472440"/>
        </a:xfrm>
        <a:prstGeom prst="rect">
          <a:avLst/>
        </a:prstGeom>
      </xdr:spPr>
    </xdr:pic>
    <xdr:clientData/>
  </xdr:twoCellAnchor>
  <xdr:twoCellAnchor editAs="oneCell">
    <xdr:from>
      <xdr:col>20</xdr:col>
      <xdr:colOff>213360</xdr:colOff>
      <xdr:row>13</xdr:row>
      <xdr:rowOff>160020</xdr:rowOff>
    </xdr:from>
    <xdr:to>
      <xdr:col>21</xdr:col>
      <xdr:colOff>121920</xdr:colOff>
      <xdr:row>16</xdr:row>
      <xdr:rowOff>129540</xdr:rowOff>
    </xdr:to>
    <xdr:pic>
      <xdr:nvPicPr>
        <xdr:cNvPr id="25" name="Graphic 24" descr="Dia De Muertos with solid fill">
          <a:extLst>
            <a:ext uri="{FF2B5EF4-FFF2-40B4-BE49-F238E27FC236}">
              <a16:creationId xmlns:a16="http://schemas.microsoft.com/office/drawing/2014/main" id="{E31079B5-0819-8BC5-7B99-1C94E3C07F4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405360" y="2537460"/>
          <a:ext cx="518160" cy="518160"/>
        </a:xfrm>
        <a:prstGeom prst="rect">
          <a:avLst/>
        </a:prstGeom>
      </xdr:spPr>
    </xdr:pic>
    <xdr:clientData/>
  </xdr:twoCellAnchor>
  <xdr:twoCellAnchor>
    <xdr:from>
      <xdr:col>4</xdr:col>
      <xdr:colOff>152400</xdr:colOff>
      <xdr:row>37</xdr:row>
      <xdr:rowOff>45720</xdr:rowOff>
    </xdr:from>
    <xdr:to>
      <xdr:col>23</xdr:col>
      <xdr:colOff>304800</xdr:colOff>
      <xdr:row>47</xdr:row>
      <xdr:rowOff>114300</xdr:rowOff>
    </xdr:to>
    <xdr:sp macro="" textlink="">
      <xdr:nvSpPr>
        <xdr:cNvPr id="26" name="TextBox 25">
          <a:extLst>
            <a:ext uri="{FF2B5EF4-FFF2-40B4-BE49-F238E27FC236}">
              <a16:creationId xmlns:a16="http://schemas.microsoft.com/office/drawing/2014/main" id="{0FA2981B-503B-6B83-BE70-FF3437C6F6F2}"/>
            </a:ext>
          </a:extLst>
        </xdr:cNvPr>
        <xdr:cNvSpPr txBox="1"/>
      </xdr:nvSpPr>
      <xdr:spPr>
        <a:xfrm>
          <a:off x="2590800" y="6812280"/>
          <a:ext cx="11734800" cy="1897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chemeClr val="dk1"/>
              </a:solidFill>
              <a:latin typeface="+mn-lt"/>
              <a:ea typeface="+mn-ea"/>
              <a:cs typeface="+mn-cs"/>
            </a:rPr>
            <a:t>Key Insights</a:t>
          </a:r>
        </a:p>
        <a:p>
          <a:pPr marL="0" indent="0"/>
          <a:r>
            <a:rPr lang="en-IN" sz="1200" b="1">
              <a:solidFill>
                <a:schemeClr val="dk1"/>
              </a:solidFill>
              <a:latin typeface="+mn-lt"/>
              <a:ea typeface="+mn-ea"/>
              <a:cs typeface="+mn-cs"/>
            </a:rPr>
            <a:t>      </a:t>
          </a:r>
        </a:p>
        <a:p>
          <a:pPr marL="0" indent="0"/>
          <a:r>
            <a:rPr lang="en-IN" sz="1200" b="1">
              <a:solidFill>
                <a:schemeClr val="dk1"/>
              </a:solidFill>
              <a:latin typeface="+mn-lt"/>
              <a:ea typeface="+mn-ea"/>
              <a:cs typeface="+mn-cs"/>
            </a:rPr>
            <a:t>                      </a:t>
          </a:r>
          <a:r>
            <a:rPr lang="en-IN" sz="1200"/>
            <a:t>The forecasted rentals are increasing gradually over time.                                                                                  Windspeed has a slight negative relationship with rentals.</a:t>
          </a:r>
        </a:p>
        <a:p>
          <a:r>
            <a:rPr lang="en-IN" sz="1200" b="1">
              <a:solidFill>
                <a:schemeClr val="dk1"/>
              </a:solidFill>
              <a:latin typeface="+mn-lt"/>
              <a:ea typeface="+mn-ea"/>
              <a:cs typeface="+mn-cs"/>
            </a:rPr>
            <a:t>                      </a:t>
          </a:r>
          <a:r>
            <a:rPr lang="en-IN" sz="1200"/>
            <a:t>Actual rentals earlier showed fluctuations and dips.                                                                                              High windspeed causes:</a:t>
          </a:r>
        </a:p>
        <a:p>
          <a:r>
            <a:rPr lang="en-IN" sz="1200"/>
            <a:t>                      The forecast now shows:                                                                                                                                                        </a:t>
          </a:r>
          <a:r>
            <a:rPr lang="en-IN" sz="1100">
              <a:solidFill>
                <a:schemeClr val="dk1"/>
              </a:solidFill>
              <a:effectLst/>
              <a:latin typeface="+mn-lt"/>
              <a:ea typeface="+mn-ea"/>
              <a:cs typeface="+mn-cs"/>
            </a:rPr>
            <a:t>Riding difficulty </a:t>
          </a:r>
          <a:endParaRPr lang="en-IN" sz="1200"/>
        </a:p>
        <a:p>
          <a:r>
            <a:rPr lang="en-IN" sz="1200"/>
            <a:t>                            Recovery                                                                                                                                                                              </a:t>
          </a:r>
          <a:r>
            <a:rPr lang="en-IN" sz="1100">
              <a:solidFill>
                <a:schemeClr val="dk1"/>
              </a:solidFill>
              <a:effectLst/>
              <a:latin typeface="+mn-lt"/>
              <a:ea typeface="+mn-ea"/>
              <a:cs typeface="+mn-cs"/>
            </a:rPr>
            <a:t>Physical fatigue </a:t>
          </a:r>
          <a:endParaRPr lang="en-IN" sz="1200"/>
        </a:p>
        <a:p>
          <a:r>
            <a:rPr lang="en-IN" sz="1200"/>
            <a:t>                            Demand normalization                                                                                                                                                      </a:t>
          </a:r>
          <a:r>
            <a:rPr lang="en-IN" sz="1100">
              <a:solidFill>
                <a:schemeClr val="dk1"/>
              </a:solidFill>
              <a:effectLst/>
              <a:latin typeface="+mn-lt"/>
              <a:ea typeface="+mn-ea"/>
              <a:cs typeface="+mn-cs"/>
            </a:rPr>
            <a:t>Safety concerns </a:t>
          </a:r>
          <a:endParaRPr lang="en-IN" sz="1200"/>
        </a:p>
        <a:p>
          <a:pPr marL="0" marR="0" lvl="0" indent="0" defTabSz="914400" eaLnBrk="1" fontAlgn="auto" latinLnBrk="0" hangingPunct="1">
            <a:lnSpc>
              <a:spcPct val="100000"/>
            </a:lnSpc>
            <a:spcBef>
              <a:spcPts val="0"/>
            </a:spcBef>
            <a:spcAft>
              <a:spcPts val="0"/>
            </a:spcAft>
            <a:buClrTx/>
            <a:buSzTx/>
            <a:buFontTx/>
            <a:buNone/>
            <a:tabLst/>
            <a:defRPr/>
          </a:pPr>
          <a:r>
            <a:rPr lang="en-IN" sz="1200"/>
            <a:t>                            Gradual growth                                                                                                                                                                   </a:t>
          </a:r>
          <a:r>
            <a:rPr lang="en-IN" sz="1100">
              <a:solidFill>
                <a:schemeClr val="dk1"/>
              </a:solidFill>
              <a:effectLst/>
              <a:latin typeface="+mn-lt"/>
              <a:ea typeface="+mn-ea"/>
              <a:cs typeface="+mn-cs"/>
            </a:rPr>
            <a:t>Reduced comfort </a:t>
          </a:r>
          <a:endParaRPr lang="en-IN" sz="1200">
            <a:effectLst/>
          </a:endParaRPr>
        </a:p>
        <a:p>
          <a:endParaRPr lang="en-IN" sz="1200"/>
        </a:p>
        <a:p>
          <a:pPr marL="0" indent="0"/>
          <a:endParaRPr lang="en-IN" sz="1200" b="1">
            <a:solidFill>
              <a:schemeClr val="dk1"/>
            </a:solidFill>
            <a:latin typeface="+mn-lt"/>
            <a:ea typeface="+mn-ea"/>
            <a:cs typeface="+mn-cs"/>
          </a:endParaRPr>
        </a:p>
        <a:p>
          <a:pPr marL="0" indent="0"/>
          <a:endParaRPr lang="en-IN" sz="1200" b="0">
            <a:solidFill>
              <a:schemeClr val="dk1"/>
            </a:solidFill>
            <a:latin typeface="+mn-lt"/>
            <a:ea typeface="+mn-ea"/>
            <a:cs typeface="+mn-cs"/>
          </a:endParaRPr>
        </a:p>
      </xdr:txBody>
    </xdr:sp>
    <xdr:clientData/>
  </xdr:twoCellAnchor>
  <xdr:twoCellAnchor editAs="oneCell">
    <xdr:from>
      <xdr:col>4</xdr:col>
      <xdr:colOff>274320</xdr:colOff>
      <xdr:row>40</xdr:row>
      <xdr:rowOff>68580</xdr:rowOff>
    </xdr:from>
    <xdr:to>
      <xdr:col>5</xdr:col>
      <xdr:colOff>342900</xdr:colOff>
      <xdr:row>44</xdr:row>
      <xdr:rowOff>15240</xdr:rowOff>
    </xdr:to>
    <xdr:pic>
      <xdr:nvPicPr>
        <xdr:cNvPr id="28" name="Graphic 27" descr="Upward trend with solid fill">
          <a:extLst>
            <a:ext uri="{FF2B5EF4-FFF2-40B4-BE49-F238E27FC236}">
              <a16:creationId xmlns:a16="http://schemas.microsoft.com/office/drawing/2014/main" id="{00FAD18E-DCAC-7F5F-EDE5-7D360FD357E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712720" y="7383780"/>
          <a:ext cx="678180" cy="678180"/>
        </a:xfrm>
        <a:prstGeom prst="rect">
          <a:avLst/>
        </a:prstGeom>
      </xdr:spPr>
    </xdr:pic>
    <xdr:clientData/>
  </xdr:twoCellAnchor>
  <xdr:twoCellAnchor editAs="oneCell">
    <xdr:from>
      <xdr:col>14</xdr:col>
      <xdr:colOff>335280</xdr:colOff>
      <xdr:row>40</xdr:row>
      <xdr:rowOff>152400</xdr:rowOff>
    </xdr:from>
    <xdr:to>
      <xdr:col>15</xdr:col>
      <xdr:colOff>419100</xdr:colOff>
      <xdr:row>44</xdr:row>
      <xdr:rowOff>114300</xdr:rowOff>
    </xdr:to>
    <xdr:pic>
      <xdr:nvPicPr>
        <xdr:cNvPr id="30" name="Graphic 29" descr="Windy with solid fill">
          <a:extLst>
            <a:ext uri="{FF2B5EF4-FFF2-40B4-BE49-F238E27FC236}">
              <a16:creationId xmlns:a16="http://schemas.microsoft.com/office/drawing/2014/main" id="{8A71E594-EAB2-CC88-1ABE-79C9331A724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8869680" y="7467600"/>
          <a:ext cx="693420" cy="6934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8151" id="{671432F3-261C-4080-B6F1-EC4B45711ED6}" userId="S::A8151@365f.me::76d3172b-50f6-4ad1-91d7-151f29db77f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61.495317824076" createdVersion="8" refreshedVersion="8" minRefreshableVersion="3" recordCount="610" xr:uid="{F612F290-2A0A-494D-897E-CC191BEA3E7D}">
  <cacheSource type="worksheet">
    <worksheetSource name="Merge_DS1_DS2"/>
  </cacheSource>
  <cacheFields count="14">
    <cacheField name="Instant" numFmtId="0">
      <sharedItems containsSemiMixedTypes="0" containsString="0" containsNumber="1" containsInteger="1" minValue="1" maxValue="610"/>
    </cacheField>
    <cacheField name="Date" numFmtId="14">
      <sharedItems containsSemiMixedTypes="0" containsNonDate="0" containsDate="1" containsString="0" minDate="2011-01-01T00:00:00" maxDate="2011-01-29T00:00:00" count="28">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sharedItems>
    </cacheField>
    <cacheField name="Time" numFmtId="0">
      <sharedItems containsSemiMixedTypes="0" containsNonDate="0" containsDate="1" containsString="0" minDate="1899-12-30T00:00:00" maxDate="1899-12-31T00:00:00" count="24">
        <d v="1899-12-30T00:00:00"/>
        <d v="1899-12-30T01:00:00"/>
        <d v="1899-12-30T02:00:00"/>
        <d v="1899-12-30T03:00:00"/>
        <d v="1899-12-30T04:00:00"/>
        <d v="1899-12-30T05:00:00"/>
        <d v="1899-12-30T06:00:00"/>
        <d v="1899-12-30T07:00:00"/>
        <d v="1899-12-30T08:00:00"/>
        <d v="1899-12-30T09:00:00"/>
        <d v="1899-12-30T10:00:00"/>
        <d v="1899-12-30T11:00:00"/>
        <d v="1899-12-30T12:00:00"/>
        <d v="1899-12-30T13:00:00"/>
        <d v="1899-12-30T14:00:00"/>
        <d v="1899-12-30T15:00:00"/>
        <d v="1899-12-30T16:00:00"/>
        <d v="1899-12-30T17:00:00"/>
        <d v="1899-12-30T18:00:00"/>
        <d v="1899-12-30T19:00:00"/>
        <d v="1899-12-30T20:00:00"/>
        <d v="1899-12-30T21:00:00"/>
        <d v="1899-12-30T22:00:00"/>
        <d v="1899-12-30T23:00:00"/>
      </sharedItems>
    </cacheField>
    <cacheField name="Season" numFmtId="0">
      <sharedItems/>
    </cacheField>
    <cacheField name="Holiday" numFmtId="0">
      <sharedItems/>
    </cacheField>
    <cacheField name="Weekday" numFmtId="0">
      <sharedItems count="7">
        <s v="Friday"/>
        <s v="Saturday"/>
        <s v="Sunday"/>
        <s v="Monday"/>
        <s v="Tuesday"/>
        <s v="Wednesday"/>
        <s v="Thrusday"/>
      </sharedItems>
    </cacheField>
    <cacheField name="Weather Condition" numFmtId="0">
      <sharedItems count="4">
        <s v="Clear or Good Weather"/>
        <s v="Mist or Cloudy Weather"/>
        <s v="Light Rain or Snow"/>
        <s v="Heavy Rain or Strom"/>
      </sharedItems>
    </cacheField>
    <cacheField name="Temperature" numFmtId="0">
      <sharedItems containsSemiMixedTypes="0" containsString="0" containsNumber="1" minValue="0.02" maxValue="0.46"/>
    </cacheField>
    <cacheField name="Assumed Temperature" numFmtId="0">
      <sharedItems containsSemiMixedTypes="0" containsString="0" containsNumber="1" minValue="0" maxValue="0.45450000000000002"/>
    </cacheField>
    <cacheField name="Humidity" numFmtId="9">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 numFmtId="0">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 name="Casual and Registered" numFmtId="0">
      <sharedItems containsSemiMixedTypes="0" containsString="0" containsNumber="1" containsInteger="1" minValue="1" maxValue="24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64.780178009256" createdVersion="8" refreshedVersion="8" minRefreshableVersion="3" recordCount="1000" xr:uid="{E49137A3-0F56-4945-AF74-B8ECEA528EB7}">
  <cacheSource type="worksheet">
    <worksheetSource name="Append_MergeDS12_DS3"/>
  </cacheSource>
  <cacheFields count="16">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5"/>
    </cacheField>
    <cacheField name="Time" numFmtId="0">
      <sharedItems containsSemiMixedTypes="0" containsNonDate="0" containsDate="1" containsString="0" minDate="1899-12-30T00:00:00" maxDate="1899-12-31T00:00:00" count="24">
        <d v="1899-12-30T00:00:00"/>
        <d v="1899-12-30T01:00:00"/>
        <d v="1899-12-30T02:00:00"/>
        <d v="1899-12-30T03:00:00"/>
        <d v="1899-12-30T04:00:00"/>
        <d v="1899-12-30T05:00:00"/>
        <d v="1899-12-30T06:00:00"/>
        <d v="1899-12-30T07:00:00"/>
        <d v="1899-12-30T08:00:00"/>
        <d v="1899-12-30T09:00:00"/>
        <d v="1899-12-30T10:00:00"/>
        <d v="1899-12-30T11:00:00"/>
        <d v="1899-12-30T12:00:00"/>
        <d v="1899-12-30T13:00:00"/>
        <d v="1899-12-30T14:00:00"/>
        <d v="1899-12-30T15:00:00"/>
        <d v="1899-12-30T16:00:00"/>
        <d v="1899-12-30T17:00:00"/>
        <d v="1899-12-30T18:00:00"/>
        <d v="1899-12-30T19:00:00"/>
        <d v="1899-12-30T20:00:00"/>
        <d v="1899-12-30T21:00:00"/>
        <d v="1899-12-30T22:00:00"/>
        <d v="1899-12-30T23:00:00"/>
      </sharedItems>
    </cacheField>
    <cacheField name="Season" numFmtId="0">
      <sharedItems count="1">
        <s v="Spring"/>
      </sharedItems>
    </cacheField>
    <cacheField name="Holiday" numFmtId="0">
      <sharedItems/>
    </cacheField>
    <cacheField name="Weekday" numFmtId="0">
      <sharedItems count="7">
        <s v="Friday"/>
        <s v="Saturday"/>
        <s v="Sunday"/>
        <s v="Monday"/>
        <s v="Tuesday"/>
        <s v="Wednesday"/>
        <s v="Thrusday"/>
      </sharedItems>
    </cacheField>
    <cacheField name="Weather Condition" numFmtId="0">
      <sharedItems count="4">
        <s v="Clear or Good Weather"/>
        <s v="Mist or Cloudy Weather"/>
        <s v="Light Rain or Snow"/>
        <s v="Heavy Rain or Strom"/>
      </sharedItems>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ssumed Temperature" numFmtId="0">
      <sharedItems containsSemiMixedTypes="0" containsString="0" containsNumber="1" minValue="0" maxValue="0.45450000000000002"/>
    </cacheField>
    <cacheField name="Humidity" numFmtId="9">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asual and Registered" numFmtId="0">
      <sharedItems containsSemiMixedTypes="0" containsString="0" containsNumber="1" containsInteger="1" minValue="1" maxValue="249"/>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777134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x v="0"/>
    <x v="0"/>
    <s v="Spring"/>
    <s v="No"/>
    <x v="0"/>
    <x v="0"/>
    <n v="0.24"/>
    <n v="0.28789999999999999"/>
    <n v="0.81"/>
    <n v="0"/>
    <x v="0"/>
    <x v="0"/>
    <n v="16"/>
  </r>
  <r>
    <n v="2"/>
    <x v="0"/>
    <x v="1"/>
    <s v="Spring"/>
    <s v="No"/>
    <x v="0"/>
    <x v="0"/>
    <n v="0.22"/>
    <n v="0.2727"/>
    <n v="0.8"/>
    <n v="0"/>
    <x v="1"/>
    <x v="1"/>
    <n v="40"/>
  </r>
  <r>
    <n v="3"/>
    <x v="0"/>
    <x v="2"/>
    <s v="Spring"/>
    <s v="No"/>
    <x v="0"/>
    <x v="0"/>
    <n v="0.22"/>
    <n v="0.2727"/>
    <n v="0.8"/>
    <n v="0"/>
    <x v="2"/>
    <x v="2"/>
    <n v="32"/>
  </r>
  <r>
    <n v="4"/>
    <x v="0"/>
    <x v="3"/>
    <s v="Spring"/>
    <s v="No"/>
    <x v="0"/>
    <x v="0"/>
    <n v="0.24"/>
    <n v="0.28789999999999999"/>
    <n v="0.75"/>
    <n v="0"/>
    <x v="0"/>
    <x v="3"/>
    <n v="13"/>
  </r>
  <r>
    <n v="5"/>
    <x v="0"/>
    <x v="4"/>
    <s v="Spring"/>
    <s v="No"/>
    <x v="0"/>
    <x v="0"/>
    <n v="0.24"/>
    <n v="0.28789999999999999"/>
    <n v="0.75"/>
    <n v="0"/>
    <x v="3"/>
    <x v="4"/>
    <n v="1"/>
  </r>
  <r>
    <n v="6"/>
    <x v="0"/>
    <x v="5"/>
    <s v="Spring"/>
    <s v="No"/>
    <x v="0"/>
    <x v="1"/>
    <n v="0.24"/>
    <n v="0.2576"/>
    <n v="0.75"/>
    <n v="8.9599999999999999E-2"/>
    <x v="3"/>
    <x v="4"/>
    <n v="1"/>
  </r>
  <r>
    <n v="7"/>
    <x v="0"/>
    <x v="6"/>
    <s v="Spring"/>
    <s v="No"/>
    <x v="0"/>
    <x v="0"/>
    <n v="0.22"/>
    <n v="0.2727"/>
    <n v="0.8"/>
    <n v="0"/>
    <x v="4"/>
    <x v="5"/>
    <n v="2"/>
  </r>
  <r>
    <n v="8"/>
    <x v="0"/>
    <x v="7"/>
    <s v="Spring"/>
    <s v="No"/>
    <x v="0"/>
    <x v="0"/>
    <n v="0.2"/>
    <n v="0.2576"/>
    <n v="0.86"/>
    <n v="0"/>
    <x v="5"/>
    <x v="6"/>
    <n v="3"/>
  </r>
  <r>
    <n v="9"/>
    <x v="0"/>
    <x v="8"/>
    <s v="Spring"/>
    <s v="No"/>
    <x v="0"/>
    <x v="0"/>
    <n v="0.24"/>
    <n v="0.29047656249999987"/>
    <n v="0.75"/>
    <n v="0"/>
    <x v="5"/>
    <x v="7"/>
    <n v="8"/>
  </r>
  <r>
    <n v="10"/>
    <x v="0"/>
    <x v="9"/>
    <s v="Spring"/>
    <s v="No"/>
    <x v="0"/>
    <x v="0"/>
    <n v="0.32"/>
    <n v="0.34849999999999998"/>
    <n v="0.76"/>
    <n v="0"/>
    <x v="1"/>
    <x v="8"/>
    <n v="14"/>
  </r>
  <r>
    <n v="11"/>
    <x v="0"/>
    <x v="10"/>
    <s v="Spring"/>
    <s v="No"/>
    <x v="0"/>
    <x v="0"/>
    <n v="0.38"/>
    <n v="0.39389999999999997"/>
    <n v="0.76"/>
    <n v="0.25369999999999998"/>
    <x v="6"/>
    <x v="9"/>
    <n v="36"/>
  </r>
  <r>
    <n v="12"/>
    <x v="0"/>
    <x v="11"/>
    <s v="Spring"/>
    <s v="No"/>
    <x v="0"/>
    <x v="0"/>
    <n v="0.36"/>
    <n v="0.33329999999999999"/>
    <n v="0.81"/>
    <n v="0.28360000000000002"/>
    <x v="7"/>
    <x v="10"/>
    <n v="56"/>
  </r>
  <r>
    <n v="13"/>
    <x v="0"/>
    <x v="12"/>
    <s v="Spring"/>
    <s v="No"/>
    <x v="0"/>
    <x v="0"/>
    <n v="0.42"/>
    <n v="0.42420000000000002"/>
    <n v="0.77"/>
    <n v="0.28360000000000002"/>
    <x v="8"/>
    <x v="11"/>
    <n v="84"/>
  </r>
  <r>
    <n v="14"/>
    <x v="0"/>
    <x v="13"/>
    <s v="Spring"/>
    <s v="No"/>
    <x v="0"/>
    <x v="1"/>
    <n v="0.46"/>
    <n v="0.45450000000000002"/>
    <n v="0.72"/>
    <n v="0.29849999999999999"/>
    <x v="9"/>
    <x v="12"/>
    <n v="94"/>
  </r>
  <r>
    <n v="15"/>
    <x v="0"/>
    <x v="14"/>
    <s v="Spring"/>
    <s v="No"/>
    <x v="0"/>
    <x v="1"/>
    <n v="0.46"/>
    <n v="0.45450000000000002"/>
    <n v="0.72"/>
    <n v="0.28360000000000002"/>
    <x v="10"/>
    <x v="13"/>
    <n v="106"/>
  </r>
  <r>
    <n v="16"/>
    <x v="0"/>
    <x v="15"/>
    <s v="Spring"/>
    <s v="No"/>
    <x v="0"/>
    <x v="1"/>
    <n v="0.44"/>
    <n v="0.43940000000000001"/>
    <n v="0.77"/>
    <n v="0.29849999999999999"/>
    <x v="11"/>
    <x v="14"/>
    <n v="110"/>
  </r>
  <r>
    <n v="17"/>
    <x v="0"/>
    <x v="16"/>
    <s v="Spring"/>
    <s v="No"/>
    <x v="0"/>
    <x v="1"/>
    <n v="0.42"/>
    <n v="0.42420000000000002"/>
    <n v="0.82"/>
    <n v="0.29849999999999999"/>
    <x v="12"/>
    <x v="15"/>
    <n v="93"/>
  </r>
  <r>
    <n v="18"/>
    <x v="0"/>
    <x v="17"/>
    <s v="Spring"/>
    <s v="No"/>
    <x v="0"/>
    <x v="1"/>
    <n v="0.44"/>
    <n v="0.29047656249999987"/>
    <n v="0.82"/>
    <n v="0.28360000000000002"/>
    <x v="13"/>
    <x v="15"/>
    <n v="67"/>
  </r>
  <r>
    <n v="19"/>
    <x v="0"/>
    <x v="18"/>
    <s v="Spring"/>
    <s v="No"/>
    <x v="0"/>
    <x v="2"/>
    <n v="0.42"/>
    <n v="0.42420000000000002"/>
    <n v="0.88"/>
    <n v="0.25369999999999998"/>
    <x v="14"/>
    <x v="16"/>
    <n v="35"/>
  </r>
  <r>
    <n v="20"/>
    <x v="0"/>
    <x v="19"/>
    <s v="Spring"/>
    <s v="No"/>
    <x v="0"/>
    <x v="2"/>
    <n v="0.42"/>
    <n v="0.42420000000000002"/>
    <n v="0.88"/>
    <n v="0.25369999999999998"/>
    <x v="15"/>
    <x v="17"/>
    <n v="37"/>
  </r>
  <r>
    <n v="21"/>
    <x v="0"/>
    <x v="20"/>
    <s v="Spring"/>
    <s v="No"/>
    <x v="0"/>
    <x v="1"/>
    <n v="0.4"/>
    <n v="0.40910000000000002"/>
    <n v="0.87"/>
    <n v="0.25369999999999998"/>
    <x v="16"/>
    <x v="18"/>
    <n v="36"/>
  </r>
  <r>
    <n v="22"/>
    <x v="0"/>
    <x v="21"/>
    <s v="Spring"/>
    <s v="No"/>
    <x v="0"/>
    <x v="1"/>
    <n v="0.4"/>
    <n v="0.40910000000000002"/>
    <n v="0.87"/>
    <n v="0.19400000000000001"/>
    <x v="0"/>
    <x v="17"/>
    <n v="34"/>
  </r>
  <r>
    <n v="23"/>
    <x v="0"/>
    <x v="22"/>
    <s v="Spring"/>
    <s v="No"/>
    <x v="0"/>
    <x v="1"/>
    <n v="0.4"/>
    <n v="0.40910000000000002"/>
    <n v="0.94"/>
    <n v="0.22389999999999999"/>
    <x v="16"/>
    <x v="19"/>
    <n v="28"/>
  </r>
  <r>
    <n v="24"/>
    <x v="0"/>
    <x v="23"/>
    <s v="Spring"/>
    <s v="No"/>
    <x v="0"/>
    <x v="1"/>
    <n v="0.46"/>
    <n v="0.29047656249999987"/>
    <n v="0.88"/>
    <n v="0.29849999999999999"/>
    <x v="13"/>
    <x v="9"/>
    <n v="39"/>
  </r>
  <r>
    <n v="25"/>
    <x v="1"/>
    <x v="0"/>
    <s v="Spring"/>
    <s v="No"/>
    <x v="1"/>
    <x v="1"/>
    <n v="0.46"/>
    <n v="0.45450000000000002"/>
    <n v="0.88"/>
    <n v="0.29849999999999999"/>
    <x v="17"/>
    <x v="0"/>
    <n v="17"/>
  </r>
  <r>
    <n v="26"/>
    <x v="1"/>
    <x v="1"/>
    <s v="Spring"/>
    <s v="No"/>
    <x v="1"/>
    <x v="1"/>
    <n v="0.44"/>
    <n v="0.43940000000000001"/>
    <n v="0.94"/>
    <n v="0.25369999999999998"/>
    <x v="5"/>
    <x v="20"/>
    <n v="17"/>
  </r>
  <r>
    <n v="27"/>
    <x v="1"/>
    <x v="2"/>
    <s v="Spring"/>
    <s v="No"/>
    <x v="1"/>
    <x v="1"/>
    <n v="0.42"/>
    <n v="0.42420000000000002"/>
    <n v="1"/>
    <n v="0.28360000000000002"/>
    <x v="5"/>
    <x v="21"/>
    <n v="9"/>
  </r>
  <r>
    <n v="28"/>
    <x v="1"/>
    <x v="3"/>
    <s v="Spring"/>
    <s v="No"/>
    <x v="1"/>
    <x v="1"/>
    <n v="0.46"/>
    <n v="0.45450000000000002"/>
    <n v="0.94"/>
    <n v="0.19400000000000001"/>
    <x v="4"/>
    <x v="22"/>
    <n v="6"/>
  </r>
  <r>
    <n v="29"/>
    <x v="1"/>
    <x v="4"/>
    <s v="Spring"/>
    <s v="No"/>
    <x v="1"/>
    <x v="1"/>
    <n v="0.46"/>
    <n v="0.29047656249999987"/>
    <n v="0.94"/>
    <n v="0.19400000000000001"/>
    <x v="4"/>
    <x v="4"/>
    <n v="3"/>
  </r>
  <r>
    <n v="30"/>
    <x v="1"/>
    <x v="6"/>
    <s v="Spring"/>
    <s v="No"/>
    <x v="1"/>
    <x v="2"/>
    <n v="0.42"/>
    <n v="0.42420000000000002"/>
    <n v="0.77"/>
    <n v="0.29849999999999999"/>
    <x v="3"/>
    <x v="6"/>
    <n v="2"/>
  </r>
  <r>
    <n v="31"/>
    <x v="1"/>
    <x v="7"/>
    <s v="Spring"/>
    <s v="No"/>
    <x v="1"/>
    <x v="1"/>
    <n v="0.4"/>
    <n v="0.40910000000000002"/>
    <n v="0.76"/>
    <n v="0.19400000000000001"/>
    <x v="3"/>
    <x v="4"/>
    <n v="1"/>
  </r>
  <r>
    <n v="32"/>
    <x v="1"/>
    <x v="8"/>
    <s v="Spring"/>
    <s v="No"/>
    <x v="1"/>
    <x v="2"/>
    <n v="0.4"/>
    <n v="0.40910000000000002"/>
    <n v="0.71"/>
    <n v="0.22389999999999999"/>
    <x v="3"/>
    <x v="21"/>
    <n v="8"/>
  </r>
  <r>
    <n v="33"/>
    <x v="1"/>
    <x v="9"/>
    <s v="Spring"/>
    <s v="No"/>
    <x v="1"/>
    <x v="1"/>
    <n v="0.38"/>
    <n v="0.29047656249999987"/>
    <n v="0.76"/>
    <n v="0.22389999999999999"/>
    <x v="5"/>
    <x v="23"/>
    <n v="20"/>
  </r>
  <r>
    <n v="34"/>
    <x v="1"/>
    <x v="10"/>
    <s v="Spring"/>
    <s v="No"/>
    <x v="1"/>
    <x v="1"/>
    <n v="0.36"/>
    <n v="0.34849999999999998"/>
    <n v="0.81"/>
    <n v="0.22389999999999999"/>
    <x v="18"/>
    <x v="24"/>
    <n v="53"/>
  </r>
  <r>
    <n v="35"/>
    <x v="1"/>
    <x v="11"/>
    <s v="Spring"/>
    <s v="No"/>
    <x v="1"/>
    <x v="1"/>
    <n v="0.36"/>
    <n v="0.33329999999999999"/>
    <n v="0.71"/>
    <n v="0.25369999999999998"/>
    <x v="19"/>
    <x v="25"/>
    <n v="70"/>
  </r>
  <r>
    <n v="36"/>
    <x v="1"/>
    <x v="12"/>
    <s v="Spring"/>
    <s v="No"/>
    <x v="1"/>
    <x v="1"/>
    <n v="0.36"/>
    <n v="0.33329999999999999"/>
    <n v="0.66"/>
    <n v="0.29849999999999999"/>
    <x v="20"/>
    <x v="26"/>
    <n v="93"/>
  </r>
  <r>
    <n v="37"/>
    <x v="1"/>
    <x v="13"/>
    <s v="Spring"/>
    <s v="No"/>
    <x v="1"/>
    <x v="1"/>
    <n v="0.36"/>
    <n v="0.34849999999999998"/>
    <n v="0.66"/>
    <n v="0.1343"/>
    <x v="16"/>
    <x v="27"/>
    <n v="75"/>
  </r>
  <r>
    <n v="38"/>
    <x v="1"/>
    <x v="14"/>
    <s v="Spring"/>
    <s v="No"/>
    <x v="1"/>
    <x v="2"/>
    <n v="0.36"/>
    <n v="0.29047656249999987"/>
    <n v="0.76"/>
    <n v="0.19400000000000001"/>
    <x v="17"/>
    <x v="11"/>
    <n v="59"/>
  </r>
  <r>
    <n v="39"/>
    <x v="1"/>
    <x v="15"/>
    <s v="Spring"/>
    <s v="No"/>
    <x v="1"/>
    <x v="2"/>
    <n v="0.34"/>
    <n v="0.33329999999999999"/>
    <n v="0.81"/>
    <n v="0.16420000000000001"/>
    <x v="21"/>
    <x v="11"/>
    <n v="74"/>
  </r>
  <r>
    <n v="40"/>
    <x v="1"/>
    <x v="16"/>
    <s v="Spring"/>
    <s v="No"/>
    <x v="1"/>
    <x v="2"/>
    <n v="0.34"/>
    <n v="0.33329999999999999"/>
    <n v="0.71"/>
    <n v="0.16420000000000001"/>
    <x v="14"/>
    <x v="28"/>
    <n v="76"/>
  </r>
  <r>
    <n v="41"/>
    <x v="1"/>
    <x v="17"/>
    <s v="Spring"/>
    <s v="No"/>
    <x v="1"/>
    <x v="0"/>
    <n v="0.34"/>
    <n v="0.33329999999999999"/>
    <n v="0.56999999999999995"/>
    <n v="0.19400000000000001"/>
    <x v="18"/>
    <x v="29"/>
    <n v="65"/>
  </r>
  <r>
    <n v="42"/>
    <x v="1"/>
    <x v="18"/>
    <s v="Spring"/>
    <s v="No"/>
    <x v="1"/>
    <x v="1"/>
    <n v="0.36"/>
    <n v="0.33329999999999999"/>
    <n v="0.46"/>
    <n v="0.32840000000000003"/>
    <x v="22"/>
    <x v="30"/>
    <n v="53"/>
  </r>
  <r>
    <n v="43"/>
    <x v="1"/>
    <x v="19"/>
    <s v="Spring"/>
    <s v="No"/>
    <x v="1"/>
    <x v="0"/>
    <n v="0.32"/>
    <n v="0.28789999999999999"/>
    <n v="0.42"/>
    <n v="0.44779999999999998"/>
    <x v="5"/>
    <x v="31"/>
    <n v="30"/>
  </r>
  <r>
    <n v="44"/>
    <x v="1"/>
    <x v="20"/>
    <s v="Spring"/>
    <s v="No"/>
    <x v="1"/>
    <x v="0"/>
    <n v="0.3"/>
    <n v="0.29047656249999987"/>
    <n v="0.39"/>
    <n v="0.35820000000000002"/>
    <x v="2"/>
    <x v="19"/>
    <n v="22"/>
  </r>
  <r>
    <n v="45"/>
    <x v="1"/>
    <x v="21"/>
    <s v="Spring"/>
    <s v="No"/>
    <x v="1"/>
    <x v="0"/>
    <n v="0.26"/>
    <n v="0.2273"/>
    <n v="0.44"/>
    <n v="0.32840000000000003"/>
    <x v="16"/>
    <x v="32"/>
    <n v="31"/>
  </r>
  <r>
    <n v="46"/>
    <x v="1"/>
    <x v="22"/>
    <s v="Spring"/>
    <s v="No"/>
    <x v="1"/>
    <x v="0"/>
    <n v="0.24"/>
    <n v="0.21210000000000001"/>
    <n v="0.44"/>
    <n v="0.29849999999999999"/>
    <x v="3"/>
    <x v="33"/>
    <n v="9"/>
  </r>
  <r>
    <n v="47"/>
    <x v="1"/>
    <x v="23"/>
    <s v="Spring"/>
    <s v="No"/>
    <x v="1"/>
    <x v="0"/>
    <n v="0.22"/>
    <n v="0.2273"/>
    <n v="0.47"/>
    <n v="0.16420000000000001"/>
    <x v="3"/>
    <x v="21"/>
    <n v="8"/>
  </r>
  <r>
    <n v="48"/>
    <x v="2"/>
    <x v="0"/>
    <s v="Spring"/>
    <s v="No"/>
    <x v="2"/>
    <x v="0"/>
    <n v="0.22"/>
    <n v="0.19700000000000001"/>
    <n v="0.44"/>
    <n v="0.35820000000000002"/>
    <x v="3"/>
    <x v="34"/>
    <n v="5"/>
  </r>
  <r>
    <n v="49"/>
    <x v="2"/>
    <x v="1"/>
    <s v="Spring"/>
    <s v="No"/>
    <x v="2"/>
    <x v="0"/>
    <n v="0.2"/>
    <n v="0.29047656249999987"/>
    <n v="0.44"/>
    <n v="0.41789999999999999"/>
    <x v="3"/>
    <x v="6"/>
    <n v="2"/>
  </r>
  <r>
    <n v="50"/>
    <x v="2"/>
    <x v="4"/>
    <s v="Spring"/>
    <s v="No"/>
    <x v="2"/>
    <x v="0"/>
    <n v="0.16"/>
    <n v="0.13639999999999999"/>
    <n v="0.47"/>
    <n v="0.3881"/>
    <x v="3"/>
    <x v="4"/>
    <n v="1"/>
  </r>
  <r>
    <n v="51"/>
    <x v="2"/>
    <x v="5"/>
    <s v="Spring"/>
    <s v="No"/>
    <x v="2"/>
    <x v="0"/>
    <n v="0.16"/>
    <n v="0.13639999999999999"/>
    <n v="0.47"/>
    <n v="0.28360000000000002"/>
    <x v="3"/>
    <x v="35"/>
    <n v="3"/>
  </r>
  <r>
    <n v="52"/>
    <x v="2"/>
    <x v="6"/>
    <s v="Spring"/>
    <s v="No"/>
    <x v="2"/>
    <x v="0"/>
    <n v="0.14000000000000001"/>
    <n v="0.1061"/>
    <n v="0.5"/>
    <n v="0.3881"/>
    <x v="3"/>
    <x v="10"/>
    <n v="30"/>
  </r>
  <r>
    <n v="53"/>
    <x v="2"/>
    <x v="7"/>
    <s v="Spring"/>
    <s v="No"/>
    <x v="2"/>
    <x v="0"/>
    <n v="0.14000000000000001"/>
    <n v="0.13639999999999999"/>
    <n v="0.5"/>
    <n v="0.19400000000000001"/>
    <x v="5"/>
    <x v="36"/>
    <n v="64"/>
  </r>
  <r>
    <n v="54"/>
    <x v="2"/>
    <x v="8"/>
    <s v="Spring"/>
    <s v="No"/>
    <x v="2"/>
    <x v="0"/>
    <n v="0.14000000000000001"/>
    <n v="0.1212"/>
    <n v="0.5"/>
    <n v="0.28360000000000002"/>
    <x v="5"/>
    <x v="37"/>
    <n v="154"/>
  </r>
  <r>
    <n v="55"/>
    <x v="2"/>
    <x v="9"/>
    <s v="Spring"/>
    <s v="No"/>
    <x v="2"/>
    <x v="0"/>
    <n v="0.16"/>
    <n v="0.13639999999999999"/>
    <n v="0.43"/>
    <n v="0.3881"/>
    <x v="18"/>
    <x v="38"/>
    <n v="88"/>
  </r>
  <r>
    <n v="56"/>
    <x v="2"/>
    <x v="10"/>
    <s v="Spring"/>
    <s v="No"/>
    <x v="2"/>
    <x v="0"/>
    <n v="0.18"/>
    <n v="0.16669999999999999"/>
    <n v="0.43"/>
    <n v="0.25369999999999998"/>
    <x v="16"/>
    <x v="39"/>
    <n v="44"/>
  </r>
  <r>
    <n v="57"/>
    <x v="2"/>
    <x v="11"/>
    <s v="Spring"/>
    <s v="No"/>
    <x v="2"/>
    <x v="0"/>
    <n v="0.2"/>
    <n v="0.18179999999999999"/>
    <n v="0.4"/>
    <n v="0.32840000000000003"/>
    <x v="22"/>
    <x v="40"/>
    <n v="51"/>
  </r>
  <r>
    <n v="58"/>
    <x v="2"/>
    <x v="12"/>
    <s v="Spring"/>
    <s v="No"/>
    <x v="2"/>
    <x v="0"/>
    <n v="0.22"/>
    <n v="0.21210000000000001"/>
    <n v="0.35"/>
    <n v="0.29849999999999999"/>
    <x v="23"/>
    <x v="41"/>
    <n v="61"/>
  </r>
  <r>
    <n v="59"/>
    <x v="2"/>
    <x v="13"/>
    <s v="Spring"/>
    <s v="No"/>
    <x v="2"/>
    <x v="0"/>
    <n v="0.24"/>
    <n v="0.29047656249999987"/>
    <n v="0.35"/>
    <n v="0.28360000000000002"/>
    <x v="1"/>
    <x v="42"/>
    <n v="61"/>
  </r>
  <r>
    <n v="60"/>
    <x v="2"/>
    <x v="14"/>
    <s v="Spring"/>
    <s v="No"/>
    <x v="2"/>
    <x v="0"/>
    <n v="0.26"/>
    <n v="0.2424"/>
    <n v="0.3"/>
    <n v="0.28360000000000002"/>
    <x v="16"/>
    <x v="43"/>
    <n v="77"/>
  </r>
  <r>
    <n v="61"/>
    <x v="2"/>
    <x v="15"/>
    <s v="Spring"/>
    <s v="No"/>
    <x v="2"/>
    <x v="0"/>
    <n v="0.26"/>
    <n v="0.2424"/>
    <n v="0.3"/>
    <n v="0.25369999999999998"/>
    <x v="24"/>
    <x v="29"/>
    <n v="72"/>
  </r>
  <r>
    <n v="62"/>
    <x v="2"/>
    <x v="16"/>
    <s v="Spring"/>
    <s v="No"/>
    <x v="2"/>
    <x v="0"/>
    <n v="0.26"/>
    <n v="0.2424"/>
    <n v="0.3"/>
    <n v="0.25369999999999998"/>
    <x v="14"/>
    <x v="28"/>
    <n v="76"/>
  </r>
  <r>
    <n v="63"/>
    <x v="2"/>
    <x v="17"/>
    <s v="Spring"/>
    <s v="No"/>
    <x v="2"/>
    <x v="0"/>
    <n v="0.24"/>
    <n v="0.2273"/>
    <n v="0.3"/>
    <n v="0.22389999999999999"/>
    <x v="16"/>
    <x v="44"/>
    <n v="157"/>
  </r>
  <r>
    <n v="64"/>
    <x v="2"/>
    <x v="18"/>
    <s v="Spring"/>
    <s v="No"/>
    <x v="2"/>
    <x v="0"/>
    <n v="0.24"/>
    <n v="0.2576"/>
    <n v="0.32"/>
    <n v="0.1045"/>
    <x v="14"/>
    <x v="45"/>
    <n v="157"/>
  </r>
  <r>
    <n v="65"/>
    <x v="2"/>
    <x v="19"/>
    <s v="Spring"/>
    <s v="No"/>
    <x v="2"/>
    <x v="0"/>
    <n v="0.2"/>
    <n v="0.2576"/>
    <n v="0.47"/>
    <n v="0"/>
    <x v="1"/>
    <x v="46"/>
    <n v="110"/>
  </r>
  <r>
    <n v="66"/>
    <x v="2"/>
    <x v="20"/>
    <s v="Spring"/>
    <s v="No"/>
    <x v="2"/>
    <x v="0"/>
    <n v="0.2"/>
    <n v="0.29047656249999987"/>
    <n v="0.47"/>
    <n v="0.1045"/>
    <x v="0"/>
    <x v="47"/>
    <n v="52"/>
  </r>
  <r>
    <n v="67"/>
    <x v="2"/>
    <x v="21"/>
    <s v="Spring"/>
    <s v="No"/>
    <x v="2"/>
    <x v="0"/>
    <n v="0.18"/>
    <n v="0.19700000000000001"/>
    <n v="0.64"/>
    <n v="0.1343"/>
    <x v="0"/>
    <x v="47"/>
    <n v="52"/>
  </r>
  <r>
    <n v="68"/>
    <x v="2"/>
    <x v="22"/>
    <s v="Spring"/>
    <s v="No"/>
    <x v="2"/>
    <x v="0"/>
    <n v="0.14000000000000001"/>
    <n v="0.1515"/>
    <n v="0.69"/>
    <n v="0.1343"/>
    <x v="3"/>
    <x v="32"/>
    <n v="20"/>
  </r>
  <r>
    <n v="69"/>
    <x v="2"/>
    <x v="23"/>
    <s v="Spring"/>
    <s v="No"/>
    <x v="2"/>
    <x v="0"/>
    <n v="0.18"/>
    <n v="0.21210000000000001"/>
    <n v="0.55000000000000004"/>
    <n v="0.1045"/>
    <x v="5"/>
    <x v="48"/>
    <n v="12"/>
  </r>
  <r>
    <n v="70"/>
    <x v="3"/>
    <x v="0"/>
    <s v="Spring"/>
    <s v="No"/>
    <x v="3"/>
    <x v="0"/>
    <n v="0.16"/>
    <n v="0.29047656249999987"/>
    <n v="0.55000000000000004"/>
    <n v="0.1045"/>
    <x v="3"/>
    <x v="34"/>
    <n v="5"/>
  </r>
  <r>
    <n v="71"/>
    <x v="3"/>
    <x v="1"/>
    <s v="Spring"/>
    <s v="No"/>
    <x v="3"/>
    <x v="0"/>
    <n v="0.16"/>
    <n v="0.18179999999999999"/>
    <n v="0.59"/>
    <n v="0.1045"/>
    <x v="3"/>
    <x v="6"/>
    <n v="2"/>
  </r>
  <r>
    <n v="72"/>
    <x v="3"/>
    <x v="2"/>
    <s v="Spring"/>
    <s v="No"/>
    <x v="3"/>
    <x v="0"/>
    <n v="0.14000000000000001"/>
    <n v="0.1515"/>
    <n v="0.63"/>
    <n v="0.1343"/>
    <x v="3"/>
    <x v="4"/>
    <n v="1"/>
  </r>
  <r>
    <n v="73"/>
    <x v="3"/>
    <x v="4"/>
    <s v="Spring"/>
    <s v="No"/>
    <x v="3"/>
    <x v="0"/>
    <n v="0.14000000000000001"/>
    <n v="0.18179999999999999"/>
    <n v="0.63"/>
    <n v="8.9599999999999999E-2"/>
    <x v="3"/>
    <x v="6"/>
    <n v="2"/>
  </r>
  <r>
    <n v="74"/>
    <x v="3"/>
    <x v="5"/>
    <s v="Spring"/>
    <s v="No"/>
    <x v="3"/>
    <x v="0"/>
    <n v="0.12"/>
    <n v="0.1515"/>
    <n v="0.68"/>
    <n v="0.1045"/>
    <x v="3"/>
    <x v="22"/>
    <n v="4"/>
  </r>
  <r>
    <n v="75"/>
    <x v="3"/>
    <x v="6"/>
    <s v="Spring"/>
    <s v="No"/>
    <x v="3"/>
    <x v="0"/>
    <n v="0.12"/>
    <n v="0.1515"/>
    <n v="0.74"/>
    <n v="0.1045"/>
    <x v="3"/>
    <x v="49"/>
    <n v="36"/>
  </r>
  <r>
    <n v="76"/>
    <x v="3"/>
    <x v="7"/>
    <s v="Spring"/>
    <s v="No"/>
    <x v="3"/>
    <x v="0"/>
    <n v="0.12"/>
    <n v="0.1515"/>
    <n v="0.74"/>
    <n v="0.1343"/>
    <x v="4"/>
    <x v="50"/>
    <n v="94"/>
  </r>
  <r>
    <n v="77"/>
    <x v="3"/>
    <x v="8"/>
    <s v="Spring"/>
    <s v="No"/>
    <x v="3"/>
    <x v="0"/>
    <n v="0.14000000000000001"/>
    <n v="0.1515"/>
    <n v="0.69"/>
    <n v="0.16420000000000001"/>
    <x v="4"/>
    <x v="51"/>
    <n v="179"/>
  </r>
  <r>
    <n v="78"/>
    <x v="3"/>
    <x v="9"/>
    <s v="Spring"/>
    <s v="No"/>
    <x v="3"/>
    <x v="0"/>
    <n v="0.16"/>
    <n v="0.1515"/>
    <n v="0.64"/>
    <n v="0.22389999999999999"/>
    <x v="4"/>
    <x v="52"/>
    <n v="100"/>
  </r>
  <r>
    <n v="79"/>
    <x v="3"/>
    <x v="10"/>
    <s v="Spring"/>
    <s v="No"/>
    <x v="3"/>
    <x v="1"/>
    <n v="0.16"/>
    <n v="0.13639999999999999"/>
    <n v="0.69"/>
    <n v="0.32840000000000003"/>
    <x v="2"/>
    <x v="53"/>
    <n v="42"/>
  </r>
  <r>
    <n v="80"/>
    <x v="3"/>
    <x v="11"/>
    <s v="Spring"/>
    <s v="No"/>
    <x v="3"/>
    <x v="0"/>
    <n v="0.22"/>
    <n v="0.21210000000000001"/>
    <n v="0.51"/>
    <n v="0.29849999999999999"/>
    <x v="18"/>
    <x v="54"/>
    <n v="57"/>
  </r>
  <r>
    <n v="81"/>
    <x v="3"/>
    <x v="12"/>
    <s v="Spring"/>
    <s v="No"/>
    <x v="3"/>
    <x v="0"/>
    <n v="0.22"/>
    <n v="0.2273"/>
    <n v="0.51"/>
    <n v="0.16420000000000001"/>
    <x v="6"/>
    <x v="43"/>
    <n v="78"/>
  </r>
  <r>
    <n v="82"/>
    <x v="3"/>
    <x v="13"/>
    <s v="Spring"/>
    <s v="No"/>
    <x v="3"/>
    <x v="0"/>
    <n v="0.24"/>
    <n v="0.2273"/>
    <n v="0.56000000000000005"/>
    <n v="0.19400000000000001"/>
    <x v="25"/>
    <x v="55"/>
    <n v="97"/>
  </r>
  <r>
    <n v="83"/>
    <x v="3"/>
    <x v="14"/>
    <s v="Spring"/>
    <s v="No"/>
    <x v="3"/>
    <x v="0"/>
    <n v="0.26"/>
    <n v="0.2576"/>
    <n v="0.52"/>
    <n v="0.22389999999999999"/>
    <x v="14"/>
    <x v="25"/>
    <n v="63"/>
  </r>
  <r>
    <n v="84"/>
    <x v="3"/>
    <x v="15"/>
    <s v="Spring"/>
    <s v="No"/>
    <x v="3"/>
    <x v="0"/>
    <n v="0.28000000000000003"/>
    <n v="0.2727"/>
    <n v="0.52"/>
    <n v="0.25369999999999998"/>
    <x v="26"/>
    <x v="41"/>
    <n v="65"/>
  </r>
  <r>
    <n v="85"/>
    <x v="3"/>
    <x v="16"/>
    <s v="Spring"/>
    <s v="No"/>
    <x v="3"/>
    <x v="0"/>
    <n v="0.3"/>
    <n v="0.28789999999999999"/>
    <n v="0.49"/>
    <n v="0.25369999999999998"/>
    <x v="13"/>
    <x v="56"/>
    <n v="83"/>
  </r>
  <r>
    <n v="86"/>
    <x v="3"/>
    <x v="17"/>
    <s v="Spring"/>
    <s v="No"/>
    <x v="3"/>
    <x v="0"/>
    <n v="0.28000000000000003"/>
    <n v="0.2727"/>
    <n v="0.48"/>
    <n v="0.22389999999999999"/>
    <x v="22"/>
    <x v="57"/>
    <n v="212"/>
  </r>
  <r>
    <n v="87"/>
    <x v="3"/>
    <x v="18"/>
    <s v="Spring"/>
    <s v="No"/>
    <x v="3"/>
    <x v="0"/>
    <n v="0.26"/>
    <n v="0.2576"/>
    <n v="0.48"/>
    <n v="0.19400000000000001"/>
    <x v="0"/>
    <x v="58"/>
    <n v="182"/>
  </r>
  <r>
    <n v="88"/>
    <x v="3"/>
    <x v="19"/>
    <s v="Spring"/>
    <s v="No"/>
    <x v="3"/>
    <x v="0"/>
    <n v="0.24"/>
    <n v="0.2576"/>
    <n v="0.48"/>
    <n v="0.1045"/>
    <x v="4"/>
    <x v="59"/>
    <n v="112"/>
  </r>
  <r>
    <n v="89"/>
    <x v="3"/>
    <x v="20"/>
    <s v="Spring"/>
    <s v="No"/>
    <x v="3"/>
    <x v="0"/>
    <n v="0.24"/>
    <n v="0.2576"/>
    <n v="0.48"/>
    <n v="0.1045"/>
    <x v="5"/>
    <x v="42"/>
    <n v="54"/>
  </r>
  <r>
    <n v="90"/>
    <x v="3"/>
    <x v="21"/>
    <s v="Spring"/>
    <s v="No"/>
    <x v="3"/>
    <x v="0"/>
    <n v="0.22"/>
    <n v="0.2727"/>
    <n v="0.64"/>
    <n v="0"/>
    <x v="3"/>
    <x v="41"/>
    <n v="48"/>
  </r>
  <r>
    <n v="91"/>
    <x v="3"/>
    <x v="22"/>
    <s v="Spring"/>
    <s v="No"/>
    <x v="3"/>
    <x v="0"/>
    <n v="0.22"/>
    <n v="0.2576"/>
    <n v="0.64"/>
    <n v="8.9599999999999999E-2"/>
    <x v="5"/>
    <x v="60"/>
    <n v="35"/>
  </r>
  <r>
    <n v="92"/>
    <x v="3"/>
    <x v="23"/>
    <s v="Spring"/>
    <s v="No"/>
    <x v="3"/>
    <x v="0"/>
    <n v="0.2"/>
    <n v="0.2273"/>
    <n v="0.69"/>
    <n v="8.9599999999999999E-2"/>
    <x v="4"/>
    <x v="33"/>
    <n v="11"/>
  </r>
  <r>
    <n v="93"/>
    <x v="4"/>
    <x v="0"/>
    <s v="Spring"/>
    <s v="No"/>
    <x v="4"/>
    <x v="0"/>
    <n v="0.2"/>
    <n v="0.2576"/>
    <n v="0.64"/>
    <n v="0"/>
    <x v="3"/>
    <x v="8"/>
    <n v="6"/>
  </r>
  <r>
    <n v="94"/>
    <x v="4"/>
    <x v="1"/>
    <s v="Spring"/>
    <s v="No"/>
    <x v="4"/>
    <x v="0"/>
    <n v="0.16"/>
    <n v="0.19700000000000001"/>
    <n v="0.74"/>
    <n v="8.9599999999999999E-2"/>
    <x v="3"/>
    <x v="8"/>
    <n v="6"/>
  </r>
  <r>
    <n v="95"/>
    <x v="4"/>
    <x v="2"/>
    <s v="Spring"/>
    <s v="No"/>
    <x v="4"/>
    <x v="0"/>
    <n v="0.16"/>
    <n v="0.19700000000000001"/>
    <n v="0.74"/>
    <n v="8.9599999999999999E-2"/>
    <x v="3"/>
    <x v="6"/>
    <n v="2"/>
  </r>
  <r>
    <n v="96"/>
    <x v="4"/>
    <x v="4"/>
    <s v="Spring"/>
    <s v="No"/>
    <x v="4"/>
    <x v="0"/>
    <n v="0.24"/>
    <n v="0.2273"/>
    <n v="0.48"/>
    <n v="0.22389999999999999"/>
    <x v="3"/>
    <x v="6"/>
    <n v="2"/>
  </r>
  <r>
    <n v="97"/>
    <x v="4"/>
    <x v="5"/>
    <s v="Spring"/>
    <s v="No"/>
    <x v="4"/>
    <x v="0"/>
    <n v="0.22"/>
    <n v="0.2273"/>
    <n v="0.47"/>
    <n v="0.16420000000000001"/>
    <x v="3"/>
    <x v="35"/>
    <n v="3"/>
  </r>
  <r>
    <n v="98"/>
    <x v="4"/>
    <x v="6"/>
    <s v="Spring"/>
    <s v="No"/>
    <x v="4"/>
    <x v="0"/>
    <n v="0.2"/>
    <n v="0.19700000000000001"/>
    <n v="0.47"/>
    <n v="0.22389999999999999"/>
    <x v="3"/>
    <x v="39"/>
    <n v="33"/>
  </r>
  <r>
    <n v="99"/>
    <x v="4"/>
    <x v="7"/>
    <s v="Spring"/>
    <s v="No"/>
    <x v="4"/>
    <x v="0"/>
    <n v="0.18"/>
    <n v="0.18179999999999999"/>
    <n v="0.43"/>
    <n v="0.19400000000000001"/>
    <x v="5"/>
    <x v="61"/>
    <n v="88"/>
  </r>
  <r>
    <n v="100"/>
    <x v="4"/>
    <x v="8"/>
    <s v="Spring"/>
    <s v="No"/>
    <x v="4"/>
    <x v="0"/>
    <n v="0.2"/>
    <n v="0.18179999999999999"/>
    <n v="0.4"/>
    <n v="0.29849999999999999"/>
    <x v="0"/>
    <x v="62"/>
    <n v="195"/>
  </r>
  <r>
    <n v="101"/>
    <x v="4"/>
    <x v="9"/>
    <s v="Spring"/>
    <s v="No"/>
    <x v="4"/>
    <x v="0"/>
    <n v="0.22"/>
    <n v="0.19700000000000001"/>
    <n v="0.37"/>
    <n v="0.32840000000000003"/>
    <x v="15"/>
    <x v="63"/>
    <n v="115"/>
  </r>
  <r>
    <n v="102"/>
    <x v="4"/>
    <x v="10"/>
    <s v="Spring"/>
    <s v="No"/>
    <x v="4"/>
    <x v="0"/>
    <n v="0.22"/>
    <n v="0.19700000000000001"/>
    <n v="0.37"/>
    <n v="0.32840000000000003"/>
    <x v="17"/>
    <x v="42"/>
    <n v="57"/>
  </r>
  <r>
    <n v="103"/>
    <x v="4"/>
    <x v="11"/>
    <s v="Spring"/>
    <s v="No"/>
    <x v="4"/>
    <x v="0"/>
    <n v="0.26"/>
    <n v="0.2273"/>
    <n v="0.33"/>
    <n v="0.32840000000000003"/>
    <x v="6"/>
    <x v="60"/>
    <n v="46"/>
  </r>
  <r>
    <n v="104"/>
    <x v="4"/>
    <x v="12"/>
    <s v="Spring"/>
    <s v="No"/>
    <x v="4"/>
    <x v="0"/>
    <n v="0.26"/>
    <n v="0.2273"/>
    <n v="0.33"/>
    <n v="0.32840000000000003"/>
    <x v="2"/>
    <x v="64"/>
    <n v="79"/>
  </r>
  <r>
    <n v="105"/>
    <x v="4"/>
    <x v="13"/>
    <s v="Spring"/>
    <s v="No"/>
    <x v="4"/>
    <x v="0"/>
    <n v="0.28000000000000003"/>
    <n v="0.2576"/>
    <n v="0.3"/>
    <n v="0.29849999999999999"/>
    <x v="15"/>
    <x v="65"/>
    <n v="71"/>
  </r>
  <r>
    <n v="106"/>
    <x v="4"/>
    <x v="14"/>
    <s v="Spring"/>
    <s v="No"/>
    <x v="4"/>
    <x v="0"/>
    <n v="0.3"/>
    <n v="0.28789999999999999"/>
    <n v="0.28000000000000003"/>
    <n v="0.19400000000000001"/>
    <x v="22"/>
    <x v="15"/>
    <n v="62"/>
  </r>
  <r>
    <n v="107"/>
    <x v="4"/>
    <x v="15"/>
    <s v="Spring"/>
    <s v="No"/>
    <x v="4"/>
    <x v="0"/>
    <n v="0.3"/>
    <n v="0.28789999999999999"/>
    <n v="0.28000000000000003"/>
    <n v="0.19400000000000001"/>
    <x v="18"/>
    <x v="11"/>
    <n v="62"/>
  </r>
  <r>
    <n v="108"/>
    <x v="4"/>
    <x v="16"/>
    <s v="Spring"/>
    <s v="No"/>
    <x v="4"/>
    <x v="0"/>
    <n v="0.3"/>
    <n v="0.31819999999999998"/>
    <n v="0.28000000000000003"/>
    <n v="8.9599999999999999E-2"/>
    <x v="17"/>
    <x v="66"/>
    <n v="89"/>
  </r>
  <r>
    <n v="109"/>
    <x v="4"/>
    <x v="17"/>
    <s v="Spring"/>
    <s v="No"/>
    <x v="4"/>
    <x v="0"/>
    <n v="0.24"/>
    <n v="0.2273"/>
    <n v="0.38"/>
    <n v="0.19400000000000001"/>
    <x v="17"/>
    <x v="67"/>
    <n v="190"/>
  </r>
  <r>
    <n v="110"/>
    <x v="4"/>
    <x v="18"/>
    <s v="Spring"/>
    <s v="No"/>
    <x v="4"/>
    <x v="0"/>
    <n v="0.24"/>
    <n v="0.2424"/>
    <n v="0.38"/>
    <n v="0.1343"/>
    <x v="0"/>
    <x v="68"/>
    <n v="169"/>
  </r>
  <r>
    <n v="111"/>
    <x v="4"/>
    <x v="19"/>
    <s v="Spring"/>
    <s v="No"/>
    <x v="4"/>
    <x v="0"/>
    <n v="0.24"/>
    <n v="0.2576"/>
    <n v="0.38"/>
    <n v="0.1045"/>
    <x v="2"/>
    <x v="69"/>
    <n v="132"/>
  </r>
  <r>
    <n v="112"/>
    <x v="4"/>
    <x v="20"/>
    <s v="Spring"/>
    <s v="No"/>
    <x v="4"/>
    <x v="0"/>
    <n v="0.22"/>
    <n v="0.2273"/>
    <n v="0.47"/>
    <n v="0.16420000000000001"/>
    <x v="18"/>
    <x v="70"/>
    <n v="89"/>
  </r>
  <r>
    <n v="113"/>
    <x v="4"/>
    <x v="21"/>
    <s v="Spring"/>
    <s v="No"/>
    <x v="4"/>
    <x v="0"/>
    <n v="0.2"/>
    <n v="0.19700000000000001"/>
    <n v="0.51"/>
    <n v="0.19400000000000001"/>
    <x v="0"/>
    <x v="71"/>
    <n v="43"/>
  </r>
  <r>
    <n v="114"/>
    <x v="4"/>
    <x v="22"/>
    <s v="Spring"/>
    <s v="No"/>
    <x v="4"/>
    <x v="0"/>
    <n v="0.18"/>
    <n v="0.19700000000000001"/>
    <n v="0.55000000000000004"/>
    <n v="0.1343"/>
    <x v="5"/>
    <x v="40"/>
    <n v="42"/>
  </r>
  <r>
    <n v="115"/>
    <x v="4"/>
    <x v="23"/>
    <s v="Spring"/>
    <s v="No"/>
    <x v="4"/>
    <x v="0"/>
    <n v="0.2"/>
    <n v="0.2576"/>
    <n v="0.47"/>
    <n v="0"/>
    <x v="5"/>
    <x v="72"/>
    <n v="19"/>
  </r>
  <r>
    <n v="116"/>
    <x v="5"/>
    <x v="0"/>
    <s v="Spring"/>
    <s v="No"/>
    <x v="5"/>
    <x v="0"/>
    <n v="0.18"/>
    <n v="0.2424"/>
    <n v="0.55000000000000004"/>
    <n v="0"/>
    <x v="3"/>
    <x v="48"/>
    <n v="11"/>
  </r>
  <r>
    <n v="117"/>
    <x v="5"/>
    <x v="1"/>
    <s v="Spring"/>
    <s v="No"/>
    <x v="5"/>
    <x v="0"/>
    <n v="0.16"/>
    <n v="0.2273"/>
    <n v="0.64"/>
    <n v="0"/>
    <x v="3"/>
    <x v="22"/>
    <n v="4"/>
  </r>
  <r>
    <n v="118"/>
    <x v="5"/>
    <x v="2"/>
    <s v="Spring"/>
    <s v="No"/>
    <x v="5"/>
    <x v="0"/>
    <n v="0.16"/>
    <n v="0.2273"/>
    <n v="0.64"/>
    <n v="0"/>
    <x v="3"/>
    <x v="6"/>
    <n v="2"/>
  </r>
  <r>
    <n v="119"/>
    <x v="5"/>
    <x v="4"/>
    <s v="Spring"/>
    <s v="No"/>
    <x v="5"/>
    <x v="1"/>
    <n v="0.16"/>
    <n v="0.19700000000000001"/>
    <n v="0.64"/>
    <n v="8.9599999999999999E-2"/>
    <x v="3"/>
    <x v="4"/>
    <n v="1"/>
  </r>
  <r>
    <n v="120"/>
    <x v="5"/>
    <x v="5"/>
    <s v="Spring"/>
    <s v="No"/>
    <x v="5"/>
    <x v="1"/>
    <n v="0.14000000000000001"/>
    <n v="0.18179999999999999"/>
    <n v="0.69"/>
    <n v="8.9599999999999999E-2"/>
    <x v="3"/>
    <x v="22"/>
    <n v="4"/>
  </r>
  <r>
    <n v="121"/>
    <x v="5"/>
    <x v="6"/>
    <s v="Spring"/>
    <s v="No"/>
    <x v="5"/>
    <x v="1"/>
    <n v="0.14000000000000001"/>
    <n v="0.16669999999999999"/>
    <n v="0.63"/>
    <n v="0.1045"/>
    <x v="3"/>
    <x v="49"/>
    <n v="36"/>
  </r>
  <r>
    <n v="122"/>
    <x v="5"/>
    <x v="7"/>
    <s v="Spring"/>
    <s v="No"/>
    <x v="5"/>
    <x v="1"/>
    <n v="0.16"/>
    <n v="0.2273"/>
    <n v="0.59"/>
    <n v="0"/>
    <x v="3"/>
    <x v="73"/>
    <n v="95"/>
  </r>
  <r>
    <n v="123"/>
    <x v="5"/>
    <x v="8"/>
    <s v="Spring"/>
    <s v="No"/>
    <x v="5"/>
    <x v="0"/>
    <n v="0.16"/>
    <n v="0.2273"/>
    <n v="0.59"/>
    <n v="0"/>
    <x v="0"/>
    <x v="74"/>
    <n v="219"/>
  </r>
  <r>
    <n v="124"/>
    <x v="5"/>
    <x v="9"/>
    <s v="Spring"/>
    <s v="No"/>
    <x v="5"/>
    <x v="1"/>
    <n v="0.18"/>
    <n v="0.2424"/>
    <n v="0.51"/>
    <n v="0"/>
    <x v="15"/>
    <x v="75"/>
    <n v="122"/>
  </r>
  <r>
    <n v="125"/>
    <x v="5"/>
    <x v="10"/>
    <s v="Spring"/>
    <s v="No"/>
    <x v="5"/>
    <x v="0"/>
    <n v="0.2"/>
    <n v="0.2576"/>
    <n v="0.47"/>
    <n v="0"/>
    <x v="0"/>
    <x v="76"/>
    <n v="45"/>
  </r>
  <r>
    <n v="126"/>
    <x v="5"/>
    <x v="11"/>
    <s v="Spring"/>
    <s v="No"/>
    <x v="5"/>
    <x v="0"/>
    <n v="0.22"/>
    <n v="0.2576"/>
    <n v="0.44"/>
    <n v="8.9599999999999999E-2"/>
    <x v="4"/>
    <x v="77"/>
    <n v="59"/>
  </r>
  <r>
    <n v="127"/>
    <x v="5"/>
    <x v="12"/>
    <s v="Spring"/>
    <s v="No"/>
    <x v="5"/>
    <x v="0"/>
    <n v="0.26"/>
    <n v="0.28789999999999999"/>
    <n v="0.35"/>
    <n v="0"/>
    <x v="15"/>
    <x v="78"/>
    <n v="84"/>
  </r>
  <r>
    <n v="128"/>
    <x v="5"/>
    <x v="13"/>
    <s v="Spring"/>
    <s v="No"/>
    <x v="5"/>
    <x v="0"/>
    <n v="0.26"/>
    <n v="0.2727"/>
    <n v="0.35"/>
    <n v="0.1045"/>
    <x v="6"/>
    <x v="11"/>
    <n v="67"/>
  </r>
  <r>
    <n v="129"/>
    <x v="5"/>
    <x v="14"/>
    <s v="Spring"/>
    <s v="No"/>
    <x v="5"/>
    <x v="0"/>
    <n v="0.28000000000000003"/>
    <n v="0.2727"/>
    <n v="0.36"/>
    <n v="0.16420000000000001"/>
    <x v="16"/>
    <x v="79"/>
    <n v="70"/>
  </r>
  <r>
    <n v="130"/>
    <x v="5"/>
    <x v="15"/>
    <s v="Spring"/>
    <s v="No"/>
    <x v="5"/>
    <x v="0"/>
    <n v="0.28000000000000003"/>
    <n v="0.2727"/>
    <n v="0.36"/>
    <n v="0"/>
    <x v="1"/>
    <x v="25"/>
    <n v="62"/>
  </r>
  <r>
    <n v="131"/>
    <x v="5"/>
    <x v="16"/>
    <s v="Spring"/>
    <s v="No"/>
    <x v="5"/>
    <x v="0"/>
    <n v="0.26"/>
    <n v="0.2576"/>
    <n v="0.38"/>
    <n v="0.16420000000000001"/>
    <x v="6"/>
    <x v="64"/>
    <n v="86"/>
  </r>
  <r>
    <n v="132"/>
    <x v="5"/>
    <x v="17"/>
    <s v="Spring"/>
    <s v="No"/>
    <x v="5"/>
    <x v="0"/>
    <n v="0.22"/>
    <n v="0.2273"/>
    <n v="0.51"/>
    <n v="0.16420000000000001"/>
    <x v="14"/>
    <x v="80"/>
    <n v="172"/>
  </r>
  <r>
    <n v="133"/>
    <x v="5"/>
    <x v="18"/>
    <s v="Spring"/>
    <s v="No"/>
    <x v="5"/>
    <x v="0"/>
    <n v="0.22"/>
    <n v="0.2273"/>
    <n v="0.51"/>
    <n v="0.1343"/>
    <x v="2"/>
    <x v="81"/>
    <n v="163"/>
  </r>
  <r>
    <n v="134"/>
    <x v="5"/>
    <x v="19"/>
    <s v="Spring"/>
    <s v="No"/>
    <x v="5"/>
    <x v="0"/>
    <n v="0.22"/>
    <n v="0.2576"/>
    <n v="0.55000000000000004"/>
    <n v="8.9599999999999999E-2"/>
    <x v="0"/>
    <x v="63"/>
    <n v="112"/>
  </r>
  <r>
    <n v="135"/>
    <x v="5"/>
    <x v="20"/>
    <s v="Spring"/>
    <s v="No"/>
    <x v="5"/>
    <x v="0"/>
    <n v="0.2"/>
    <n v="0.21210000000000001"/>
    <n v="0.51"/>
    <n v="0.16420000000000001"/>
    <x v="0"/>
    <x v="43"/>
    <n v="69"/>
  </r>
  <r>
    <n v="136"/>
    <x v="5"/>
    <x v="21"/>
    <s v="Spring"/>
    <s v="No"/>
    <x v="5"/>
    <x v="1"/>
    <n v="0.22"/>
    <n v="0.21210000000000001"/>
    <n v="0.55000000000000004"/>
    <n v="0.22389999999999999"/>
    <x v="3"/>
    <x v="41"/>
    <n v="48"/>
  </r>
  <r>
    <n v="137"/>
    <x v="5"/>
    <x v="22"/>
    <s v="Spring"/>
    <s v="No"/>
    <x v="5"/>
    <x v="1"/>
    <n v="0.22"/>
    <n v="0.21210000000000001"/>
    <n v="0.51"/>
    <n v="0.28360000000000002"/>
    <x v="5"/>
    <x v="82"/>
    <n v="52"/>
  </r>
  <r>
    <n v="138"/>
    <x v="5"/>
    <x v="23"/>
    <s v="Spring"/>
    <s v="No"/>
    <x v="5"/>
    <x v="1"/>
    <n v="0.2"/>
    <n v="0.19700000000000001"/>
    <n v="0.59"/>
    <n v="0.19400000000000001"/>
    <x v="17"/>
    <x v="23"/>
    <n v="23"/>
  </r>
  <r>
    <n v="139"/>
    <x v="6"/>
    <x v="0"/>
    <s v="Spring"/>
    <s v="No"/>
    <x v="6"/>
    <x v="1"/>
    <n v="0.2"/>
    <n v="0.19700000000000001"/>
    <n v="0.64"/>
    <n v="0.19400000000000001"/>
    <x v="17"/>
    <x v="0"/>
    <n v="17"/>
  </r>
  <r>
    <n v="140"/>
    <x v="6"/>
    <x v="1"/>
    <s v="Spring"/>
    <s v="No"/>
    <x v="6"/>
    <x v="1"/>
    <n v="0.2"/>
    <n v="0.19700000000000001"/>
    <n v="0.69"/>
    <n v="0.22389999999999999"/>
    <x v="4"/>
    <x v="34"/>
    <n v="7"/>
  </r>
  <r>
    <n v="141"/>
    <x v="6"/>
    <x v="2"/>
    <s v="Spring"/>
    <s v="No"/>
    <x v="6"/>
    <x v="1"/>
    <n v="0.2"/>
    <n v="0.19700000000000001"/>
    <n v="0.69"/>
    <n v="0.22389999999999999"/>
    <x v="3"/>
    <x v="4"/>
    <n v="1"/>
  </r>
  <r>
    <n v="142"/>
    <x v="6"/>
    <x v="4"/>
    <s v="Spring"/>
    <s v="No"/>
    <x v="6"/>
    <x v="1"/>
    <n v="0.2"/>
    <n v="0.21210000000000001"/>
    <n v="0.69"/>
    <n v="0.1343"/>
    <x v="3"/>
    <x v="4"/>
    <n v="1"/>
  </r>
  <r>
    <n v="143"/>
    <x v="6"/>
    <x v="5"/>
    <s v="Spring"/>
    <s v="No"/>
    <x v="6"/>
    <x v="2"/>
    <n v="0.22"/>
    <n v="0.2727"/>
    <n v="0.55000000000000004"/>
    <n v="0"/>
    <x v="3"/>
    <x v="34"/>
    <n v="5"/>
  </r>
  <r>
    <n v="144"/>
    <x v="6"/>
    <x v="6"/>
    <s v="Spring"/>
    <s v="No"/>
    <x v="6"/>
    <x v="1"/>
    <n v="0.2"/>
    <n v="0.2576"/>
    <n v="0.69"/>
    <n v="0"/>
    <x v="1"/>
    <x v="16"/>
    <n v="34"/>
  </r>
  <r>
    <n v="145"/>
    <x v="6"/>
    <x v="7"/>
    <s v="Spring"/>
    <s v="No"/>
    <x v="6"/>
    <x v="0"/>
    <n v="0.2"/>
    <n v="0.21210000000000001"/>
    <n v="0.69"/>
    <n v="0.1343"/>
    <x v="1"/>
    <x v="83"/>
    <n v="84"/>
  </r>
  <r>
    <n v="146"/>
    <x v="6"/>
    <x v="8"/>
    <s v="Spring"/>
    <s v="No"/>
    <x v="6"/>
    <x v="0"/>
    <n v="0.2"/>
    <n v="0.19700000000000001"/>
    <n v="0.51"/>
    <n v="0.25369999999999998"/>
    <x v="20"/>
    <x v="84"/>
    <n v="210"/>
  </r>
  <r>
    <n v="147"/>
    <x v="6"/>
    <x v="9"/>
    <s v="Spring"/>
    <s v="No"/>
    <x v="6"/>
    <x v="0"/>
    <n v="0.2"/>
    <n v="0.18179999999999999"/>
    <n v="0.47"/>
    <n v="0.29849999999999999"/>
    <x v="14"/>
    <x v="85"/>
    <n v="134"/>
  </r>
  <r>
    <n v="148"/>
    <x v="6"/>
    <x v="10"/>
    <s v="Spring"/>
    <s v="No"/>
    <x v="6"/>
    <x v="0"/>
    <n v="0.22"/>
    <n v="0.19700000000000001"/>
    <n v="0.37"/>
    <n v="0.32840000000000003"/>
    <x v="19"/>
    <x v="12"/>
    <n v="63"/>
  </r>
  <r>
    <n v="149"/>
    <x v="6"/>
    <x v="11"/>
    <s v="Spring"/>
    <s v="No"/>
    <x v="6"/>
    <x v="1"/>
    <n v="0.2"/>
    <n v="0.19700000000000001"/>
    <n v="0.4"/>
    <n v="0.22389999999999999"/>
    <x v="21"/>
    <x v="41"/>
    <n v="67"/>
  </r>
  <r>
    <n v="150"/>
    <x v="6"/>
    <x v="12"/>
    <s v="Spring"/>
    <s v="No"/>
    <x v="6"/>
    <x v="1"/>
    <n v="0.2"/>
    <n v="0.19700000000000001"/>
    <n v="0.37"/>
    <n v="0.25369999999999998"/>
    <x v="14"/>
    <x v="54"/>
    <n v="59"/>
  </r>
  <r>
    <n v="151"/>
    <x v="6"/>
    <x v="13"/>
    <s v="Spring"/>
    <s v="No"/>
    <x v="6"/>
    <x v="1"/>
    <n v="0.2"/>
    <n v="0.18179999999999999"/>
    <n v="0.37"/>
    <n v="0.28360000000000002"/>
    <x v="14"/>
    <x v="27"/>
    <n v="73"/>
  </r>
  <r>
    <n v="152"/>
    <x v="6"/>
    <x v="14"/>
    <s v="Spring"/>
    <s v="No"/>
    <x v="6"/>
    <x v="1"/>
    <n v="0.2"/>
    <n v="0.19700000000000001"/>
    <n v="0.4"/>
    <n v="0.25369999999999998"/>
    <x v="18"/>
    <x v="30"/>
    <n v="50"/>
  </r>
  <r>
    <n v="153"/>
    <x v="6"/>
    <x v="15"/>
    <s v="Spring"/>
    <s v="No"/>
    <x v="6"/>
    <x v="1"/>
    <n v="0.2"/>
    <n v="0.21210000000000001"/>
    <n v="0.37"/>
    <n v="0.16420000000000001"/>
    <x v="14"/>
    <x v="36"/>
    <n v="72"/>
  </r>
  <r>
    <n v="154"/>
    <x v="6"/>
    <x v="16"/>
    <s v="Spring"/>
    <s v="No"/>
    <x v="6"/>
    <x v="1"/>
    <n v="0.2"/>
    <n v="0.21210000000000001"/>
    <n v="0.37"/>
    <n v="0.16420000000000001"/>
    <x v="2"/>
    <x v="70"/>
    <n v="87"/>
  </r>
  <r>
    <n v="155"/>
    <x v="6"/>
    <x v="17"/>
    <s v="Spring"/>
    <s v="No"/>
    <x v="6"/>
    <x v="1"/>
    <n v="0.2"/>
    <n v="0.2576"/>
    <n v="0.37"/>
    <n v="0"/>
    <x v="14"/>
    <x v="86"/>
    <n v="187"/>
  </r>
  <r>
    <n v="156"/>
    <x v="6"/>
    <x v="18"/>
    <s v="Spring"/>
    <s v="No"/>
    <x v="6"/>
    <x v="0"/>
    <n v="0.2"/>
    <n v="0.2273"/>
    <n v="0.4"/>
    <n v="8.9599999999999999E-2"/>
    <x v="18"/>
    <x v="75"/>
    <n v="123"/>
  </r>
  <r>
    <n v="157"/>
    <x v="6"/>
    <x v="19"/>
    <s v="Spring"/>
    <s v="No"/>
    <x v="6"/>
    <x v="0"/>
    <n v="0.16"/>
    <n v="0.19700000000000001"/>
    <n v="0.55000000000000004"/>
    <n v="8.9599999999999999E-2"/>
    <x v="0"/>
    <x v="50"/>
    <n v="95"/>
  </r>
  <r>
    <n v="158"/>
    <x v="6"/>
    <x v="20"/>
    <s v="Spring"/>
    <s v="No"/>
    <x v="6"/>
    <x v="0"/>
    <n v="0.18"/>
    <n v="0.21210000000000001"/>
    <n v="0.47"/>
    <n v="0.1045"/>
    <x v="5"/>
    <x v="54"/>
    <n v="51"/>
  </r>
  <r>
    <n v="159"/>
    <x v="6"/>
    <x v="21"/>
    <s v="Spring"/>
    <s v="No"/>
    <x v="6"/>
    <x v="0"/>
    <n v="0.18"/>
    <n v="0.19700000000000001"/>
    <n v="0.47"/>
    <n v="0.1343"/>
    <x v="3"/>
    <x v="87"/>
    <n v="39"/>
  </r>
  <r>
    <n v="160"/>
    <x v="6"/>
    <x v="22"/>
    <s v="Spring"/>
    <s v="No"/>
    <x v="6"/>
    <x v="1"/>
    <n v="0.18"/>
    <n v="0.19700000000000001"/>
    <n v="0.43"/>
    <n v="0.16420000000000001"/>
    <x v="4"/>
    <x v="60"/>
    <n v="36"/>
  </r>
  <r>
    <n v="161"/>
    <x v="6"/>
    <x v="23"/>
    <s v="Spring"/>
    <s v="No"/>
    <x v="6"/>
    <x v="1"/>
    <n v="0.18"/>
    <n v="0.19700000000000001"/>
    <n v="0.51"/>
    <n v="0.16420000000000001"/>
    <x v="5"/>
    <x v="88"/>
    <n v="15"/>
  </r>
  <r>
    <n v="162"/>
    <x v="7"/>
    <x v="0"/>
    <s v="Spring"/>
    <s v="No"/>
    <x v="0"/>
    <x v="1"/>
    <n v="0.18"/>
    <n v="0.19700000000000001"/>
    <n v="0.51"/>
    <n v="0.16420000000000001"/>
    <x v="5"/>
    <x v="9"/>
    <n v="25"/>
  </r>
  <r>
    <n v="163"/>
    <x v="7"/>
    <x v="1"/>
    <s v="Spring"/>
    <s v="No"/>
    <x v="0"/>
    <x v="1"/>
    <n v="0.18"/>
    <n v="0.21210000000000001"/>
    <n v="0.55000000000000004"/>
    <n v="8.9599999999999999E-2"/>
    <x v="5"/>
    <x v="89"/>
    <n v="16"/>
  </r>
  <r>
    <n v="164"/>
    <x v="7"/>
    <x v="2"/>
    <s v="Spring"/>
    <s v="No"/>
    <x v="0"/>
    <x v="1"/>
    <n v="0.18"/>
    <n v="0.2424"/>
    <n v="0.55000000000000004"/>
    <n v="0"/>
    <x v="0"/>
    <x v="0"/>
    <n v="16"/>
  </r>
  <r>
    <n v="165"/>
    <x v="7"/>
    <x v="3"/>
    <s v="Spring"/>
    <s v="No"/>
    <x v="0"/>
    <x v="2"/>
    <n v="0.18"/>
    <n v="0.19700000000000001"/>
    <n v="0.55000000000000004"/>
    <n v="0.16420000000000001"/>
    <x v="3"/>
    <x v="7"/>
    <n v="7"/>
  </r>
  <r>
    <n v="166"/>
    <x v="7"/>
    <x v="4"/>
    <s v="Spring"/>
    <s v="No"/>
    <x v="0"/>
    <x v="2"/>
    <n v="0.18"/>
    <n v="0.19700000000000001"/>
    <n v="0.55000000000000004"/>
    <n v="0.16420000000000001"/>
    <x v="3"/>
    <x v="4"/>
    <n v="1"/>
  </r>
  <r>
    <n v="167"/>
    <x v="7"/>
    <x v="5"/>
    <s v="Spring"/>
    <s v="No"/>
    <x v="0"/>
    <x v="1"/>
    <n v="0.16"/>
    <n v="0.16669999999999999"/>
    <n v="0.74"/>
    <n v="0.16420000000000001"/>
    <x v="3"/>
    <x v="34"/>
    <n v="5"/>
  </r>
  <r>
    <n v="168"/>
    <x v="7"/>
    <x v="6"/>
    <s v="Spring"/>
    <s v="No"/>
    <x v="0"/>
    <x v="1"/>
    <n v="0.16"/>
    <n v="0.16669999999999999"/>
    <n v="0.74"/>
    <n v="0.16420000000000001"/>
    <x v="3"/>
    <x v="6"/>
    <n v="2"/>
  </r>
  <r>
    <n v="169"/>
    <x v="7"/>
    <x v="7"/>
    <s v="Spring"/>
    <s v="No"/>
    <x v="0"/>
    <x v="1"/>
    <n v="0.16"/>
    <n v="0.18179999999999999"/>
    <n v="0.74"/>
    <n v="0.1045"/>
    <x v="5"/>
    <x v="21"/>
    <n v="9"/>
  </r>
  <r>
    <n v="170"/>
    <x v="7"/>
    <x v="8"/>
    <s v="Spring"/>
    <s v="No"/>
    <x v="0"/>
    <x v="2"/>
    <n v="0.16"/>
    <n v="0.18179999999999999"/>
    <n v="0.93"/>
    <n v="0.1045"/>
    <x v="3"/>
    <x v="89"/>
    <n v="15"/>
  </r>
  <r>
    <n v="171"/>
    <x v="7"/>
    <x v="9"/>
    <s v="Spring"/>
    <s v="No"/>
    <x v="0"/>
    <x v="2"/>
    <n v="0.16"/>
    <n v="0.18179999999999999"/>
    <n v="0.93"/>
    <n v="0.1045"/>
    <x v="3"/>
    <x v="32"/>
    <n v="20"/>
  </r>
  <r>
    <n v="172"/>
    <x v="7"/>
    <x v="10"/>
    <s v="Spring"/>
    <s v="No"/>
    <x v="0"/>
    <x v="1"/>
    <n v="0.18"/>
    <n v="0.19700000000000001"/>
    <n v="0.8"/>
    <n v="0.16420000000000001"/>
    <x v="2"/>
    <x v="90"/>
    <n v="61"/>
  </r>
  <r>
    <n v="173"/>
    <x v="7"/>
    <x v="11"/>
    <s v="Spring"/>
    <s v="No"/>
    <x v="0"/>
    <x v="1"/>
    <n v="0.2"/>
    <n v="0.18179999999999999"/>
    <n v="0.69"/>
    <n v="0.3881"/>
    <x v="4"/>
    <x v="91"/>
    <n v="62"/>
  </r>
  <r>
    <n v="174"/>
    <x v="7"/>
    <x v="12"/>
    <s v="Spring"/>
    <s v="No"/>
    <x v="0"/>
    <x v="1"/>
    <n v="0.2"/>
    <n v="0.18179999999999999"/>
    <n v="0.59"/>
    <n v="0.35820000000000002"/>
    <x v="1"/>
    <x v="92"/>
    <n v="98"/>
  </r>
  <r>
    <n v="175"/>
    <x v="7"/>
    <x v="13"/>
    <s v="Spring"/>
    <s v="No"/>
    <x v="0"/>
    <x v="0"/>
    <n v="0.2"/>
    <n v="0.18179999999999999"/>
    <n v="0.44"/>
    <n v="0.32840000000000003"/>
    <x v="18"/>
    <x v="73"/>
    <n v="102"/>
  </r>
  <r>
    <n v="176"/>
    <x v="7"/>
    <x v="14"/>
    <s v="Spring"/>
    <s v="No"/>
    <x v="0"/>
    <x v="0"/>
    <n v="0.2"/>
    <n v="0.16669999999999999"/>
    <n v="0.32"/>
    <n v="0.49249999999999999"/>
    <x v="6"/>
    <x v="93"/>
    <n v="95"/>
  </r>
  <r>
    <n v="177"/>
    <x v="7"/>
    <x v="15"/>
    <s v="Spring"/>
    <s v="No"/>
    <x v="0"/>
    <x v="0"/>
    <n v="0.2"/>
    <n v="0.16669999999999999"/>
    <n v="0.32"/>
    <n v="0.44779999999999998"/>
    <x v="2"/>
    <x v="94"/>
    <n v="74"/>
  </r>
  <r>
    <n v="178"/>
    <x v="7"/>
    <x v="16"/>
    <s v="Spring"/>
    <s v="No"/>
    <x v="0"/>
    <x v="0"/>
    <n v="0.18"/>
    <n v="0.13639999999999999"/>
    <n v="0.28999999999999998"/>
    <n v="0.44779999999999998"/>
    <x v="1"/>
    <x v="56"/>
    <n v="76"/>
  </r>
  <r>
    <n v="179"/>
    <x v="7"/>
    <x v="17"/>
    <s v="Spring"/>
    <s v="No"/>
    <x v="0"/>
    <x v="0"/>
    <n v="0.16"/>
    <n v="0.1212"/>
    <n v="0.37"/>
    <n v="0.55220000000000002"/>
    <x v="2"/>
    <x v="27"/>
    <n v="69"/>
  </r>
  <r>
    <n v="180"/>
    <x v="7"/>
    <x v="18"/>
    <s v="Spring"/>
    <s v="No"/>
    <x v="0"/>
    <x v="0"/>
    <n v="0.14000000000000001"/>
    <n v="0.1212"/>
    <n v="0.39"/>
    <n v="0.29849999999999999"/>
    <x v="0"/>
    <x v="15"/>
    <n v="55"/>
  </r>
  <r>
    <n v="181"/>
    <x v="7"/>
    <x v="19"/>
    <s v="Spring"/>
    <s v="No"/>
    <x v="0"/>
    <x v="0"/>
    <n v="0.14000000000000001"/>
    <n v="0.1212"/>
    <n v="0.36"/>
    <n v="0.25369999999999998"/>
    <x v="17"/>
    <x v="16"/>
    <n v="30"/>
  </r>
  <r>
    <n v="182"/>
    <x v="7"/>
    <x v="20"/>
    <s v="Spring"/>
    <s v="No"/>
    <x v="0"/>
    <x v="0"/>
    <n v="0.12"/>
    <n v="0.1212"/>
    <n v="0.36"/>
    <n v="0.25369999999999998"/>
    <x v="3"/>
    <x v="95"/>
    <n v="28"/>
  </r>
  <r>
    <n v="183"/>
    <x v="7"/>
    <x v="21"/>
    <s v="Spring"/>
    <s v="No"/>
    <x v="0"/>
    <x v="0"/>
    <n v="0.12"/>
    <n v="0.1061"/>
    <n v="0.39"/>
    <n v="0.35820000000000002"/>
    <x v="4"/>
    <x v="96"/>
    <n v="37"/>
  </r>
  <r>
    <n v="184"/>
    <x v="7"/>
    <x v="22"/>
    <s v="Spring"/>
    <s v="No"/>
    <x v="0"/>
    <x v="0"/>
    <n v="0.12"/>
    <n v="0.1061"/>
    <n v="0.36"/>
    <n v="0.3881"/>
    <x v="5"/>
    <x v="39"/>
    <n v="34"/>
  </r>
  <r>
    <n v="185"/>
    <x v="7"/>
    <x v="23"/>
    <s v="Spring"/>
    <s v="No"/>
    <x v="0"/>
    <x v="0"/>
    <n v="0.1"/>
    <n v="6.0600000000000001E-2"/>
    <n v="0.39"/>
    <n v="0.44779999999999998"/>
    <x v="3"/>
    <x v="97"/>
    <n v="22"/>
  </r>
  <r>
    <n v="186"/>
    <x v="8"/>
    <x v="0"/>
    <s v="Spring"/>
    <s v="No"/>
    <x v="1"/>
    <x v="0"/>
    <n v="0.1"/>
    <n v="7.5800000000000006E-2"/>
    <n v="0.42"/>
    <n v="0.3881"/>
    <x v="5"/>
    <x v="9"/>
    <n v="25"/>
  </r>
  <r>
    <n v="187"/>
    <x v="8"/>
    <x v="1"/>
    <s v="Spring"/>
    <s v="No"/>
    <x v="1"/>
    <x v="0"/>
    <n v="0.1"/>
    <n v="6.0600000000000001E-2"/>
    <n v="0.42"/>
    <n v="0.4627"/>
    <x v="3"/>
    <x v="98"/>
    <n v="12"/>
  </r>
  <r>
    <n v="188"/>
    <x v="8"/>
    <x v="2"/>
    <s v="Spring"/>
    <s v="No"/>
    <x v="1"/>
    <x v="0"/>
    <n v="0.1"/>
    <n v="6.0600000000000001E-2"/>
    <n v="0.46"/>
    <n v="0.4627"/>
    <x v="3"/>
    <x v="48"/>
    <n v="11"/>
  </r>
  <r>
    <n v="189"/>
    <x v="8"/>
    <x v="3"/>
    <s v="Spring"/>
    <s v="No"/>
    <x v="1"/>
    <x v="0"/>
    <n v="0.1"/>
    <n v="7.5800000000000006E-2"/>
    <n v="0.46"/>
    <n v="0.41789999999999999"/>
    <x v="3"/>
    <x v="22"/>
    <n v="4"/>
  </r>
  <r>
    <n v="190"/>
    <x v="8"/>
    <x v="4"/>
    <s v="Spring"/>
    <s v="No"/>
    <x v="1"/>
    <x v="0"/>
    <n v="0.08"/>
    <n v="9.0899999999999995E-2"/>
    <n v="0.53"/>
    <n v="0.19400000000000001"/>
    <x v="3"/>
    <x v="4"/>
    <n v="1"/>
  </r>
  <r>
    <n v="191"/>
    <x v="8"/>
    <x v="5"/>
    <s v="Spring"/>
    <s v="No"/>
    <x v="1"/>
    <x v="0"/>
    <n v="0.08"/>
    <n v="9.0899999999999995E-2"/>
    <n v="0.53"/>
    <n v="0.19400000000000001"/>
    <x v="3"/>
    <x v="4"/>
    <n v="1"/>
  </r>
  <r>
    <n v="192"/>
    <x v="8"/>
    <x v="6"/>
    <s v="Spring"/>
    <s v="No"/>
    <x v="1"/>
    <x v="0"/>
    <n v="0.1"/>
    <n v="9.0899999999999995E-2"/>
    <n v="0.49"/>
    <n v="0.28360000000000002"/>
    <x v="3"/>
    <x v="4"/>
    <n v="1"/>
  </r>
  <r>
    <n v="193"/>
    <x v="8"/>
    <x v="7"/>
    <s v="Spring"/>
    <s v="No"/>
    <x v="1"/>
    <x v="0"/>
    <n v="0.08"/>
    <n v="9.0899999999999995E-2"/>
    <n v="0.53"/>
    <n v="0.19400000000000001"/>
    <x v="5"/>
    <x v="34"/>
    <n v="6"/>
  </r>
  <r>
    <n v="194"/>
    <x v="8"/>
    <x v="8"/>
    <s v="Spring"/>
    <s v="No"/>
    <x v="1"/>
    <x v="0"/>
    <n v="0.1"/>
    <n v="9.0899999999999995E-2"/>
    <n v="0.49"/>
    <n v="0.28360000000000002"/>
    <x v="3"/>
    <x v="3"/>
    <n v="10"/>
  </r>
  <r>
    <n v="195"/>
    <x v="8"/>
    <x v="9"/>
    <s v="Spring"/>
    <s v="No"/>
    <x v="1"/>
    <x v="0"/>
    <n v="0.12"/>
    <n v="7.5800000000000006E-2"/>
    <n v="0.46"/>
    <n v="0.52239999999999998"/>
    <x v="3"/>
    <x v="23"/>
    <n v="19"/>
  </r>
  <r>
    <n v="196"/>
    <x v="8"/>
    <x v="10"/>
    <s v="Spring"/>
    <s v="No"/>
    <x v="1"/>
    <x v="0"/>
    <n v="0.14000000000000001"/>
    <n v="0.1061"/>
    <n v="0.43"/>
    <n v="0.3881"/>
    <x v="3"/>
    <x v="47"/>
    <n v="49"/>
  </r>
  <r>
    <n v="197"/>
    <x v="8"/>
    <x v="11"/>
    <s v="Spring"/>
    <s v="No"/>
    <x v="1"/>
    <x v="0"/>
    <n v="0.16"/>
    <n v="0.1212"/>
    <n v="0.4"/>
    <n v="0.52239999999999998"/>
    <x v="4"/>
    <x v="12"/>
    <n v="49"/>
  </r>
  <r>
    <n v="198"/>
    <x v="8"/>
    <x v="12"/>
    <s v="Spring"/>
    <s v="No"/>
    <x v="1"/>
    <x v="0"/>
    <n v="0.18"/>
    <n v="0.13639999999999999"/>
    <n v="0.37"/>
    <n v="0.44779999999999998"/>
    <x v="17"/>
    <x v="55"/>
    <n v="83"/>
  </r>
  <r>
    <n v="199"/>
    <x v="8"/>
    <x v="13"/>
    <s v="Spring"/>
    <s v="No"/>
    <x v="1"/>
    <x v="0"/>
    <n v="0.2"/>
    <n v="0.16669999999999999"/>
    <n v="0.34"/>
    <n v="0.44779999999999998"/>
    <x v="15"/>
    <x v="94"/>
    <n v="75"/>
  </r>
  <r>
    <n v="200"/>
    <x v="8"/>
    <x v="14"/>
    <s v="Spring"/>
    <s v="No"/>
    <x v="1"/>
    <x v="0"/>
    <n v="0.22"/>
    <n v="0.18179999999999999"/>
    <n v="0.32"/>
    <n v="0.4627"/>
    <x v="1"/>
    <x v="27"/>
    <n v="72"/>
  </r>
  <r>
    <n v="201"/>
    <x v="8"/>
    <x v="15"/>
    <s v="Spring"/>
    <s v="No"/>
    <x v="1"/>
    <x v="0"/>
    <n v="0.22"/>
    <n v="0.19700000000000001"/>
    <n v="0.35"/>
    <n v="0.35820000000000002"/>
    <x v="2"/>
    <x v="99"/>
    <n v="82"/>
  </r>
  <r>
    <n v="202"/>
    <x v="8"/>
    <x v="16"/>
    <s v="Spring"/>
    <s v="No"/>
    <x v="1"/>
    <x v="0"/>
    <n v="0.2"/>
    <n v="0.16669999999999999"/>
    <n v="0.34"/>
    <n v="0.44779999999999998"/>
    <x v="23"/>
    <x v="55"/>
    <n v="92"/>
  </r>
  <r>
    <n v="203"/>
    <x v="8"/>
    <x v="17"/>
    <s v="Spring"/>
    <s v="No"/>
    <x v="1"/>
    <x v="0"/>
    <n v="0.18"/>
    <n v="0.1515"/>
    <n v="0.37"/>
    <n v="0.3881"/>
    <x v="0"/>
    <x v="79"/>
    <n v="62"/>
  </r>
  <r>
    <n v="204"/>
    <x v="8"/>
    <x v="18"/>
    <s v="Spring"/>
    <s v="No"/>
    <x v="1"/>
    <x v="0"/>
    <n v="0.16"/>
    <n v="0.13639999999999999"/>
    <n v="0.4"/>
    <n v="0.32840000000000003"/>
    <x v="17"/>
    <x v="100"/>
    <n v="48"/>
  </r>
  <r>
    <n v="205"/>
    <x v="8"/>
    <x v="19"/>
    <s v="Spring"/>
    <s v="No"/>
    <x v="1"/>
    <x v="0"/>
    <n v="0.16"/>
    <n v="0.13639999999999999"/>
    <n v="0.43"/>
    <n v="0.32840000000000003"/>
    <x v="5"/>
    <x v="71"/>
    <n v="41"/>
  </r>
  <r>
    <n v="206"/>
    <x v="8"/>
    <x v="20"/>
    <s v="Spring"/>
    <s v="No"/>
    <x v="1"/>
    <x v="0"/>
    <n v="0.14000000000000001"/>
    <n v="0.1212"/>
    <n v="0.46"/>
    <n v="0.25369999999999998"/>
    <x v="3"/>
    <x v="101"/>
    <n v="38"/>
  </r>
  <r>
    <n v="207"/>
    <x v="8"/>
    <x v="21"/>
    <s v="Spring"/>
    <s v="No"/>
    <x v="1"/>
    <x v="0"/>
    <n v="0.14000000000000001"/>
    <n v="0.1061"/>
    <n v="0.46"/>
    <n v="0.41789999999999999"/>
    <x v="5"/>
    <x v="23"/>
    <n v="20"/>
  </r>
  <r>
    <n v="208"/>
    <x v="8"/>
    <x v="22"/>
    <s v="Spring"/>
    <s v="No"/>
    <x v="1"/>
    <x v="0"/>
    <n v="0.14000000000000001"/>
    <n v="0.1212"/>
    <n v="0.46"/>
    <n v="0.29849999999999999"/>
    <x v="2"/>
    <x v="3"/>
    <n v="15"/>
  </r>
  <r>
    <n v="209"/>
    <x v="8"/>
    <x v="23"/>
    <s v="Spring"/>
    <s v="No"/>
    <x v="1"/>
    <x v="0"/>
    <n v="0.12"/>
    <n v="0.13639999999999999"/>
    <n v="0.5"/>
    <n v="0.19400000000000001"/>
    <x v="3"/>
    <x v="8"/>
    <n v="6"/>
  </r>
  <r>
    <n v="210"/>
    <x v="9"/>
    <x v="0"/>
    <s v="Spring"/>
    <s v="No"/>
    <x v="2"/>
    <x v="0"/>
    <n v="0.12"/>
    <n v="0.1212"/>
    <n v="0.5"/>
    <n v="0.28360000000000002"/>
    <x v="4"/>
    <x v="35"/>
    <n v="5"/>
  </r>
  <r>
    <n v="211"/>
    <x v="9"/>
    <x v="1"/>
    <s v="Spring"/>
    <s v="No"/>
    <x v="2"/>
    <x v="0"/>
    <n v="0.12"/>
    <n v="0.1212"/>
    <n v="0.5"/>
    <n v="0.28360000000000002"/>
    <x v="5"/>
    <x v="5"/>
    <n v="1"/>
  </r>
  <r>
    <n v="212"/>
    <x v="9"/>
    <x v="2"/>
    <s v="Spring"/>
    <s v="No"/>
    <x v="2"/>
    <x v="0"/>
    <n v="0.12"/>
    <n v="0.1212"/>
    <n v="0.5"/>
    <n v="0.22389999999999999"/>
    <x v="3"/>
    <x v="35"/>
    <n v="3"/>
  </r>
  <r>
    <n v="213"/>
    <x v="9"/>
    <x v="3"/>
    <s v="Spring"/>
    <s v="No"/>
    <x v="2"/>
    <x v="0"/>
    <n v="0.12"/>
    <n v="0.1212"/>
    <n v="0.5"/>
    <n v="0.22389999999999999"/>
    <x v="3"/>
    <x v="4"/>
    <n v="1"/>
  </r>
  <r>
    <n v="214"/>
    <x v="9"/>
    <x v="4"/>
    <s v="Spring"/>
    <s v="No"/>
    <x v="2"/>
    <x v="0"/>
    <n v="0.1"/>
    <n v="0.1212"/>
    <n v="0.54"/>
    <n v="0.1343"/>
    <x v="5"/>
    <x v="6"/>
    <n v="3"/>
  </r>
  <r>
    <n v="215"/>
    <x v="9"/>
    <x v="5"/>
    <s v="Spring"/>
    <s v="No"/>
    <x v="2"/>
    <x v="0"/>
    <n v="0.1"/>
    <n v="0.1061"/>
    <n v="0.54"/>
    <n v="0.25369999999999998"/>
    <x v="3"/>
    <x v="35"/>
    <n v="3"/>
  </r>
  <r>
    <n v="216"/>
    <x v="9"/>
    <x v="6"/>
    <s v="Spring"/>
    <s v="No"/>
    <x v="2"/>
    <x v="0"/>
    <n v="0.12"/>
    <n v="0.1212"/>
    <n v="0.5"/>
    <n v="0.28360000000000002"/>
    <x v="3"/>
    <x v="17"/>
    <n v="31"/>
  </r>
  <r>
    <n v="217"/>
    <x v="9"/>
    <x v="7"/>
    <s v="Spring"/>
    <s v="No"/>
    <x v="2"/>
    <x v="0"/>
    <n v="0.12"/>
    <n v="0.1212"/>
    <n v="0.5"/>
    <n v="0.22389999999999999"/>
    <x v="4"/>
    <x v="102"/>
    <n v="77"/>
  </r>
  <r>
    <n v="218"/>
    <x v="9"/>
    <x v="8"/>
    <s v="Spring"/>
    <s v="No"/>
    <x v="2"/>
    <x v="1"/>
    <n v="0.12"/>
    <n v="0.1212"/>
    <n v="0.5"/>
    <n v="0.28360000000000002"/>
    <x v="17"/>
    <x v="103"/>
    <n v="188"/>
  </r>
  <r>
    <n v="219"/>
    <x v="9"/>
    <x v="9"/>
    <s v="Spring"/>
    <s v="No"/>
    <x v="2"/>
    <x v="1"/>
    <n v="0.14000000000000001"/>
    <n v="0.1212"/>
    <n v="0.5"/>
    <n v="0.25369999999999998"/>
    <x v="4"/>
    <x v="50"/>
    <n v="94"/>
  </r>
  <r>
    <n v="220"/>
    <x v="9"/>
    <x v="10"/>
    <s v="Spring"/>
    <s v="No"/>
    <x v="2"/>
    <x v="1"/>
    <n v="0.14000000000000001"/>
    <n v="0.1212"/>
    <n v="0.5"/>
    <n v="0.29849999999999999"/>
    <x v="3"/>
    <x v="17"/>
    <n v="31"/>
  </r>
  <r>
    <n v="221"/>
    <x v="9"/>
    <x v="11"/>
    <s v="Spring"/>
    <s v="No"/>
    <x v="2"/>
    <x v="1"/>
    <n v="0.16"/>
    <n v="0.13639999999999999"/>
    <n v="0.47"/>
    <n v="0.28360000000000002"/>
    <x v="4"/>
    <x v="95"/>
    <n v="30"/>
  </r>
  <r>
    <n v="222"/>
    <x v="9"/>
    <x v="12"/>
    <s v="Spring"/>
    <s v="No"/>
    <x v="2"/>
    <x v="1"/>
    <n v="0.2"/>
    <n v="0.18179999999999999"/>
    <n v="0.4"/>
    <n v="0.28360000000000002"/>
    <x v="2"/>
    <x v="12"/>
    <n v="52"/>
  </r>
  <r>
    <n v="223"/>
    <x v="9"/>
    <x v="13"/>
    <s v="Spring"/>
    <s v="No"/>
    <x v="2"/>
    <x v="1"/>
    <n v="0.2"/>
    <n v="0.18179999999999999"/>
    <n v="0.4"/>
    <n v="0.28360000000000002"/>
    <x v="17"/>
    <x v="54"/>
    <n v="54"/>
  </r>
  <r>
    <n v="224"/>
    <x v="9"/>
    <x v="14"/>
    <s v="Spring"/>
    <s v="No"/>
    <x v="2"/>
    <x v="1"/>
    <n v="0.2"/>
    <n v="0.19700000000000001"/>
    <n v="0.4"/>
    <n v="0.22389999999999999"/>
    <x v="3"/>
    <x v="12"/>
    <n v="47"/>
  </r>
  <r>
    <n v="225"/>
    <x v="9"/>
    <x v="15"/>
    <s v="Spring"/>
    <s v="No"/>
    <x v="2"/>
    <x v="1"/>
    <n v="0.2"/>
    <n v="0.19700000000000001"/>
    <n v="0.4"/>
    <n v="0.22389999999999999"/>
    <x v="4"/>
    <x v="30"/>
    <n v="45"/>
  </r>
  <r>
    <n v="226"/>
    <x v="9"/>
    <x v="16"/>
    <s v="Spring"/>
    <s v="No"/>
    <x v="2"/>
    <x v="0"/>
    <n v="0.2"/>
    <n v="0.21210000000000001"/>
    <n v="0.4"/>
    <n v="0.1343"/>
    <x v="17"/>
    <x v="14"/>
    <n v="74"/>
  </r>
  <r>
    <n v="227"/>
    <x v="9"/>
    <x v="17"/>
    <s v="Spring"/>
    <s v="No"/>
    <x v="2"/>
    <x v="0"/>
    <n v="0.2"/>
    <n v="0.2273"/>
    <n v="0.4"/>
    <n v="0.1045"/>
    <x v="17"/>
    <x v="104"/>
    <n v="178"/>
  </r>
  <r>
    <n v="228"/>
    <x v="9"/>
    <x v="18"/>
    <s v="Spring"/>
    <s v="No"/>
    <x v="2"/>
    <x v="0"/>
    <n v="0.2"/>
    <n v="0.19700000000000001"/>
    <n v="0.4"/>
    <n v="0.22389999999999999"/>
    <x v="5"/>
    <x v="105"/>
    <n v="155"/>
  </r>
  <r>
    <n v="229"/>
    <x v="9"/>
    <x v="19"/>
    <s v="Spring"/>
    <s v="No"/>
    <x v="2"/>
    <x v="0"/>
    <n v="0.16"/>
    <n v="0.16669999999999999"/>
    <n v="0.47"/>
    <n v="0.16420000000000001"/>
    <x v="0"/>
    <x v="50"/>
    <n v="95"/>
  </r>
  <r>
    <n v="230"/>
    <x v="9"/>
    <x v="20"/>
    <s v="Spring"/>
    <s v="No"/>
    <x v="2"/>
    <x v="0"/>
    <n v="0.16"/>
    <n v="0.16669999999999999"/>
    <n v="0.5"/>
    <n v="0.16420000000000001"/>
    <x v="5"/>
    <x v="26"/>
    <n v="74"/>
  </r>
  <r>
    <n v="231"/>
    <x v="9"/>
    <x v="21"/>
    <s v="Spring"/>
    <s v="No"/>
    <x v="2"/>
    <x v="0"/>
    <n v="0.14000000000000001"/>
    <n v="0.13639999999999999"/>
    <n v="0.59"/>
    <n v="0.19400000000000001"/>
    <x v="5"/>
    <x v="53"/>
    <n v="38"/>
  </r>
  <r>
    <n v="232"/>
    <x v="9"/>
    <x v="22"/>
    <s v="Spring"/>
    <s v="No"/>
    <x v="2"/>
    <x v="0"/>
    <n v="0.14000000000000001"/>
    <n v="0.1515"/>
    <n v="0.59"/>
    <n v="0.16420000000000001"/>
    <x v="4"/>
    <x v="97"/>
    <n v="24"/>
  </r>
  <r>
    <n v="233"/>
    <x v="9"/>
    <x v="23"/>
    <s v="Spring"/>
    <s v="No"/>
    <x v="2"/>
    <x v="0"/>
    <n v="0.14000000000000001"/>
    <n v="0.1515"/>
    <n v="0.59"/>
    <n v="0.16420000000000001"/>
    <x v="3"/>
    <x v="72"/>
    <n v="18"/>
  </r>
  <r>
    <n v="234"/>
    <x v="10"/>
    <x v="0"/>
    <s v="Spring"/>
    <s v="No"/>
    <x v="3"/>
    <x v="0"/>
    <n v="0.14000000000000001"/>
    <n v="0.16669999999999999"/>
    <n v="0.59"/>
    <n v="0.1045"/>
    <x v="4"/>
    <x v="3"/>
    <n v="12"/>
  </r>
  <r>
    <n v="235"/>
    <x v="10"/>
    <x v="1"/>
    <s v="Spring"/>
    <s v="No"/>
    <x v="3"/>
    <x v="0"/>
    <n v="0.14000000000000001"/>
    <n v="0.1515"/>
    <n v="0.59"/>
    <n v="0.16420000000000001"/>
    <x v="3"/>
    <x v="35"/>
    <n v="3"/>
  </r>
  <r>
    <n v="236"/>
    <x v="10"/>
    <x v="2"/>
    <s v="Spring"/>
    <s v="No"/>
    <x v="3"/>
    <x v="1"/>
    <n v="0.16"/>
    <n v="0.1515"/>
    <n v="0.55000000000000004"/>
    <n v="0.19400000000000001"/>
    <x v="3"/>
    <x v="35"/>
    <n v="3"/>
  </r>
  <r>
    <n v="237"/>
    <x v="10"/>
    <x v="5"/>
    <s v="Spring"/>
    <s v="No"/>
    <x v="3"/>
    <x v="1"/>
    <n v="0.16"/>
    <n v="0.18179999999999999"/>
    <n v="0.55000000000000004"/>
    <n v="0.1343"/>
    <x v="3"/>
    <x v="8"/>
    <n v="6"/>
  </r>
  <r>
    <n v="238"/>
    <x v="10"/>
    <x v="6"/>
    <s v="Spring"/>
    <s v="No"/>
    <x v="3"/>
    <x v="1"/>
    <n v="0.16"/>
    <n v="0.18179999999999999"/>
    <n v="0.55000000000000004"/>
    <n v="0.1343"/>
    <x v="3"/>
    <x v="2"/>
    <n v="27"/>
  </r>
  <r>
    <n v="239"/>
    <x v="10"/>
    <x v="7"/>
    <s v="Spring"/>
    <s v="No"/>
    <x v="3"/>
    <x v="1"/>
    <n v="0.16"/>
    <n v="0.2273"/>
    <n v="0.55000000000000004"/>
    <n v="0"/>
    <x v="4"/>
    <x v="106"/>
    <n v="99"/>
  </r>
  <r>
    <n v="240"/>
    <x v="10"/>
    <x v="8"/>
    <s v="Spring"/>
    <s v="No"/>
    <x v="3"/>
    <x v="1"/>
    <n v="0.18"/>
    <n v="0.21210000000000001"/>
    <n v="0.51"/>
    <n v="8.9599999999999999E-2"/>
    <x v="0"/>
    <x v="107"/>
    <n v="217"/>
  </r>
  <r>
    <n v="241"/>
    <x v="10"/>
    <x v="9"/>
    <s v="Spring"/>
    <s v="No"/>
    <x v="3"/>
    <x v="1"/>
    <n v="0.18"/>
    <n v="0.19700000000000001"/>
    <n v="0.51"/>
    <n v="0.16420000000000001"/>
    <x v="0"/>
    <x v="69"/>
    <n v="130"/>
  </r>
  <r>
    <n v="242"/>
    <x v="10"/>
    <x v="10"/>
    <s v="Spring"/>
    <s v="No"/>
    <x v="3"/>
    <x v="1"/>
    <n v="0.2"/>
    <n v="0.21210000000000001"/>
    <n v="0.51"/>
    <n v="0.16420000000000001"/>
    <x v="0"/>
    <x v="82"/>
    <n v="54"/>
  </r>
  <r>
    <n v="243"/>
    <x v="10"/>
    <x v="11"/>
    <s v="Spring"/>
    <s v="No"/>
    <x v="3"/>
    <x v="1"/>
    <n v="0.2"/>
    <n v="0.21210000000000001"/>
    <n v="0.47"/>
    <n v="0.1343"/>
    <x v="17"/>
    <x v="17"/>
    <n v="35"/>
  </r>
  <r>
    <n v="244"/>
    <x v="10"/>
    <x v="12"/>
    <s v="Spring"/>
    <s v="No"/>
    <x v="3"/>
    <x v="1"/>
    <n v="0.2"/>
    <n v="0.2273"/>
    <n v="0.51"/>
    <n v="0.1045"/>
    <x v="4"/>
    <x v="11"/>
    <n v="57"/>
  </r>
  <r>
    <n v="245"/>
    <x v="10"/>
    <x v="13"/>
    <s v="Spring"/>
    <s v="No"/>
    <x v="3"/>
    <x v="1"/>
    <n v="0.2"/>
    <n v="0.2273"/>
    <n v="0.59"/>
    <n v="8.9599999999999999E-2"/>
    <x v="15"/>
    <x v="24"/>
    <n v="52"/>
  </r>
  <r>
    <n v="246"/>
    <x v="10"/>
    <x v="14"/>
    <s v="Spring"/>
    <s v="No"/>
    <x v="3"/>
    <x v="1"/>
    <n v="0.2"/>
    <n v="0.2273"/>
    <n v="0.59"/>
    <n v="8.9599999999999999E-2"/>
    <x v="0"/>
    <x v="91"/>
    <n v="63"/>
  </r>
  <r>
    <n v="247"/>
    <x v="10"/>
    <x v="15"/>
    <s v="Spring"/>
    <s v="No"/>
    <x v="3"/>
    <x v="1"/>
    <n v="0.16"/>
    <n v="0.19700000000000001"/>
    <n v="0.8"/>
    <n v="8.9599999999999999E-2"/>
    <x v="4"/>
    <x v="108"/>
    <n v="47"/>
  </r>
  <r>
    <n v="248"/>
    <x v="10"/>
    <x v="16"/>
    <s v="Spring"/>
    <s v="No"/>
    <x v="3"/>
    <x v="1"/>
    <n v="0.16"/>
    <n v="0.1515"/>
    <n v="0.86"/>
    <n v="0.22389999999999999"/>
    <x v="17"/>
    <x v="109"/>
    <n v="76"/>
  </r>
  <r>
    <n v="249"/>
    <x v="10"/>
    <x v="17"/>
    <s v="Spring"/>
    <s v="No"/>
    <x v="3"/>
    <x v="1"/>
    <n v="0.16"/>
    <n v="0.1515"/>
    <n v="0.86"/>
    <n v="0.22389999999999999"/>
    <x v="15"/>
    <x v="110"/>
    <n v="136"/>
  </r>
  <r>
    <n v="250"/>
    <x v="10"/>
    <x v="18"/>
    <s v="Spring"/>
    <s v="No"/>
    <x v="3"/>
    <x v="2"/>
    <n v="0.16"/>
    <n v="0.18179999999999999"/>
    <n v="0.93"/>
    <n v="0.1045"/>
    <x v="5"/>
    <x v="111"/>
    <n v="95"/>
  </r>
  <r>
    <n v="251"/>
    <x v="10"/>
    <x v="19"/>
    <s v="Spring"/>
    <s v="No"/>
    <x v="3"/>
    <x v="2"/>
    <n v="0.16"/>
    <n v="0.2273"/>
    <n v="0.93"/>
    <n v="0"/>
    <x v="3"/>
    <x v="82"/>
    <n v="51"/>
  </r>
  <r>
    <n v="252"/>
    <x v="10"/>
    <x v="20"/>
    <s v="Spring"/>
    <s v="No"/>
    <x v="3"/>
    <x v="2"/>
    <n v="0.16"/>
    <n v="0.1515"/>
    <n v="0.93"/>
    <n v="0.19400000000000001"/>
    <x v="3"/>
    <x v="1"/>
    <n v="32"/>
  </r>
  <r>
    <n v="253"/>
    <x v="10"/>
    <x v="21"/>
    <s v="Spring"/>
    <s v="No"/>
    <x v="3"/>
    <x v="2"/>
    <n v="0.16"/>
    <n v="0.19700000000000001"/>
    <n v="0.86"/>
    <n v="8.9599999999999999E-2"/>
    <x v="3"/>
    <x v="32"/>
    <n v="20"/>
  </r>
  <r>
    <n v="254"/>
    <x v="10"/>
    <x v="22"/>
    <s v="Spring"/>
    <s v="No"/>
    <x v="3"/>
    <x v="2"/>
    <n v="0.16"/>
    <n v="0.18179999999999999"/>
    <n v="0.93"/>
    <n v="0.1045"/>
    <x v="5"/>
    <x v="95"/>
    <n v="29"/>
  </r>
  <r>
    <n v="255"/>
    <x v="10"/>
    <x v="23"/>
    <s v="Spring"/>
    <s v="No"/>
    <x v="3"/>
    <x v="2"/>
    <n v="0.16"/>
    <n v="0.19700000000000001"/>
    <n v="0.93"/>
    <n v="8.9599999999999999E-2"/>
    <x v="5"/>
    <x v="72"/>
    <n v="19"/>
  </r>
  <r>
    <n v="256"/>
    <x v="11"/>
    <x v="0"/>
    <s v="Spring"/>
    <s v="No"/>
    <x v="4"/>
    <x v="1"/>
    <n v="0.16"/>
    <n v="0.19700000000000001"/>
    <n v="0.86"/>
    <n v="8.9599999999999999E-2"/>
    <x v="3"/>
    <x v="7"/>
    <n v="7"/>
  </r>
  <r>
    <n v="257"/>
    <x v="11"/>
    <x v="1"/>
    <s v="Spring"/>
    <s v="No"/>
    <x v="4"/>
    <x v="1"/>
    <n v="0.16"/>
    <n v="0.18179999999999999"/>
    <n v="0.86"/>
    <n v="0.1045"/>
    <x v="3"/>
    <x v="8"/>
    <n v="6"/>
  </r>
  <r>
    <n v="258"/>
    <x v="11"/>
    <x v="2"/>
    <s v="Spring"/>
    <s v="No"/>
    <x v="4"/>
    <x v="0"/>
    <n v="0.14000000000000001"/>
    <n v="0.1515"/>
    <n v="0.86"/>
    <n v="0.1343"/>
    <x v="3"/>
    <x v="4"/>
    <n v="1"/>
  </r>
  <r>
    <n v="259"/>
    <x v="11"/>
    <x v="5"/>
    <s v="Spring"/>
    <s v="No"/>
    <x v="4"/>
    <x v="0"/>
    <n v="0.14000000000000001"/>
    <n v="0.1515"/>
    <n v="0.86"/>
    <n v="0.16420000000000001"/>
    <x v="3"/>
    <x v="34"/>
    <n v="5"/>
  </r>
  <r>
    <n v="260"/>
    <x v="11"/>
    <x v="6"/>
    <s v="Spring"/>
    <s v="No"/>
    <x v="4"/>
    <x v="0"/>
    <n v="0.12"/>
    <n v="0.1515"/>
    <n v="0.93"/>
    <n v="0.1343"/>
    <x v="3"/>
    <x v="20"/>
    <n v="16"/>
  </r>
  <r>
    <n v="261"/>
    <x v="11"/>
    <x v="7"/>
    <s v="Spring"/>
    <s v="No"/>
    <x v="4"/>
    <x v="0"/>
    <n v="0.14000000000000001"/>
    <n v="0.1515"/>
    <n v="0.69"/>
    <n v="0.1343"/>
    <x v="3"/>
    <x v="25"/>
    <n v="54"/>
  </r>
  <r>
    <n v="262"/>
    <x v="11"/>
    <x v="8"/>
    <s v="Spring"/>
    <s v="No"/>
    <x v="4"/>
    <x v="0"/>
    <n v="0.16"/>
    <n v="0.16669999999999999"/>
    <n v="0.59"/>
    <n v="0.16420000000000001"/>
    <x v="0"/>
    <x v="85"/>
    <n v="128"/>
  </r>
  <r>
    <n v="263"/>
    <x v="11"/>
    <x v="9"/>
    <s v="Spring"/>
    <s v="No"/>
    <x v="4"/>
    <x v="0"/>
    <n v="0.16"/>
    <n v="0.13639999999999999"/>
    <n v="0.59"/>
    <n v="0.32840000000000003"/>
    <x v="0"/>
    <x v="78"/>
    <n v="81"/>
  </r>
  <r>
    <n v="264"/>
    <x v="11"/>
    <x v="10"/>
    <s v="Spring"/>
    <s v="No"/>
    <x v="4"/>
    <x v="0"/>
    <n v="0.18"/>
    <n v="0.18179999999999999"/>
    <n v="0.55000000000000004"/>
    <n v="0.22389999999999999"/>
    <x v="3"/>
    <x v="87"/>
    <n v="39"/>
  </r>
  <r>
    <n v="265"/>
    <x v="11"/>
    <x v="11"/>
    <s v="Spring"/>
    <s v="No"/>
    <x v="4"/>
    <x v="0"/>
    <n v="0.2"/>
    <n v="0.18179999999999999"/>
    <n v="0.51"/>
    <n v="0.3881"/>
    <x v="0"/>
    <x v="1"/>
    <n v="35"/>
  </r>
  <r>
    <n v="266"/>
    <x v="11"/>
    <x v="12"/>
    <s v="Spring"/>
    <s v="No"/>
    <x v="4"/>
    <x v="0"/>
    <n v="0.2"/>
    <n v="0.1515"/>
    <n v="0.47"/>
    <n v="0.58209999999999995"/>
    <x v="0"/>
    <x v="15"/>
    <n v="55"/>
  </r>
  <r>
    <n v="267"/>
    <x v="11"/>
    <x v="13"/>
    <s v="Spring"/>
    <s v="No"/>
    <x v="4"/>
    <x v="0"/>
    <n v="0.22"/>
    <n v="0.19700000000000001"/>
    <n v="0.44"/>
    <n v="0.35820000000000002"/>
    <x v="3"/>
    <x v="47"/>
    <n v="49"/>
  </r>
  <r>
    <n v="268"/>
    <x v="11"/>
    <x v="14"/>
    <s v="Spring"/>
    <s v="No"/>
    <x v="4"/>
    <x v="0"/>
    <n v="0.2"/>
    <n v="0.18179999999999999"/>
    <n v="0.47"/>
    <n v="0.32840000000000003"/>
    <x v="3"/>
    <x v="100"/>
    <n v="44"/>
  </r>
  <r>
    <n v="269"/>
    <x v="11"/>
    <x v="15"/>
    <s v="Spring"/>
    <s v="No"/>
    <x v="4"/>
    <x v="0"/>
    <n v="0.2"/>
    <n v="0.16669999999999999"/>
    <n v="0.47"/>
    <n v="0.41789999999999999"/>
    <x v="5"/>
    <x v="41"/>
    <n v="49"/>
  </r>
  <r>
    <n v="270"/>
    <x v="11"/>
    <x v="16"/>
    <s v="Spring"/>
    <s v="No"/>
    <x v="4"/>
    <x v="0"/>
    <n v="0.22"/>
    <n v="0.19700000000000001"/>
    <n v="0.44"/>
    <n v="0.32840000000000003"/>
    <x v="2"/>
    <x v="36"/>
    <n v="68"/>
  </r>
  <r>
    <n v="271"/>
    <x v="11"/>
    <x v="17"/>
    <s v="Spring"/>
    <s v="No"/>
    <x v="4"/>
    <x v="0"/>
    <n v="0.2"/>
    <n v="0.18179999999999999"/>
    <n v="0.47"/>
    <n v="0.35820000000000002"/>
    <x v="3"/>
    <x v="112"/>
    <n v="139"/>
  </r>
  <r>
    <n v="272"/>
    <x v="11"/>
    <x v="18"/>
    <s v="Spring"/>
    <s v="No"/>
    <x v="4"/>
    <x v="0"/>
    <n v="0.2"/>
    <n v="0.1515"/>
    <n v="0.47"/>
    <n v="0.52239999999999998"/>
    <x v="4"/>
    <x v="113"/>
    <n v="137"/>
  </r>
  <r>
    <n v="273"/>
    <x v="11"/>
    <x v="19"/>
    <s v="Spring"/>
    <s v="No"/>
    <x v="4"/>
    <x v="0"/>
    <n v="0.18"/>
    <n v="0.1515"/>
    <n v="0.47"/>
    <n v="0.41789999999999999"/>
    <x v="5"/>
    <x v="70"/>
    <n v="83"/>
  </r>
  <r>
    <n v="274"/>
    <x v="11"/>
    <x v="20"/>
    <s v="Spring"/>
    <s v="No"/>
    <x v="4"/>
    <x v="0"/>
    <n v="0.16"/>
    <n v="0.13639999999999999"/>
    <n v="0.5"/>
    <n v="0.32840000000000003"/>
    <x v="4"/>
    <x v="25"/>
    <n v="56"/>
  </r>
  <r>
    <n v="275"/>
    <x v="11"/>
    <x v="21"/>
    <s v="Spring"/>
    <s v="No"/>
    <x v="4"/>
    <x v="0"/>
    <n v="0.16"/>
    <n v="0.13639999999999999"/>
    <n v="0.55000000000000004"/>
    <n v="0.32840000000000003"/>
    <x v="3"/>
    <x v="77"/>
    <n v="57"/>
  </r>
  <r>
    <n v="276"/>
    <x v="11"/>
    <x v="22"/>
    <s v="Spring"/>
    <s v="No"/>
    <x v="4"/>
    <x v="0"/>
    <n v="0.16"/>
    <n v="0.1212"/>
    <n v="0.55000000000000004"/>
    <n v="0.44779999999999998"/>
    <x v="5"/>
    <x v="1"/>
    <n v="33"/>
  </r>
  <r>
    <n v="277"/>
    <x v="11"/>
    <x v="23"/>
    <s v="Spring"/>
    <s v="No"/>
    <x v="4"/>
    <x v="0"/>
    <n v="0.14000000000000001"/>
    <n v="0.1061"/>
    <n v="0.59"/>
    <n v="0.41789999999999999"/>
    <x v="5"/>
    <x v="23"/>
    <n v="20"/>
  </r>
  <r>
    <n v="278"/>
    <x v="12"/>
    <x v="0"/>
    <s v="Spring"/>
    <s v="No"/>
    <x v="5"/>
    <x v="0"/>
    <n v="0.14000000000000001"/>
    <n v="0.1212"/>
    <n v="0.59"/>
    <n v="0.28360000000000002"/>
    <x v="5"/>
    <x v="8"/>
    <n v="7"/>
  </r>
  <r>
    <n v="279"/>
    <x v="12"/>
    <x v="1"/>
    <s v="Spring"/>
    <s v="No"/>
    <x v="5"/>
    <x v="0"/>
    <n v="0.14000000000000001"/>
    <n v="0.1212"/>
    <n v="0.5"/>
    <n v="0.28360000000000002"/>
    <x v="3"/>
    <x v="6"/>
    <n v="2"/>
  </r>
  <r>
    <n v="280"/>
    <x v="12"/>
    <x v="2"/>
    <s v="Spring"/>
    <s v="No"/>
    <x v="5"/>
    <x v="0"/>
    <n v="0.14000000000000001"/>
    <n v="0.1212"/>
    <n v="0.5"/>
    <n v="0.35820000000000002"/>
    <x v="3"/>
    <x v="6"/>
    <n v="2"/>
  </r>
  <r>
    <n v="281"/>
    <x v="12"/>
    <x v="3"/>
    <s v="Spring"/>
    <s v="No"/>
    <x v="5"/>
    <x v="0"/>
    <n v="0.14000000000000001"/>
    <n v="0.1212"/>
    <n v="0.5"/>
    <n v="0.32840000000000003"/>
    <x v="3"/>
    <x v="35"/>
    <n v="3"/>
  </r>
  <r>
    <n v="282"/>
    <x v="12"/>
    <x v="4"/>
    <s v="Spring"/>
    <s v="No"/>
    <x v="5"/>
    <x v="0"/>
    <n v="0.14000000000000001"/>
    <n v="0.1212"/>
    <n v="0.5"/>
    <n v="0.25369999999999998"/>
    <x v="3"/>
    <x v="22"/>
    <n v="4"/>
  </r>
  <r>
    <n v="283"/>
    <x v="12"/>
    <x v="5"/>
    <s v="Spring"/>
    <s v="No"/>
    <x v="5"/>
    <x v="0"/>
    <n v="0.14000000000000001"/>
    <n v="0.1212"/>
    <n v="0.5"/>
    <n v="0.29849999999999999"/>
    <x v="3"/>
    <x v="35"/>
    <n v="3"/>
  </r>
  <r>
    <n v="284"/>
    <x v="12"/>
    <x v="6"/>
    <s v="Spring"/>
    <s v="No"/>
    <x v="5"/>
    <x v="0"/>
    <n v="0.12"/>
    <n v="0.1515"/>
    <n v="0.54"/>
    <n v="0.1343"/>
    <x v="3"/>
    <x v="95"/>
    <n v="28"/>
  </r>
  <r>
    <n v="285"/>
    <x v="12"/>
    <x v="7"/>
    <s v="Spring"/>
    <s v="No"/>
    <x v="5"/>
    <x v="0"/>
    <n v="0.12"/>
    <n v="0.1515"/>
    <n v="0.54"/>
    <n v="0.1343"/>
    <x v="3"/>
    <x v="109"/>
    <n v="72"/>
  </r>
  <r>
    <n v="286"/>
    <x v="12"/>
    <x v="8"/>
    <s v="Spring"/>
    <s v="No"/>
    <x v="5"/>
    <x v="0"/>
    <n v="0.14000000000000001"/>
    <n v="0.13639999999999999"/>
    <n v="0.5"/>
    <n v="0.19400000000000001"/>
    <x v="2"/>
    <x v="114"/>
    <n v="202"/>
  </r>
  <r>
    <n v="287"/>
    <x v="12"/>
    <x v="9"/>
    <s v="Spring"/>
    <s v="No"/>
    <x v="5"/>
    <x v="0"/>
    <n v="0.14000000000000001"/>
    <n v="0.1212"/>
    <n v="0.5"/>
    <n v="0.32840000000000003"/>
    <x v="4"/>
    <x v="115"/>
    <n v="139"/>
  </r>
  <r>
    <n v="288"/>
    <x v="12"/>
    <x v="10"/>
    <s v="Spring"/>
    <s v="No"/>
    <x v="5"/>
    <x v="1"/>
    <n v="0.16"/>
    <n v="0.13639999999999999"/>
    <n v="0.5"/>
    <n v="0.35820000000000002"/>
    <x v="4"/>
    <x v="49"/>
    <n v="38"/>
  </r>
  <r>
    <n v="289"/>
    <x v="12"/>
    <x v="11"/>
    <s v="Spring"/>
    <s v="No"/>
    <x v="5"/>
    <x v="1"/>
    <n v="0.2"/>
    <n v="0.16669999999999999"/>
    <n v="0.44"/>
    <n v="0.44779999999999998"/>
    <x v="17"/>
    <x v="39"/>
    <n v="37"/>
  </r>
  <r>
    <n v="290"/>
    <x v="12"/>
    <x v="12"/>
    <s v="Spring"/>
    <s v="No"/>
    <x v="5"/>
    <x v="0"/>
    <n v="0.2"/>
    <n v="0.16669999999999999"/>
    <n v="0.44"/>
    <n v="0.41789999999999999"/>
    <x v="0"/>
    <x v="47"/>
    <n v="52"/>
  </r>
  <r>
    <n v="291"/>
    <x v="12"/>
    <x v="13"/>
    <s v="Spring"/>
    <s v="No"/>
    <x v="5"/>
    <x v="0"/>
    <n v="0.22"/>
    <n v="0.19700000000000001"/>
    <n v="0.41"/>
    <n v="0.44779999999999998"/>
    <x v="4"/>
    <x v="38"/>
    <n v="83"/>
  </r>
  <r>
    <n v="292"/>
    <x v="12"/>
    <x v="14"/>
    <s v="Spring"/>
    <s v="No"/>
    <x v="5"/>
    <x v="0"/>
    <n v="0.22"/>
    <n v="0.19700000000000001"/>
    <n v="0.41"/>
    <n v="0.3881"/>
    <x v="0"/>
    <x v="87"/>
    <n v="42"/>
  </r>
  <r>
    <n v="293"/>
    <x v="12"/>
    <x v="15"/>
    <s v="Spring"/>
    <s v="No"/>
    <x v="5"/>
    <x v="0"/>
    <n v="0.24"/>
    <n v="0.21210000000000001"/>
    <n v="0.38"/>
    <n v="0.29849999999999999"/>
    <x v="2"/>
    <x v="11"/>
    <n v="60"/>
  </r>
  <r>
    <n v="294"/>
    <x v="12"/>
    <x v="16"/>
    <s v="Spring"/>
    <s v="No"/>
    <x v="5"/>
    <x v="0"/>
    <n v="0.24"/>
    <n v="0.21210000000000001"/>
    <n v="0.38"/>
    <n v="0.35820000000000002"/>
    <x v="4"/>
    <x v="83"/>
    <n v="78"/>
  </r>
  <r>
    <n v="295"/>
    <x v="12"/>
    <x v="17"/>
    <s v="Spring"/>
    <s v="No"/>
    <x v="5"/>
    <x v="0"/>
    <n v="0.2"/>
    <n v="0.18179999999999999"/>
    <n v="0.4"/>
    <n v="0.28360000000000002"/>
    <x v="17"/>
    <x v="81"/>
    <n v="162"/>
  </r>
  <r>
    <n v="296"/>
    <x v="12"/>
    <x v="18"/>
    <s v="Spring"/>
    <s v="No"/>
    <x v="5"/>
    <x v="0"/>
    <n v="0.2"/>
    <n v="0.18179999999999999"/>
    <n v="0.4"/>
    <n v="0.32840000000000003"/>
    <x v="0"/>
    <x v="116"/>
    <n v="144"/>
  </r>
  <r>
    <n v="297"/>
    <x v="12"/>
    <x v="19"/>
    <s v="Spring"/>
    <s v="No"/>
    <x v="5"/>
    <x v="0"/>
    <n v="0.16"/>
    <n v="0.1515"/>
    <n v="0.47"/>
    <n v="0.25369999999999998"/>
    <x v="5"/>
    <x v="52"/>
    <n v="99"/>
  </r>
  <r>
    <n v="298"/>
    <x v="12"/>
    <x v="20"/>
    <s v="Spring"/>
    <s v="No"/>
    <x v="5"/>
    <x v="0"/>
    <n v="0.16"/>
    <n v="0.1515"/>
    <n v="0.47"/>
    <n v="0.22389999999999999"/>
    <x v="3"/>
    <x v="27"/>
    <n v="64"/>
  </r>
  <r>
    <n v="299"/>
    <x v="12"/>
    <x v="21"/>
    <s v="Spring"/>
    <s v="No"/>
    <x v="5"/>
    <x v="0"/>
    <n v="0.14000000000000001"/>
    <n v="0.1212"/>
    <n v="0.46"/>
    <n v="0.29849999999999999"/>
    <x v="3"/>
    <x v="71"/>
    <n v="40"/>
  </r>
  <r>
    <n v="300"/>
    <x v="12"/>
    <x v="22"/>
    <s v="Spring"/>
    <s v="No"/>
    <x v="5"/>
    <x v="0"/>
    <n v="0.14000000000000001"/>
    <n v="0.1212"/>
    <n v="0.46"/>
    <n v="0.32840000000000003"/>
    <x v="3"/>
    <x v="10"/>
    <n v="30"/>
  </r>
  <r>
    <n v="301"/>
    <x v="12"/>
    <x v="23"/>
    <s v="Spring"/>
    <s v="No"/>
    <x v="5"/>
    <x v="0"/>
    <n v="0.12"/>
    <n v="0.13639999999999999"/>
    <n v="0.5"/>
    <n v="0.19400000000000001"/>
    <x v="5"/>
    <x v="88"/>
    <n v="15"/>
  </r>
  <r>
    <n v="302"/>
    <x v="13"/>
    <x v="0"/>
    <s v="Spring"/>
    <s v="No"/>
    <x v="6"/>
    <x v="0"/>
    <n v="0.12"/>
    <n v="0.13639999999999999"/>
    <n v="0.5"/>
    <n v="0.19400000000000001"/>
    <x v="3"/>
    <x v="88"/>
    <n v="14"/>
  </r>
  <r>
    <n v="303"/>
    <x v="13"/>
    <x v="1"/>
    <s v="Spring"/>
    <s v="No"/>
    <x v="6"/>
    <x v="0"/>
    <n v="0.1"/>
    <n v="0.1212"/>
    <n v="0.54"/>
    <n v="0.16420000000000001"/>
    <x v="3"/>
    <x v="34"/>
    <n v="5"/>
  </r>
  <r>
    <n v="304"/>
    <x v="13"/>
    <x v="2"/>
    <s v="Spring"/>
    <s v="No"/>
    <x v="6"/>
    <x v="0"/>
    <n v="0.1"/>
    <n v="0.1212"/>
    <n v="0.54"/>
    <n v="0.1343"/>
    <x v="3"/>
    <x v="4"/>
    <n v="1"/>
  </r>
  <r>
    <n v="305"/>
    <x v="13"/>
    <x v="3"/>
    <s v="Spring"/>
    <s v="No"/>
    <x v="6"/>
    <x v="0"/>
    <n v="0.1"/>
    <n v="0.13639999999999999"/>
    <n v="0.54"/>
    <n v="0.1045"/>
    <x v="3"/>
    <x v="4"/>
    <n v="1"/>
  </r>
  <r>
    <n v="306"/>
    <x v="13"/>
    <x v="5"/>
    <s v="Spring"/>
    <s v="No"/>
    <x v="6"/>
    <x v="0"/>
    <n v="0.1"/>
    <n v="0.13639999999999999"/>
    <n v="0.54"/>
    <n v="8.9599999999999999E-2"/>
    <x v="3"/>
    <x v="21"/>
    <n v="8"/>
  </r>
  <r>
    <n v="307"/>
    <x v="13"/>
    <x v="6"/>
    <s v="Spring"/>
    <s v="No"/>
    <x v="6"/>
    <x v="0"/>
    <n v="0.1"/>
    <n v="0.18179999999999999"/>
    <n v="0.54"/>
    <n v="0"/>
    <x v="3"/>
    <x v="19"/>
    <n v="17"/>
  </r>
  <r>
    <n v="308"/>
    <x v="13"/>
    <x v="7"/>
    <s v="Spring"/>
    <s v="No"/>
    <x v="6"/>
    <x v="0"/>
    <n v="0.1"/>
    <n v="0.1212"/>
    <n v="0.74"/>
    <n v="0.16420000000000001"/>
    <x v="3"/>
    <x v="14"/>
    <n v="70"/>
  </r>
  <r>
    <n v="309"/>
    <x v="13"/>
    <x v="8"/>
    <s v="Spring"/>
    <s v="No"/>
    <x v="6"/>
    <x v="0"/>
    <n v="0.12"/>
    <n v="0.16669999999999999"/>
    <n v="0.68"/>
    <n v="0"/>
    <x v="4"/>
    <x v="117"/>
    <n v="158"/>
  </r>
  <r>
    <n v="310"/>
    <x v="13"/>
    <x v="9"/>
    <s v="Spring"/>
    <s v="No"/>
    <x v="6"/>
    <x v="0"/>
    <n v="0.14000000000000001"/>
    <n v="0.1515"/>
    <n v="0.69"/>
    <n v="0.1343"/>
    <x v="3"/>
    <x v="118"/>
    <n v="117"/>
  </r>
  <r>
    <n v="311"/>
    <x v="13"/>
    <x v="10"/>
    <s v="Spring"/>
    <s v="No"/>
    <x v="6"/>
    <x v="0"/>
    <n v="0.18"/>
    <n v="0.18179999999999999"/>
    <n v="0.55000000000000004"/>
    <n v="0.19400000000000001"/>
    <x v="17"/>
    <x v="71"/>
    <n v="44"/>
  </r>
  <r>
    <n v="312"/>
    <x v="13"/>
    <x v="11"/>
    <s v="Spring"/>
    <s v="No"/>
    <x v="6"/>
    <x v="0"/>
    <n v="0.18"/>
    <n v="0.16669999999999999"/>
    <n v="0.51"/>
    <n v="0.28360000000000002"/>
    <x v="15"/>
    <x v="12"/>
    <n v="53"/>
  </r>
  <r>
    <n v="313"/>
    <x v="13"/>
    <x v="12"/>
    <s v="Spring"/>
    <s v="No"/>
    <x v="6"/>
    <x v="0"/>
    <n v="0.2"/>
    <n v="0.19700000000000001"/>
    <n v="0.44"/>
    <n v="0.25369999999999998"/>
    <x v="4"/>
    <x v="79"/>
    <n v="61"/>
  </r>
  <r>
    <n v="314"/>
    <x v="13"/>
    <x v="13"/>
    <s v="Spring"/>
    <s v="No"/>
    <x v="6"/>
    <x v="0"/>
    <n v="0.22"/>
    <n v="0.19700000000000001"/>
    <n v="0.37"/>
    <n v="0.3881"/>
    <x v="17"/>
    <x v="26"/>
    <n v="77"/>
  </r>
  <r>
    <n v="315"/>
    <x v="13"/>
    <x v="14"/>
    <s v="Spring"/>
    <s v="No"/>
    <x v="6"/>
    <x v="0"/>
    <n v="0.22"/>
    <n v="0.21210000000000001"/>
    <n v="0.41"/>
    <n v="0.28360000000000002"/>
    <x v="2"/>
    <x v="79"/>
    <n v="64"/>
  </r>
  <r>
    <n v="316"/>
    <x v="13"/>
    <x v="15"/>
    <s v="Spring"/>
    <s v="No"/>
    <x v="6"/>
    <x v="0"/>
    <n v="0.24"/>
    <n v="0.2424"/>
    <n v="0.38"/>
    <n v="0.16420000000000001"/>
    <x v="14"/>
    <x v="79"/>
    <n v="68"/>
  </r>
  <r>
    <n v="317"/>
    <x v="13"/>
    <x v="16"/>
    <s v="Spring"/>
    <s v="No"/>
    <x v="6"/>
    <x v="0"/>
    <n v="0.22"/>
    <n v="0.2424"/>
    <n v="0.41"/>
    <n v="0.1045"/>
    <x v="0"/>
    <x v="61"/>
    <n v="90"/>
  </r>
  <r>
    <n v="318"/>
    <x v="13"/>
    <x v="17"/>
    <s v="Spring"/>
    <s v="No"/>
    <x v="6"/>
    <x v="0"/>
    <n v="0.22"/>
    <n v="0.2273"/>
    <n v="0.41"/>
    <n v="0.16420000000000001"/>
    <x v="17"/>
    <x v="119"/>
    <n v="159"/>
  </r>
  <r>
    <n v="319"/>
    <x v="13"/>
    <x v="18"/>
    <s v="Spring"/>
    <s v="No"/>
    <x v="6"/>
    <x v="0"/>
    <n v="0.2"/>
    <n v="0.2576"/>
    <n v="0.47"/>
    <n v="0"/>
    <x v="2"/>
    <x v="120"/>
    <n v="139"/>
  </r>
  <r>
    <n v="320"/>
    <x v="13"/>
    <x v="19"/>
    <s v="Spring"/>
    <s v="No"/>
    <x v="6"/>
    <x v="0"/>
    <n v="0.16"/>
    <n v="0.19700000000000001"/>
    <n v="0.59"/>
    <n v="8.9599999999999999E-2"/>
    <x v="0"/>
    <x v="121"/>
    <n v="92"/>
  </r>
  <r>
    <n v="321"/>
    <x v="13"/>
    <x v="20"/>
    <s v="Spring"/>
    <s v="No"/>
    <x v="6"/>
    <x v="0"/>
    <n v="0.18"/>
    <n v="0.2424"/>
    <n v="0.59"/>
    <n v="0"/>
    <x v="3"/>
    <x v="56"/>
    <n v="68"/>
  </r>
  <r>
    <n v="322"/>
    <x v="13"/>
    <x v="21"/>
    <s v="Spring"/>
    <s v="No"/>
    <x v="6"/>
    <x v="0"/>
    <n v="0.16"/>
    <n v="0.2273"/>
    <n v="0.69"/>
    <n v="0"/>
    <x v="17"/>
    <x v="41"/>
    <n v="52"/>
  </r>
  <r>
    <n v="323"/>
    <x v="13"/>
    <x v="22"/>
    <s v="Spring"/>
    <s v="No"/>
    <x v="6"/>
    <x v="1"/>
    <n v="0.16"/>
    <n v="0.2273"/>
    <n v="0.69"/>
    <n v="0"/>
    <x v="4"/>
    <x v="60"/>
    <n v="36"/>
  </r>
  <r>
    <n v="324"/>
    <x v="13"/>
    <x v="23"/>
    <s v="Spring"/>
    <s v="No"/>
    <x v="6"/>
    <x v="1"/>
    <n v="0.18"/>
    <n v="0.2424"/>
    <n v="0.55000000000000004"/>
    <n v="0"/>
    <x v="5"/>
    <x v="16"/>
    <n v="27"/>
  </r>
  <r>
    <n v="325"/>
    <x v="14"/>
    <x v="0"/>
    <s v="Spring"/>
    <s v="No"/>
    <x v="0"/>
    <x v="0"/>
    <n v="0.18"/>
    <n v="0.2424"/>
    <n v="0.55000000000000004"/>
    <n v="0"/>
    <x v="0"/>
    <x v="18"/>
    <n v="28"/>
  </r>
  <r>
    <n v="326"/>
    <x v="14"/>
    <x v="1"/>
    <s v="Spring"/>
    <s v="No"/>
    <x v="0"/>
    <x v="1"/>
    <n v="0.16"/>
    <n v="0.19700000000000001"/>
    <n v="0.59"/>
    <n v="8.9599999999999999E-2"/>
    <x v="4"/>
    <x v="72"/>
    <n v="20"/>
  </r>
  <r>
    <n v="327"/>
    <x v="14"/>
    <x v="2"/>
    <s v="Spring"/>
    <s v="No"/>
    <x v="0"/>
    <x v="1"/>
    <n v="0.16"/>
    <n v="0.19700000000000001"/>
    <n v="0.59"/>
    <n v="8.9599999999999999E-2"/>
    <x v="3"/>
    <x v="98"/>
    <n v="12"/>
  </r>
  <r>
    <n v="328"/>
    <x v="14"/>
    <x v="3"/>
    <s v="Spring"/>
    <s v="No"/>
    <x v="0"/>
    <x v="1"/>
    <n v="0.16"/>
    <n v="0.2273"/>
    <n v="0.59"/>
    <n v="0"/>
    <x v="5"/>
    <x v="7"/>
    <n v="8"/>
  </r>
  <r>
    <n v="329"/>
    <x v="14"/>
    <x v="4"/>
    <s v="Spring"/>
    <s v="No"/>
    <x v="0"/>
    <x v="1"/>
    <n v="0.16"/>
    <n v="0.2273"/>
    <n v="0.59"/>
    <n v="0"/>
    <x v="3"/>
    <x v="34"/>
    <n v="5"/>
  </r>
  <r>
    <n v="330"/>
    <x v="14"/>
    <x v="5"/>
    <s v="Spring"/>
    <s v="No"/>
    <x v="0"/>
    <x v="0"/>
    <n v="0.16"/>
    <n v="0.2273"/>
    <n v="0.59"/>
    <n v="0"/>
    <x v="3"/>
    <x v="4"/>
    <n v="1"/>
  </r>
  <r>
    <n v="331"/>
    <x v="14"/>
    <x v="6"/>
    <s v="Spring"/>
    <s v="No"/>
    <x v="0"/>
    <x v="0"/>
    <n v="0.14000000000000001"/>
    <n v="0.16669999999999999"/>
    <n v="0.63"/>
    <n v="0.1045"/>
    <x v="5"/>
    <x v="6"/>
    <n v="3"/>
  </r>
  <r>
    <n v="332"/>
    <x v="14"/>
    <x v="7"/>
    <s v="Spring"/>
    <s v="No"/>
    <x v="0"/>
    <x v="0"/>
    <n v="0.14000000000000001"/>
    <n v="0.21210000000000001"/>
    <n v="0.63"/>
    <n v="0"/>
    <x v="5"/>
    <x v="33"/>
    <n v="10"/>
  </r>
  <r>
    <n v="333"/>
    <x v="14"/>
    <x v="8"/>
    <s v="Spring"/>
    <s v="No"/>
    <x v="0"/>
    <x v="0"/>
    <n v="0.14000000000000001"/>
    <n v="0.1515"/>
    <n v="0.63"/>
    <n v="0.1343"/>
    <x v="5"/>
    <x v="97"/>
    <n v="23"/>
  </r>
  <r>
    <n v="334"/>
    <x v="14"/>
    <x v="9"/>
    <s v="Spring"/>
    <s v="No"/>
    <x v="0"/>
    <x v="0"/>
    <n v="0.16"/>
    <n v="0.18179999999999999"/>
    <n v="0.64"/>
    <n v="0.1343"/>
    <x v="4"/>
    <x v="17"/>
    <n v="33"/>
  </r>
  <r>
    <n v="335"/>
    <x v="14"/>
    <x v="10"/>
    <s v="Spring"/>
    <s v="No"/>
    <x v="0"/>
    <x v="0"/>
    <n v="0.18"/>
    <n v="0.19700000000000001"/>
    <n v="0.59"/>
    <n v="0.16420000000000001"/>
    <x v="4"/>
    <x v="77"/>
    <n v="59"/>
  </r>
  <r>
    <n v="336"/>
    <x v="14"/>
    <x v="11"/>
    <s v="Spring"/>
    <s v="No"/>
    <x v="0"/>
    <x v="0"/>
    <n v="0.2"/>
    <n v="0.19700000000000001"/>
    <n v="0.55000000000000004"/>
    <n v="0.22389999999999999"/>
    <x v="25"/>
    <x v="25"/>
    <n v="72"/>
  </r>
  <r>
    <n v="337"/>
    <x v="14"/>
    <x v="12"/>
    <s v="Spring"/>
    <s v="No"/>
    <x v="0"/>
    <x v="0"/>
    <n v="0.24"/>
    <n v="0.2273"/>
    <n v="0.48"/>
    <n v="0.22389999999999999"/>
    <x v="13"/>
    <x v="64"/>
    <n v="89"/>
  </r>
  <r>
    <n v="338"/>
    <x v="14"/>
    <x v="13"/>
    <s v="Spring"/>
    <s v="No"/>
    <x v="0"/>
    <x v="0"/>
    <n v="0.28000000000000003"/>
    <n v="0.2576"/>
    <n v="0.38"/>
    <n v="0.29849999999999999"/>
    <x v="27"/>
    <x v="122"/>
    <n v="101"/>
  </r>
  <r>
    <n v="339"/>
    <x v="14"/>
    <x v="14"/>
    <s v="Spring"/>
    <s v="No"/>
    <x v="0"/>
    <x v="0"/>
    <n v="0.3"/>
    <n v="0.28789999999999999"/>
    <n v="0.39"/>
    <n v="0.28360000000000002"/>
    <x v="7"/>
    <x v="50"/>
    <n v="118"/>
  </r>
  <r>
    <n v="340"/>
    <x v="14"/>
    <x v="15"/>
    <s v="Spring"/>
    <s v="No"/>
    <x v="0"/>
    <x v="1"/>
    <n v="0.32"/>
    <n v="0.31819999999999998"/>
    <n v="0.36"/>
    <n v="0.19400000000000001"/>
    <x v="27"/>
    <x v="123"/>
    <n v="129"/>
  </r>
  <r>
    <n v="341"/>
    <x v="14"/>
    <x v="16"/>
    <s v="Spring"/>
    <s v="No"/>
    <x v="0"/>
    <x v="1"/>
    <n v="0.34"/>
    <n v="0.33329999999999999"/>
    <n v="0.34"/>
    <n v="0.19400000000000001"/>
    <x v="28"/>
    <x v="73"/>
    <n v="128"/>
  </r>
  <r>
    <n v="342"/>
    <x v="14"/>
    <x v="17"/>
    <s v="Spring"/>
    <s v="No"/>
    <x v="0"/>
    <x v="1"/>
    <n v="0.32"/>
    <n v="0.30299999999999999"/>
    <n v="0.36"/>
    <n v="0.28360000000000002"/>
    <x v="8"/>
    <x v="25"/>
    <n v="83"/>
  </r>
  <r>
    <n v="343"/>
    <x v="14"/>
    <x v="18"/>
    <s v="Spring"/>
    <s v="No"/>
    <x v="0"/>
    <x v="1"/>
    <n v="0.3"/>
    <n v="0.28789999999999999"/>
    <n v="0.45"/>
    <n v="0.25369999999999998"/>
    <x v="13"/>
    <x v="94"/>
    <n v="84"/>
  </r>
  <r>
    <n v="344"/>
    <x v="14"/>
    <x v="19"/>
    <s v="Spring"/>
    <s v="No"/>
    <x v="0"/>
    <x v="1"/>
    <n v="0.32"/>
    <n v="0.30299999999999999"/>
    <n v="0.39"/>
    <n v="0.25369999999999998"/>
    <x v="24"/>
    <x v="91"/>
    <n v="74"/>
  </r>
  <r>
    <n v="345"/>
    <x v="14"/>
    <x v="20"/>
    <s v="Spring"/>
    <s v="No"/>
    <x v="0"/>
    <x v="1"/>
    <n v="0.32"/>
    <n v="0.30299999999999999"/>
    <n v="0.39"/>
    <n v="0.25369999999999998"/>
    <x v="15"/>
    <x v="96"/>
    <n v="41"/>
  </r>
  <r>
    <n v="346"/>
    <x v="14"/>
    <x v="21"/>
    <s v="Spring"/>
    <s v="No"/>
    <x v="0"/>
    <x v="1"/>
    <n v="0.32"/>
    <n v="0.30299999999999999"/>
    <n v="0.39"/>
    <n v="0.22389999999999999"/>
    <x v="15"/>
    <x v="82"/>
    <n v="57"/>
  </r>
  <r>
    <n v="347"/>
    <x v="14"/>
    <x v="22"/>
    <s v="Spring"/>
    <s v="No"/>
    <x v="0"/>
    <x v="1"/>
    <n v="0.3"/>
    <n v="0.31819999999999998"/>
    <n v="0.42"/>
    <n v="0.1045"/>
    <x v="3"/>
    <x v="16"/>
    <n v="26"/>
  </r>
  <r>
    <n v="348"/>
    <x v="14"/>
    <x v="23"/>
    <s v="Spring"/>
    <s v="No"/>
    <x v="0"/>
    <x v="0"/>
    <n v="0.3"/>
    <n v="0.28789999999999999"/>
    <n v="0.45"/>
    <n v="0.28360000000000002"/>
    <x v="2"/>
    <x v="87"/>
    <n v="44"/>
  </r>
  <r>
    <n v="349"/>
    <x v="15"/>
    <x v="0"/>
    <s v="Spring"/>
    <s v="No"/>
    <x v="1"/>
    <x v="0"/>
    <n v="0.26"/>
    <n v="0.30299999999999999"/>
    <n v="0.56000000000000005"/>
    <n v="0"/>
    <x v="15"/>
    <x v="39"/>
    <n v="39"/>
  </r>
  <r>
    <n v="350"/>
    <x v="15"/>
    <x v="1"/>
    <s v="Spring"/>
    <s v="No"/>
    <x v="1"/>
    <x v="0"/>
    <n v="0.26"/>
    <n v="0.2727"/>
    <n v="0.56000000000000005"/>
    <n v="0.1343"/>
    <x v="17"/>
    <x v="23"/>
    <n v="23"/>
  </r>
  <r>
    <n v="351"/>
    <x v="15"/>
    <x v="2"/>
    <s v="Spring"/>
    <s v="No"/>
    <x v="1"/>
    <x v="0"/>
    <n v="0.26"/>
    <n v="0.28789999999999999"/>
    <n v="0.56000000000000005"/>
    <n v="8.9599999999999999E-2"/>
    <x v="0"/>
    <x v="0"/>
    <n v="16"/>
  </r>
  <r>
    <n v="352"/>
    <x v="15"/>
    <x v="3"/>
    <s v="Spring"/>
    <s v="No"/>
    <x v="1"/>
    <x v="0"/>
    <n v="0.22"/>
    <n v="0.2727"/>
    <n v="0.69"/>
    <n v="0"/>
    <x v="14"/>
    <x v="8"/>
    <n v="15"/>
  </r>
  <r>
    <n v="353"/>
    <x v="15"/>
    <x v="4"/>
    <s v="Spring"/>
    <s v="No"/>
    <x v="1"/>
    <x v="0"/>
    <n v="0.26"/>
    <n v="0.2576"/>
    <n v="0.56000000000000005"/>
    <n v="0.16420000000000001"/>
    <x v="3"/>
    <x v="4"/>
    <n v="1"/>
  </r>
  <r>
    <n v="354"/>
    <x v="15"/>
    <x v="5"/>
    <s v="Spring"/>
    <s v="No"/>
    <x v="1"/>
    <x v="1"/>
    <n v="0.26"/>
    <n v="0.2576"/>
    <n v="0.56000000000000005"/>
    <n v="0.16420000000000001"/>
    <x v="5"/>
    <x v="4"/>
    <n v="2"/>
  </r>
  <r>
    <n v="355"/>
    <x v="15"/>
    <x v="6"/>
    <s v="Spring"/>
    <s v="No"/>
    <x v="1"/>
    <x v="1"/>
    <n v="0.26"/>
    <n v="0.2576"/>
    <n v="0.56000000000000005"/>
    <n v="0.16420000000000001"/>
    <x v="3"/>
    <x v="4"/>
    <n v="1"/>
  </r>
  <r>
    <n v="356"/>
    <x v="15"/>
    <x v="7"/>
    <s v="Spring"/>
    <s v="No"/>
    <x v="1"/>
    <x v="1"/>
    <n v="0.24"/>
    <n v="0.21210000000000001"/>
    <n v="0.56000000000000005"/>
    <n v="0.29849999999999999"/>
    <x v="3"/>
    <x v="35"/>
    <n v="3"/>
  </r>
  <r>
    <n v="357"/>
    <x v="15"/>
    <x v="8"/>
    <s v="Spring"/>
    <s v="No"/>
    <x v="1"/>
    <x v="0"/>
    <n v="0.22"/>
    <n v="0.21210000000000001"/>
    <n v="0.55000000000000004"/>
    <n v="0.28360000000000002"/>
    <x v="3"/>
    <x v="72"/>
    <n v="18"/>
  </r>
  <r>
    <n v="358"/>
    <x v="15"/>
    <x v="9"/>
    <s v="Spring"/>
    <s v="No"/>
    <x v="1"/>
    <x v="0"/>
    <n v="0.22"/>
    <n v="0.21210000000000001"/>
    <n v="0.51"/>
    <n v="0.25369999999999998"/>
    <x v="0"/>
    <x v="31"/>
    <n v="32"/>
  </r>
  <r>
    <n v="359"/>
    <x v="15"/>
    <x v="10"/>
    <s v="Spring"/>
    <s v="No"/>
    <x v="1"/>
    <x v="0"/>
    <n v="0.22"/>
    <n v="0.21210000000000001"/>
    <n v="0.51"/>
    <n v="0.28360000000000002"/>
    <x v="1"/>
    <x v="13"/>
    <n v="79"/>
  </r>
  <r>
    <n v="360"/>
    <x v="15"/>
    <x v="11"/>
    <s v="Spring"/>
    <s v="No"/>
    <x v="1"/>
    <x v="0"/>
    <n v="0.24"/>
    <n v="0.2273"/>
    <n v="0.44"/>
    <n v="0.25369999999999998"/>
    <x v="29"/>
    <x v="14"/>
    <n v="93"/>
  </r>
  <r>
    <n v="361"/>
    <x v="15"/>
    <x v="12"/>
    <s v="Spring"/>
    <s v="No"/>
    <x v="1"/>
    <x v="0"/>
    <n v="0.24"/>
    <n v="0.21210000000000001"/>
    <n v="0.41"/>
    <n v="0.28360000000000002"/>
    <x v="8"/>
    <x v="102"/>
    <n v="104"/>
  </r>
  <r>
    <n v="362"/>
    <x v="15"/>
    <x v="13"/>
    <s v="Spring"/>
    <s v="No"/>
    <x v="1"/>
    <x v="0"/>
    <n v="0.26"/>
    <n v="0.2273"/>
    <n v="0.35"/>
    <n v="0.29849999999999999"/>
    <x v="29"/>
    <x v="73"/>
    <n v="118"/>
  </r>
  <r>
    <n v="363"/>
    <x v="15"/>
    <x v="14"/>
    <s v="Spring"/>
    <s v="No"/>
    <x v="1"/>
    <x v="0"/>
    <n v="0.28000000000000003"/>
    <n v="0.2727"/>
    <n v="0.36"/>
    <n v="0.25369999999999998"/>
    <x v="30"/>
    <x v="94"/>
    <n v="91"/>
  </r>
  <r>
    <n v="364"/>
    <x v="15"/>
    <x v="15"/>
    <s v="Spring"/>
    <s v="No"/>
    <x v="1"/>
    <x v="0"/>
    <n v="0.26"/>
    <n v="0.2424"/>
    <n v="0.38"/>
    <n v="0.25369999999999998"/>
    <x v="10"/>
    <x v="78"/>
    <n v="113"/>
  </r>
  <r>
    <n v="365"/>
    <x v="15"/>
    <x v="16"/>
    <s v="Spring"/>
    <s v="No"/>
    <x v="1"/>
    <x v="0"/>
    <n v="0.24"/>
    <n v="0.2273"/>
    <n v="0.38"/>
    <n v="0.22389999999999999"/>
    <x v="30"/>
    <x v="99"/>
    <n v="99"/>
  </r>
  <r>
    <n v="366"/>
    <x v="15"/>
    <x v="17"/>
    <s v="Spring"/>
    <s v="No"/>
    <x v="1"/>
    <x v="0"/>
    <n v="0.22"/>
    <n v="0.21210000000000001"/>
    <n v="0.37"/>
    <n v="0.25369999999999998"/>
    <x v="29"/>
    <x v="70"/>
    <n v="105"/>
  </r>
  <r>
    <n v="367"/>
    <x v="15"/>
    <x v="18"/>
    <s v="Spring"/>
    <s v="No"/>
    <x v="1"/>
    <x v="0"/>
    <n v="0.2"/>
    <n v="0.21210000000000001"/>
    <n v="0.4"/>
    <n v="0.16420000000000001"/>
    <x v="16"/>
    <x v="90"/>
    <n v="67"/>
  </r>
  <r>
    <n v="368"/>
    <x v="15"/>
    <x v="19"/>
    <s v="Spring"/>
    <s v="No"/>
    <x v="1"/>
    <x v="0"/>
    <n v="0.18"/>
    <n v="0.19700000000000001"/>
    <n v="0.47"/>
    <n v="0.1343"/>
    <x v="24"/>
    <x v="12"/>
    <n v="61"/>
  </r>
  <r>
    <n v="369"/>
    <x v="15"/>
    <x v="20"/>
    <s v="Spring"/>
    <s v="No"/>
    <x v="1"/>
    <x v="0"/>
    <n v="0.18"/>
    <n v="0.19700000000000001"/>
    <n v="0.47"/>
    <n v="0.16420000000000001"/>
    <x v="18"/>
    <x v="54"/>
    <n v="57"/>
  </r>
  <r>
    <n v="370"/>
    <x v="15"/>
    <x v="21"/>
    <s v="Spring"/>
    <s v="No"/>
    <x v="1"/>
    <x v="0"/>
    <n v="0.18"/>
    <n v="0.19700000000000001"/>
    <n v="0.51"/>
    <n v="0.16420000000000001"/>
    <x v="15"/>
    <x v="97"/>
    <n v="28"/>
  </r>
  <r>
    <n v="371"/>
    <x v="15"/>
    <x v="22"/>
    <s v="Spring"/>
    <s v="No"/>
    <x v="1"/>
    <x v="1"/>
    <n v="0.2"/>
    <n v="0.21210000000000001"/>
    <n v="0.49"/>
    <n v="0.1343"/>
    <x v="4"/>
    <x v="23"/>
    <n v="21"/>
  </r>
  <r>
    <n v="372"/>
    <x v="15"/>
    <x v="23"/>
    <s v="Spring"/>
    <s v="No"/>
    <x v="1"/>
    <x v="1"/>
    <n v="0.2"/>
    <n v="0.2273"/>
    <n v="0.4"/>
    <n v="0.1045"/>
    <x v="3"/>
    <x v="72"/>
    <n v="18"/>
  </r>
  <r>
    <n v="373"/>
    <x v="16"/>
    <x v="0"/>
    <s v="Spring"/>
    <s v="Yes"/>
    <x v="2"/>
    <x v="1"/>
    <n v="0.2"/>
    <n v="0.19700000000000001"/>
    <n v="0.47"/>
    <n v="0.22389999999999999"/>
    <x v="5"/>
    <x v="20"/>
    <n v="17"/>
  </r>
  <r>
    <n v="374"/>
    <x v="16"/>
    <x v="1"/>
    <s v="Spring"/>
    <s v="Yes"/>
    <x v="2"/>
    <x v="1"/>
    <n v="0.2"/>
    <n v="0.19700000000000001"/>
    <n v="0.44"/>
    <n v="0.19400000000000001"/>
    <x v="5"/>
    <x v="89"/>
    <n v="16"/>
  </r>
  <r>
    <n v="375"/>
    <x v="16"/>
    <x v="2"/>
    <s v="Spring"/>
    <s v="Yes"/>
    <x v="2"/>
    <x v="1"/>
    <n v="0.18"/>
    <n v="0.16669999999999999"/>
    <n v="0.43"/>
    <n v="0.25369999999999998"/>
    <x v="3"/>
    <x v="21"/>
    <n v="8"/>
  </r>
  <r>
    <n v="376"/>
    <x v="16"/>
    <x v="3"/>
    <s v="Spring"/>
    <s v="Yes"/>
    <x v="2"/>
    <x v="1"/>
    <n v="0.18"/>
    <n v="0.18179999999999999"/>
    <n v="0.43"/>
    <n v="0.19400000000000001"/>
    <x v="3"/>
    <x v="6"/>
    <n v="2"/>
  </r>
  <r>
    <n v="377"/>
    <x v="16"/>
    <x v="4"/>
    <s v="Spring"/>
    <s v="Yes"/>
    <x v="2"/>
    <x v="1"/>
    <n v="0.18"/>
    <n v="0.19700000000000001"/>
    <n v="0.43"/>
    <n v="0.1343"/>
    <x v="5"/>
    <x v="6"/>
    <n v="3"/>
  </r>
  <r>
    <n v="378"/>
    <x v="16"/>
    <x v="5"/>
    <s v="Spring"/>
    <s v="Yes"/>
    <x v="2"/>
    <x v="1"/>
    <n v="0.18"/>
    <n v="0.19700000000000001"/>
    <n v="0.43"/>
    <n v="0.16420000000000001"/>
    <x v="3"/>
    <x v="4"/>
    <n v="1"/>
  </r>
  <r>
    <n v="379"/>
    <x v="16"/>
    <x v="6"/>
    <s v="Spring"/>
    <s v="Yes"/>
    <x v="2"/>
    <x v="1"/>
    <n v="0.18"/>
    <n v="0.18179999999999999"/>
    <n v="0.43"/>
    <n v="0.19400000000000001"/>
    <x v="3"/>
    <x v="34"/>
    <n v="5"/>
  </r>
  <r>
    <n v="380"/>
    <x v="16"/>
    <x v="7"/>
    <s v="Spring"/>
    <s v="Yes"/>
    <x v="2"/>
    <x v="1"/>
    <n v="0.16"/>
    <n v="0.18179999999999999"/>
    <n v="0.5"/>
    <n v="0.1343"/>
    <x v="17"/>
    <x v="33"/>
    <n v="13"/>
  </r>
  <r>
    <n v="381"/>
    <x v="16"/>
    <x v="8"/>
    <s v="Spring"/>
    <s v="Yes"/>
    <x v="2"/>
    <x v="1"/>
    <n v="0.16"/>
    <n v="0.1515"/>
    <n v="0.47"/>
    <n v="0.22389999999999999"/>
    <x v="0"/>
    <x v="10"/>
    <n v="33"/>
  </r>
  <r>
    <n v="382"/>
    <x v="16"/>
    <x v="9"/>
    <s v="Spring"/>
    <s v="Yes"/>
    <x v="2"/>
    <x v="1"/>
    <n v="0.16"/>
    <n v="0.1515"/>
    <n v="0.47"/>
    <n v="0.22389999999999999"/>
    <x v="1"/>
    <x v="87"/>
    <n v="47"/>
  </r>
  <r>
    <n v="383"/>
    <x v="16"/>
    <x v="10"/>
    <s v="Spring"/>
    <s v="Yes"/>
    <x v="2"/>
    <x v="1"/>
    <n v="0.16"/>
    <n v="0.1515"/>
    <n v="0.5"/>
    <n v="0.25369999999999998"/>
    <x v="18"/>
    <x v="54"/>
    <n v="57"/>
  </r>
  <r>
    <n v="384"/>
    <x v="16"/>
    <x v="11"/>
    <s v="Spring"/>
    <s v="Yes"/>
    <x v="2"/>
    <x v="1"/>
    <n v="0.16"/>
    <n v="0.1515"/>
    <n v="0.55000000000000004"/>
    <n v="0.19400000000000001"/>
    <x v="14"/>
    <x v="11"/>
    <n v="64"/>
  </r>
  <r>
    <n v="385"/>
    <x v="16"/>
    <x v="12"/>
    <s v="Spring"/>
    <s v="Yes"/>
    <x v="2"/>
    <x v="1"/>
    <n v="0.18"/>
    <n v="0.19700000000000001"/>
    <n v="0.47"/>
    <n v="0.1343"/>
    <x v="22"/>
    <x v="14"/>
    <n v="80"/>
  </r>
  <r>
    <n v="386"/>
    <x v="16"/>
    <x v="13"/>
    <s v="Spring"/>
    <s v="Yes"/>
    <x v="2"/>
    <x v="1"/>
    <n v="0.18"/>
    <n v="0.19700000000000001"/>
    <n v="0.47"/>
    <n v="0.1343"/>
    <x v="23"/>
    <x v="122"/>
    <n v="93"/>
  </r>
  <r>
    <n v="387"/>
    <x v="16"/>
    <x v="14"/>
    <s v="Spring"/>
    <s v="Yes"/>
    <x v="2"/>
    <x v="1"/>
    <n v="0.18"/>
    <n v="0.21210000000000001"/>
    <n v="0.43"/>
    <n v="0.1045"/>
    <x v="6"/>
    <x v="64"/>
    <n v="86"/>
  </r>
  <r>
    <n v="388"/>
    <x v="16"/>
    <x v="15"/>
    <s v="Spring"/>
    <s v="Yes"/>
    <x v="2"/>
    <x v="1"/>
    <n v="0.2"/>
    <n v="0.21210000000000001"/>
    <n v="0.47"/>
    <n v="0.16420000000000001"/>
    <x v="27"/>
    <x v="109"/>
    <n v="93"/>
  </r>
  <r>
    <n v="389"/>
    <x v="16"/>
    <x v="16"/>
    <s v="Spring"/>
    <s v="Yes"/>
    <x v="2"/>
    <x v="1"/>
    <n v="0.2"/>
    <n v="0.21210000000000001"/>
    <n v="0.47"/>
    <n v="0.16420000000000001"/>
    <x v="15"/>
    <x v="83"/>
    <n v="82"/>
  </r>
  <r>
    <n v="390"/>
    <x v="16"/>
    <x v="17"/>
    <s v="Spring"/>
    <s v="Yes"/>
    <x v="2"/>
    <x v="0"/>
    <n v="0.2"/>
    <n v="0.19700000000000001"/>
    <n v="0.51"/>
    <n v="0.19400000000000001"/>
    <x v="17"/>
    <x v="28"/>
    <n v="71"/>
  </r>
  <r>
    <n v="391"/>
    <x v="16"/>
    <x v="18"/>
    <s v="Spring"/>
    <s v="Yes"/>
    <x v="2"/>
    <x v="1"/>
    <n v="0.18"/>
    <n v="0.16669999999999999"/>
    <n v="0.55000000000000004"/>
    <n v="0.25369999999999998"/>
    <x v="18"/>
    <x v="66"/>
    <n v="92"/>
  </r>
  <r>
    <n v="392"/>
    <x v="16"/>
    <x v="19"/>
    <s v="Spring"/>
    <s v="Yes"/>
    <x v="2"/>
    <x v="2"/>
    <n v="0.18"/>
    <n v="0.18179999999999999"/>
    <n v="0.59"/>
    <n v="0.19400000000000001"/>
    <x v="4"/>
    <x v="29"/>
    <n v="60"/>
  </r>
  <r>
    <n v="393"/>
    <x v="16"/>
    <x v="20"/>
    <s v="Spring"/>
    <s v="Yes"/>
    <x v="2"/>
    <x v="2"/>
    <n v="0.16"/>
    <n v="0.1515"/>
    <n v="0.8"/>
    <n v="0.19400000000000001"/>
    <x v="17"/>
    <x v="31"/>
    <n v="33"/>
  </r>
  <r>
    <n v="394"/>
    <x v="16"/>
    <x v="21"/>
    <s v="Spring"/>
    <s v="Yes"/>
    <x v="2"/>
    <x v="2"/>
    <n v="0.16"/>
    <n v="0.1515"/>
    <n v="0.8"/>
    <n v="0.19400000000000001"/>
    <x v="0"/>
    <x v="9"/>
    <n v="27"/>
  </r>
  <r>
    <n v="395"/>
    <x v="16"/>
    <x v="22"/>
    <s v="Spring"/>
    <s v="Yes"/>
    <x v="2"/>
    <x v="2"/>
    <n v="0.14000000000000001"/>
    <n v="0.1212"/>
    <n v="0.93"/>
    <n v="0.25369999999999998"/>
    <x v="3"/>
    <x v="0"/>
    <n v="13"/>
  </r>
  <r>
    <n v="396"/>
    <x v="16"/>
    <x v="23"/>
    <s v="Spring"/>
    <s v="Yes"/>
    <x v="2"/>
    <x v="2"/>
    <n v="0.16"/>
    <n v="0.13639999999999999"/>
    <n v="0.86"/>
    <n v="0.28360000000000002"/>
    <x v="5"/>
    <x v="35"/>
    <n v="4"/>
  </r>
  <r>
    <n v="397"/>
    <x v="17"/>
    <x v="12"/>
    <s v="Spring"/>
    <s v="No"/>
    <x v="3"/>
    <x v="1"/>
    <n v="0.2"/>
    <n v="0.18179999999999999"/>
    <n v="0.86"/>
    <n v="0.32840000000000003"/>
    <x v="3"/>
    <x v="35"/>
    <n v="3"/>
  </r>
  <r>
    <n v="398"/>
    <x v="17"/>
    <x v="13"/>
    <s v="Spring"/>
    <s v="No"/>
    <x v="3"/>
    <x v="1"/>
    <n v="0.2"/>
    <n v="0.19700000000000001"/>
    <n v="0.86"/>
    <n v="0.22389999999999999"/>
    <x v="3"/>
    <x v="97"/>
    <n v="22"/>
  </r>
  <r>
    <n v="399"/>
    <x v="17"/>
    <x v="14"/>
    <s v="Spring"/>
    <s v="No"/>
    <x v="3"/>
    <x v="1"/>
    <n v="0.22"/>
    <n v="0.2273"/>
    <n v="0.8"/>
    <n v="0.16420000000000001"/>
    <x v="4"/>
    <x v="16"/>
    <n v="28"/>
  </r>
  <r>
    <n v="400"/>
    <x v="17"/>
    <x v="15"/>
    <s v="Spring"/>
    <s v="No"/>
    <x v="3"/>
    <x v="1"/>
    <n v="0.22"/>
    <n v="0.2273"/>
    <n v="0.87"/>
    <n v="0.16420000000000001"/>
    <x v="0"/>
    <x v="1"/>
    <n v="35"/>
  </r>
  <r>
    <n v="401"/>
    <x v="17"/>
    <x v="16"/>
    <s v="Spring"/>
    <s v="No"/>
    <x v="3"/>
    <x v="1"/>
    <n v="0.22"/>
    <n v="0.2273"/>
    <n v="0.87"/>
    <n v="0.19400000000000001"/>
    <x v="3"/>
    <x v="124"/>
    <n v="61"/>
  </r>
  <r>
    <n v="402"/>
    <x v="17"/>
    <x v="17"/>
    <s v="Spring"/>
    <s v="No"/>
    <x v="3"/>
    <x v="1"/>
    <n v="0.22"/>
    <n v="0.2273"/>
    <n v="0.82"/>
    <n v="0.19400000000000001"/>
    <x v="5"/>
    <x v="125"/>
    <n v="125"/>
  </r>
  <r>
    <n v="403"/>
    <x v="17"/>
    <x v="18"/>
    <s v="Spring"/>
    <s v="No"/>
    <x v="3"/>
    <x v="1"/>
    <n v="0.22"/>
    <n v="0.2273"/>
    <n v="0.8"/>
    <n v="0.16420000000000001"/>
    <x v="5"/>
    <x v="126"/>
    <n v="133"/>
  </r>
  <r>
    <n v="404"/>
    <x v="17"/>
    <x v="19"/>
    <s v="Spring"/>
    <s v="No"/>
    <x v="3"/>
    <x v="1"/>
    <n v="0.22"/>
    <n v="0.2273"/>
    <n v="0.8"/>
    <n v="0.1343"/>
    <x v="5"/>
    <x v="52"/>
    <n v="99"/>
  </r>
  <r>
    <n v="405"/>
    <x v="17"/>
    <x v="20"/>
    <s v="Spring"/>
    <s v="No"/>
    <x v="3"/>
    <x v="1"/>
    <n v="0.22"/>
    <n v="0.2727"/>
    <n v="0.87"/>
    <n v="0"/>
    <x v="3"/>
    <x v="93"/>
    <n v="83"/>
  </r>
  <r>
    <n v="406"/>
    <x v="17"/>
    <x v="21"/>
    <s v="Spring"/>
    <s v="No"/>
    <x v="3"/>
    <x v="1"/>
    <n v="0.22"/>
    <n v="0.2424"/>
    <n v="0.93"/>
    <n v="0.1045"/>
    <x v="3"/>
    <x v="40"/>
    <n v="41"/>
  </r>
  <r>
    <n v="407"/>
    <x v="17"/>
    <x v="22"/>
    <s v="Spring"/>
    <s v="No"/>
    <x v="3"/>
    <x v="1"/>
    <n v="0.22"/>
    <n v="0.2576"/>
    <n v="0.93"/>
    <n v="8.9599999999999999E-2"/>
    <x v="3"/>
    <x v="39"/>
    <n v="33"/>
  </r>
  <r>
    <n v="408"/>
    <x v="17"/>
    <x v="23"/>
    <s v="Spring"/>
    <s v="No"/>
    <x v="3"/>
    <x v="1"/>
    <n v="0.22"/>
    <n v="0.2727"/>
    <n v="0.93"/>
    <n v="0"/>
    <x v="5"/>
    <x v="23"/>
    <n v="20"/>
  </r>
  <r>
    <n v="409"/>
    <x v="18"/>
    <x v="0"/>
    <s v="Spring"/>
    <s v="No"/>
    <x v="4"/>
    <x v="1"/>
    <n v="0.22"/>
    <n v="0.2727"/>
    <n v="0.93"/>
    <n v="0"/>
    <x v="3"/>
    <x v="35"/>
    <n v="3"/>
  </r>
  <r>
    <n v="410"/>
    <x v="18"/>
    <x v="1"/>
    <s v="Spring"/>
    <s v="No"/>
    <x v="4"/>
    <x v="2"/>
    <n v="0.22"/>
    <n v="0.2273"/>
    <n v="0.93"/>
    <n v="0.1343"/>
    <x v="5"/>
    <x v="8"/>
    <n v="7"/>
  </r>
  <r>
    <n v="411"/>
    <x v="18"/>
    <x v="2"/>
    <s v="Spring"/>
    <s v="No"/>
    <x v="4"/>
    <x v="2"/>
    <n v="0.22"/>
    <n v="0.2273"/>
    <n v="0.93"/>
    <n v="0.1343"/>
    <x v="3"/>
    <x v="35"/>
    <n v="3"/>
  </r>
  <r>
    <n v="412"/>
    <x v="18"/>
    <x v="4"/>
    <s v="Spring"/>
    <s v="No"/>
    <x v="4"/>
    <x v="2"/>
    <n v="0.22"/>
    <n v="0.2273"/>
    <n v="0.93"/>
    <n v="0.1343"/>
    <x v="5"/>
    <x v="4"/>
    <n v="2"/>
  </r>
  <r>
    <n v="413"/>
    <x v="18"/>
    <x v="5"/>
    <s v="Spring"/>
    <s v="No"/>
    <x v="4"/>
    <x v="1"/>
    <n v="0.22"/>
    <n v="0.2576"/>
    <n v="0.93"/>
    <n v="8.9599999999999999E-2"/>
    <x v="3"/>
    <x v="7"/>
    <n v="7"/>
  </r>
  <r>
    <n v="414"/>
    <x v="18"/>
    <x v="6"/>
    <s v="Spring"/>
    <s v="No"/>
    <x v="4"/>
    <x v="1"/>
    <n v="0.22"/>
    <n v="0.2576"/>
    <n v="0.93"/>
    <n v="8.9599999999999999E-2"/>
    <x v="3"/>
    <x v="1"/>
    <n v="32"/>
  </r>
  <r>
    <n v="415"/>
    <x v="18"/>
    <x v="7"/>
    <s v="Spring"/>
    <s v="No"/>
    <x v="4"/>
    <x v="1"/>
    <n v="0.24"/>
    <n v="0.2576"/>
    <n v="0.92"/>
    <n v="0.1045"/>
    <x v="5"/>
    <x v="121"/>
    <n v="90"/>
  </r>
  <r>
    <n v="416"/>
    <x v="18"/>
    <x v="8"/>
    <s v="Spring"/>
    <s v="No"/>
    <x v="4"/>
    <x v="1"/>
    <n v="0.24"/>
    <n v="0.2576"/>
    <n v="0.93"/>
    <n v="0.1045"/>
    <x v="5"/>
    <x v="127"/>
    <n v="197"/>
  </r>
  <r>
    <n v="417"/>
    <x v="18"/>
    <x v="9"/>
    <s v="Spring"/>
    <s v="No"/>
    <x v="4"/>
    <x v="1"/>
    <n v="0.24"/>
    <n v="0.2576"/>
    <n v="0.93"/>
    <n v="0.1045"/>
    <x v="4"/>
    <x v="128"/>
    <n v="109"/>
  </r>
  <r>
    <n v="418"/>
    <x v="18"/>
    <x v="10"/>
    <s v="Spring"/>
    <s v="No"/>
    <x v="4"/>
    <x v="1"/>
    <n v="0.26"/>
    <n v="0.2727"/>
    <n v="0.93"/>
    <n v="0.1343"/>
    <x v="5"/>
    <x v="24"/>
    <n v="47"/>
  </r>
  <r>
    <n v="419"/>
    <x v="18"/>
    <x v="11"/>
    <s v="Spring"/>
    <s v="No"/>
    <x v="4"/>
    <x v="1"/>
    <n v="0.28000000000000003"/>
    <n v="0.30299999999999999"/>
    <n v="0.87"/>
    <n v="8.9599999999999999E-2"/>
    <x v="2"/>
    <x v="12"/>
    <n v="52"/>
  </r>
  <r>
    <n v="420"/>
    <x v="18"/>
    <x v="12"/>
    <s v="Spring"/>
    <s v="No"/>
    <x v="4"/>
    <x v="1"/>
    <n v="0.3"/>
    <n v="0.31819999999999998"/>
    <n v="0.81"/>
    <n v="8.9599999999999999E-2"/>
    <x v="2"/>
    <x v="65"/>
    <n v="70"/>
  </r>
  <r>
    <n v="421"/>
    <x v="18"/>
    <x v="13"/>
    <s v="Spring"/>
    <s v="No"/>
    <x v="4"/>
    <x v="0"/>
    <n v="0.4"/>
    <n v="0.40910000000000002"/>
    <n v="0.62"/>
    <n v="0.28360000000000002"/>
    <x v="16"/>
    <x v="28"/>
    <n v="78"/>
  </r>
  <r>
    <n v="422"/>
    <x v="18"/>
    <x v="14"/>
    <s v="Spring"/>
    <s v="No"/>
    <x v="4"/>
    <x v="0"/>
    <n v="0.4"/>
    <n v="0.40910000000000002"/>
    <n v="0.57999999999999996"/>
    <n v="0.25369999999999998"/>
    <x v="18"/>
    <x v="56"/>
    <n v="75"/>
  </r>
  <r>
    <n v="423"/>
    <x v="18"/>
    <x v="15"/>
    <s v="Spring"/>
    <s v="No"/>
    <x v="4"/>
    <x v="0"/>
    <n v="0.4"/>
    <n v="0.40910000000000002"/>
    <n v="0.54"/>
    <n v="0.28360000000000002"/>
    <x v="17"/>
    <x v="78"/>
    <n v="82"/>
  </r>
  <r>
    <n v="424"/>
    <x v="18"/>
    <x v="16"/>
    <s v="Spring"/>
    <s v="No"/>
    <x v="4"/>
    <x v="0"/>
    <n v="0.38"/>
    <n v="0.39389999999999997"/>
    <n v="0.57999999999999996"/>
    <n v="0.3881"/>
    <x v="22"/>
    <x v="111"/>
    <n v="104"/>
  </r>
  <r>
    <n v="425"/>
    <x v="18"/>
    <x v="17"/>
    <s v="Spring"/>
    <s v="No"/>
    <x v="4"/>
    <x v="0"/>
    <n v="0.36"/>
    <n v="0.33329999999999999"/>
    <n v="0.56999999999999995"/>
    <n v="0.32840000000000003"/>
    <x v="18"/>
    <x v="84"/>
    <n v="197"/>
  </r>
  <r>
    <n v="426"/>
    <x v="18"/>
    <x v="18"/>
    <s v="Spring"/>
    <s v="No"/>
    <x v="4"/>
    <x v="0"/>
    <n v="0.34"/>
    <n v="0.31819999999999998"/>
    <n v="0.61"/>
    <n v="0.28360000000000002"/>
    <x v="2"/>
    <x v="117"/>
    <n v="161"/>
  </r>
  <r>
    <n v="427"/>
    <x v="18"/>
    <x v="19"/>
    <s v="Spring"/>
    <s v="No"/>
    <x v="4"/>
    <x v="0"/>
    <n v="0.32"/>
    <n v="0.28789999999999999"/>
    <n v="0.56999999999999995"/>
    <n v="0.41789999999999999"/>
    <x v="17"/>
    <x v="123"/>
    <n v="112"/>
  </r>
  <r>
    <n v="428"/>
    <x v="18"/>
    <x v="20"/>
    <s v="Spring"/>
    <s v="No"/>
    <x v="4"/>
    <x v="0"/>
    <n v="0.32"/>
    <n v="0.30299999999999999"/>
    <n v="0.49"/>
    <n v="0.29849999999999999"/>
    <x v="4"/>
    <x v="64"/>
    <n v="76"/>
  </r>
  <r>
    <n v="429"/>
    <x v="18"/>
    <x v="21"/>
    <s v="Spring"/>
    <s v="No"/>
    <x v="4"/>
    <x v="0"/>
    <n v="0.32"/>
    <n v="0.28789999999999999"/>
    <n v="0.49"/>
    <n v="0.41789999999999999"/>
    <x v="17"/>
    <x v="11"/>
    <n v="59"/>
  </r>
  <r>
    <n v="430"/>
    <x v="18"/>
    <x v="22"/>
    <s v="Spring"/>
    <s v="No"/>
    <x v="4"/>
    <x v="0"/>
    <n v="0.3"/>
    <n v="0.30299999999999999"/>
    <n v="0.52"/>
    <n v="0.16420000000000001"/>
    <x v="15"/>
    <x v="42"/>
    <n v="59"/>
  </r>
  <r>
    <n v="431"/>
    <x v="18"/>
    <x v="23"/>
    <s v="Spring"/>
    <s v="No"/>
    <x v="4"/>
    <x v="0"/>
    <n v="0.3"/>
    <n v="0.2727"/>
    <n v="0.52"/>
    <n v="0.4627"/>
    <x v="5"/>
    <x v="2"/>
    <n v="28"/>
  </r>
  <r>
    <n v="432"/>
    <x v="19"/>
    <x v="0"/>
    <s v="Spring"/>
    <s v="No"/>
    <x v="5"/>
    <x v="0"/>
    <n v="0.26"/>
    <n v="0.2273"/>
    <n v="0.56000000000000005"/>
    <n v="0.3881"/>
    <x v="2"/>
    <x v="21"/>
    <n v="13"/>
  </r>
  <r>
    <n v="433"/>
    <x v="19"/>
    <x v="1"/>
    <s v="Spring"/>
    <s v="No"/>
    <x v="5"/>
    <x v="0"/>
    <n v="0.26"/>
    <n v="0.2727"/>
    <n v="0.56000000000000005"/>
    <n v="0"/>
    <x v="4"/>
    <x v="35"/>
    <n v="5"/>
  </r>
  <r>
    <n v="434"/>
    <x v="19"/>
    <x v="2"/>
    <s v="Spring"/>
    <s v="No"/>
    <x v="5"/>
    <x v="0"/>
    <n v="0.26"/>
    <n v="0.2727"/>
    <n v="0.56000000000000005"/>
    <n v="0"/>
    <x v="3"/>
    <x v="6"/>
    <n v="2"/>
  </r>
  <r>
    <n v="435"/>
    <x v="19"/>
    <x v="3"/>
    <s v="Spring"/>
    <s v="No"/>
    <x v="5"/>
    <x v="0"/>
    <n v="0.26"/>
    <n v="0.2576"/>
    <n v="0.56000000000000005"/>
    <n v="0.16420000000000001"/>
    <x v="3"/>
    <x v="4"/>
    <n v="1"/>
  </r>
  <r>
    <n v="436"/>
    <x v="19"/>
    <x v="4"/>
    <s v="Spring"/>
    <s v="No"/>
    <x v="5"/>
    <x v="0"/>
    <n v="0.26"/>
    <n v="0.2576"/>
    <n v="0.56000000000000005"/>
    <n v="0.16420000000000001"/>
    <x v="3"/>
    <x v="4"/>
    <n v="1"/>
  </r>
  <r>
    <n v="437"/>
    <x v="19"/>
    <x v="5"/>
    <s v="Spring"/>
    <s v="No"/>
    <x v="5"/>
    <x v="0"/>
    <n v="0.24"/>
    <n v="0.2273"/>
    <n v="0.6"/>
    <n v="0.22389999999999999"/>
    <x v="3"/>
    <x v="8"/>
    <n v="6"/>
  </r>
  <r>
    <n v="438"/>
    <x v="19"/>
    <x v="6"/>
    <s v="Spring"/>
    <s v="No"/>
    <x v="5"/>
    <x v="0"/>
    <n v="0.22"/>
    <n v="0.21210000000000001"/>
    <n v="0.6"/>
    <n v="0.22389999999999999"/>
    <x v="3"/>
    <x v="96"/>
    <n v="35"/>
  </r>
  <r>
    <n v="439"/>
    <x v="19"/>
    <x v="7"/>
    <s v="Spring"/>
    <s v="No"/>
    <x v="5"/>
    <x v="0"/>
    <n v="0.22"/>
    <n v="0.21210000000000001"/>
    <n v="0.55000000000000004"/>
    <n v="0.22389999999999999"/>
    <x v="5"/>
    <x v="129"/>
    <n v="101"/>
  </r>
  <r>
    <n v="440"/>
    <x v="19"/>
    <x v="8"/>
    <s v="Spring"/>
    <s v="No"/>
    <x v="5"/>
    <x v="0"/>
    <n v="0.22"/>
    <n v="0.21210000000000001"/>
    <n v="0.55000000000000004"/>
    <n v="0.28360000000000002"/>
    <x v="4"/>
    <x v="130"/>
    <n v="249"/>
  </r>
  <r>
    <n v="441"/>
    <x v="19"/>
    <x v="9"/>
    <s v="Spring"/>
    <s v="No"/>
    <x v="5"/>
    <x v="1"/>
    <n v="0.24"/>
    <n v="0.2273"/>
    <n v="0.52"/>
    <n v="0.22389999999999999"/>
    <x v="0"/>
    <x v="131"/>
    <n v="143"/>
  </r>
  <r>
    <n v="442"/>
    <x v="19"/>
    <x v="10"/>
    <s v="Spring"/>
    <s v="No"/>
    <x v="5"/>
    <x v="0"/>
    <n v="0.26"/>
    <n v="0.2273"/>
    <n v="0.48"/>
    <n v="0.29849999999999999"/>
    <x v="5"/>
    <x v="90"/>
    <n v="57"/>
  </r>
  <r>
    <n v="443"/>
    <x v="19"/>
    <x v="11"/>
    <s v="Spring"/>
    <s v="No"/>
    <x v="5"/>
    <x v="1"/>
    <n v="0.28000000000000003"/>
    <n v="0.2727"/>
    <n v="0.45"/>
    <n v="0.16420000000000001"/>
    <x v="2"/>
    <x v="36"/>
    <n v="68"/>
  </r>
  <r>
    <n v="444"/>
    <x v="19"/>
    <x v="12"/>
    <s v="Spring"/>
    <s v="No"/>
    <x v="5"/>
    <x v="1"/>
    <n v="0.3"/>
    <n v="0.33329999999999999"/>
    <n v="0.42"/>
    <n v="0"/>
    <x v="18"/>
    <x v="99"/>
    <n v="84"/>
  </r>
  <r>
    <n v="445"/>
    <x v="19"/>
    <x v="13"/>
    <s v="Spring"/>
    <s v="No"/>
    <x v="5"/>
    <x v="1"/>
    <n v="0.28000000000000003"/>
    <n v="0.28789999999999999"/>
    <n v="0.45"/>
    <n v="0.1045"/>
    <x v="6"/>
    <x v="132"/>
    <n v="98"/>
  </r>
  <r>
    <n v="446"/>
    <x v="19"/>
    <x v="14"/>
    <s v="Spring"/>
    <s v="No"/>
    <x v="5"/>
    <x v="1"/>
    <n v="0.3"/>
    <n v="0.30299999999999999"/>
    <n v="0.45"/>
    <n v="0.1343"/>
    <x v="15"/>
    <x v="102"/>
    <n v="81"/>
  </r>
  <r>
    <n v="447"/>
    <x v="19"/>
    <x v="15"/>
    <s v="Spring"/>
    <s v="No"/>
    <x v="5"/>
    <x v="1"/>
    <n v="0.32"/>
    <n v="0.31819999999999998"/>
    <n v="0.45"/>
    <n v="0.19400000000000001"/>
    <x v="1"/>
    <x v="133"/>
    <n v="70"/>
  </r>
  <r>
    <n v="448"/>
    <x v="19"/>
    <x v="16"/>
    <s v="Spring"/>
    <s v="No"/>
    <x v="5"/>
    <x v="1"/>
    <n v="0.3"/>
    <n v="0.30299999999999999"/>
    <n v="0.49"/>
    <n v="0.1343"/>
    <x v="1"/>
    <x v="93"/>
    <n v="91"/>
  </r>
  <r>
    <n v="449"/>
    <x v="19"/>
    <x v="17"/>
    <s v="Spring"/>
    <s v="No"/>
    <x v="5"/>
    <x v="1"/>
    <n v="0.3"/>
    <n v="0.31819999999999998"/>
    <n v="0.49"/>
    <n v="0.1045"/>
    <x v="1"/>
    <x v="134"/>
    <n v="215"/>
  </r>
  <r>
    <n v="450"/>
    <x v="19"/>
    <x v="18"/>
    <s v="Spring"/>
    <s v="No"/>
    <x v="5"/>
    <x v="1"/>
    <n v="0.26"/>
    <n v="0.2576"/>
    <n v="0.56000000000000005"/>
    <n v="0.19400000000000001"/>
    <x v="5"/>
    <x v="103"/>
    <n v="185"/>
  </r>
  <r>
    <n v="451"/>
    <x v="19"/>
    <x v="19"/>
    <s v="Spring"/>
    <s v="No"/>
    <x v="5"/>
    <x v="0"/>
    <n v="0.26"/>
    <n v="0.2273"/>
    <n v="0.56000000000000005"/>
    <n v="0.32840000000000003"/>
    <x v="15"/>
    <x v="44"/>
    <n v="152"/>
  </r>
  <r>
    <n v="452"/>
    <x v="19"/>
    <x v="20"/>
    <s v="Spring"/>
    <s v="No"/>
    <x v="5"/>
    <x v="1"/>
    <n v="0.26"/>
    <n v="0.2424"/>
    <n v="0.6"/>
    <n v="0.28360000000000002"/>
    <x v="4"/>
    <x v="125"/>
    <n v="126"/>
  </r>
  <r>
    <n v="453"/>
    <x v="19"/>
    <x v="21"/>
    <s v="Spring"/>
    <s v="No"/>
    <x v="5"/>
    <x v="1"/>
    <n v="0.24"/>
    <n v="0.2273"/>
    <n v="0.6"/>
    <n v="0.25369999999999998"/>
    <x v="0"/>
    <x v="25"/>
    <n v="57"/>
  </r>
  <r>
    <n v="454"/>
    <x v="19"/>
    <x v="22"/>
    <s v="Spring"/>
    <s v="No"/>
    <x v="5"/>
    <x v="1"/>
    <n v="0.24"/>
    <n v="0.21210000000000001"/>
    <n v="0.65"/>
    <n v="0.28360000000000002"/>
    <x v="3"/>
    <x v="90"/>
    <n v="56"/>
  </r>
  <r>
    <n v="455"/>
    <x v="19"/>
    <x v="23"/>
    <s v="Spring"/>
    <s v="No"/>
    <x v="5"/>
    <x v="1"/>
    <n v="0.24"/>
    <n v="0.21210000000000001"/>
    <n v="0.65"/>
    <n v="0.32840000000000003"/>
    <x v="0"/>
    <x v="95"/>
    <n v="31"/>
  </r>
  <r>
    <n v="456"/>
    <x v="20"/>
    <x v="0"/>
    <s v="Spring"/>
    <s v="No"/>
    <x v="6"/>
    <x v="1"/>
    <n v="0.24"/>
    <n v="0.2273"/>
    <n v="0.7"/>
    <n v="0.25369999999999998"/>
    <x v="5"/>
    <x v="32"/>
    <n v="21"/>
  </r>
  <r>
    <n v="457"/>
    <x v="20"/>
    <x v="1"/>
    <s v="Spring"/>
    <s v="No"/>
    <x v="6"/>
    <x v="1"/>
    <n v="0.24"/>
    <n v="0.2273"/>
    <n v="0.7"/>
    <n v="0.25369999999999998"/>
    <x v="3"/>
    <x v="8"/>
    <n v="6"/>
  </r>
  <r>
    <n v="458"/>
    <x v="20"/>
    <x v="2"/>
    <s v="Spring"/>
    <s v="No"/>
    <x v="6"/>
    <x v="2"/>
    <n v="0.24"/>
    <n v="0.2424"/>
    <n v="0.75"/>
    <n v="0.16420000000000001"/>
    <x v="3"/>
    <x v="6"/>
    <n v="2"/>
  </r>
  <r>
    <n v="459"/>
    <x v="20"/>
    <x v="3"/>
    <s v="Spring"/>
    <s v="No"/>
    <x v="6"/>
    <x v="2"/>
    <n v="0.22"/>
    <n v="0.21210000000000001"/>
    <n v="0.8"/>
    <n v="0.29849999999999999"/>
    <x v="3"/>
    <x v="4"/>
    <n v="1"/>
  </r>
  <r>
    <n v="460"/>
    <x v="20"/>
    <x v="4"/>
    <s v="Spring"/>
    <s v="No"/>
    <x v="6"/>
    <x v="1"/>
    <n v="0.22"/>
    <n v="0.2576"/>
    <n v="0.87"/>
    <n v="8.9599999999999999E-2"/>
    <x v="3"/>
    <x v="4"/>
    <n v="1"/>
  </r>
  <r>
    <n v="461"/>
    <x v="20"/>
    <x v="5"/>
    <s v="Spring"/>
    <s v="No"/>
    <x v="6"/>
    <x v="0"/>
    <n v="0.24"/>
    <n v="0.19700000000000001"/>
    <n v="0.6"/>
    <n v="0.41789999999999999"/>
    <x v="5"/>
    <x v="22"/>
    <n v="5"/>
  </r>
  <r>
    <n v="462"/>
    <x v="20"/>
    <x v="6"/>
    <s v="Spring"/>
    <s v="No"/>
    <x v="6"/>
    <x v="0"/>
    <n v="0.22"/>
    <n v="0.21210000000000001"/>
    <n v="0.55000000000000004"/>
    <n v="0.25369999999999998"/>
    <x v="3"/>
    <x v="2"/>
    <n v="27"/>
  </r>
  <r>
    <n v="463"/>
    <x v="20"/>
    <x v="7"/>
    <s v="Spring"/>
    <s v="No"/>
    <x v="6"/>
    <x v="0"/>
    <n v="0.2"/>
    <n v="0.18179999999999999"/>
    <n v="0.51"/>
    <n v="0.28360000000000002"/>
    <x v="4"/>
    <x v="43"/>
    <n v="68"/>
  </r>
  <r>
    <n v="464"/>
    <x v="20"/>
    <x v="8"/>
    <s v="Spring"/>
    <s v="No"/>
    <x v="6"/>
    <x v="0"/>
    <n v="0.2"/>
    <n v="0.18179999999999999"/>
    <n v="0.47"/>
    <n v="0.32840000000000003"/>
    <x v="18"/>
    <x v="135"/>
    <n v="217"/>
  </r>
  <r>
    <n v="465"/>
    <x v="20"/>
    <x v="9"/>
    <s v="Spring"/>
    <s v="No"/>
    <x v="6"/>
    <x v="0"/>
    <n v="0.2"/>
    <n v="0.18179999999999999"/>
    <n v="0.51"/>
    <n v="0.35820000000000002"/>
    <x v="18"/>
    <x v="136"/>
    <n v="166"/>
  </r>
  <r>
    <n v="466"/>
    <x v="20"/>
    <x v="10"/>
    <s v="Spring"/>
    <s v="No"/>
    <x v="6"/>
    <x v="0"/>
    <n v="0.2"/>
    <n v="0.16669999999999999"/>
    <n v="0.47"/>
    <n v="0.4627"/>
    <x v="15"/>
    <x v="77"/>
    <n v="63"/>
  </r>
  <r>
    <n v="467"/>
    <x v="20"/>
    <x v="11"/>
    <s v="Spring"/>
    <s v="No"/>
    <x v="6"/>
    <x v="0"/>
    <n v="0.22"/>
    <n v="0.18179999999999999"/>
    <n v="0.41"/>
    <n v="0.4627"/>
    <x v="15"/>
    <x v="42"/>
    <n v="59"/>
  </r>
  <r>
    <n v="468"/>
    <x v="20"/>
    <x v="12"/>
    <s v="Spring"/>
    <s v="No"/>
    <x v="6"/>
    <x v="0"/>
    <n v="0.22"/>
    <n v="0.18179999999999999"/>
    <n v="0.27"/>
    <n v="0.58209999999999995"/>
    <x v="16"/>
    <x v="28"/>
    <n v="78"/>
  </r>
  <r>
    <n v="469"/>
    <x v="20"/>
    <x v="13"/>
    <s v="Spring"/>
    <s v="No"/>
    <x v="6"/>
    <x v="0"/>
    <n v="0.2"/>
    <n v="0.1515"/>
    <n v="0.21"/>
    <n v="0.58209999999999995"/>
    <x v="1"/>
    <x v="65"/>
    <n v="73"/>
  </r>
  <r>
    <n v="470"/>
    <x v="20"/>
    <x v="14"/>
    <s v="Spring"/>
    <s v="No"/>
    <x v="6"/>
    <x v="0"/>
    <n v="0.2"/>
    <n v="0.1515"/>
    <n v="0.25"/>
    <n v="0.52239999999999998"/>
    <x v="15"/>
    <x v="90"/>
    <n v="62"/>
  </r>
  <r>
    <n v="471"/>
    <x v="20"/>
    <x v="15"/>
    <s v="Spring"/>
    <s v="No"/>
    <x v="6"/>
    <x v="0"/>
    <n v="0.16"/>
    <n v="0.1212"/>
    <n v="0.26"/>
    <n v="0.44779999999999998"/>
    <x v="17"/>
    <x v="124"/>
    <n v="65"/>
  </r>
  <r>
    <n v="472"/>
    <x v="20"/>
    <x v="16"/>
    <s v="Spring"/>
    <s v="No"/>
    <x v="6"/>
    <x v="0"/>
    <n v="0.16"/>
    <n v="0.13639999999999999"/>
    <n v="0.26"/>
    <n v="0.35820000000000002"/>
    <x v="3"/>
    <x v="106"/>
    <n v="97"/>
  </r>
  <r>
    <n v="473"/>
    <x v="20"/>
    <x v="17"/>
    <s v="Spring"/>
    <s v="No"/>
    <x v="6"/>
    <x v="0"/>
    <n v="0.14000000000000001"/>
    <n v="0.1212"/>
    <n v="0.28000000000000003"/>
    <n v="0.35820000000000002"/>
    <x v="22"/>
    <x v="137"/>
    <n v="161"/>
  </r>
  <r>
    <n v="474"/>
    <x v="20"/>
    <x v="18"/>
    <s v="Spring"/>
    <s v="No"/>
    <x v="6"/>
    <x v="0"/>
    <n v="0.12"/>
    <n v="0.1212"/>
    <n v="0.3"/>
    <n v="0.25369999999999998"/>
    <x v="5"/>
    <x v="138"/>
    <n v="120"/>
  </r>
  <r>
    <n v="475"/>
    <x v="20"/>
    <x v="19"/>
    <s v="Spring"/>
    <s v="No"/>
    <x v="6"/>
    <x v="0"/>
    <n v="0.12"/>
    <n v="0.1061"/>
    <n v="0.3"/>
    <n v="0.32840000000000003"/>
    <x v="0"/>
    <x v="139"/>
    <n v="96"/>
  </r>
  <r>
    <n v="476"/>
    <x v="20"/>
    <x v="20"/>
    <s v="Spring"/>
    <s v="No"/>
    <x v="6"/>
    <x v="0"/>
    <n v="0.1"/>
    <n v="7.5800000000000006E-2"/>
    <n v="0.33"/>
    <n v="0.41789999999999999"/>
    <x v="5"/>
    <x v="15"/>
    <n v="53"/>
  </r>
  <r>
    <n v="477"/>
    <x v="20"/>
    <x v="21"/>
    <s v="Spring"/>
    <s v="No"/>
    <x v="6"/>
    <x v="0"/>
    <n v="0.08"/>
    <n v="7.5800000000000006E-2"/>
    <n v="0.38"/>
    <n v="0.28360000000000002"/>
    <x v="3"/>
    <x v="40"/>
    <n v="41"/>
  </r>
  <r>
    <n v="478"/>
    <x v="20"/>
    <x v="22"/>
    <s v="Spring"/>
    <s v="No"/>
    <x v="6"/>
    <x v="0"/>
    <n v="0.06"/>
    <n v="3.0300000000000001E-2"/>
    <n v="0.41"/>
    <n v="0.3881"/>
    <x v="5"/>
    <x v="39"/>
    <n v="34"/>
  </r>
  <r>
    <n v="479"/>
    <x v="20"/>
    <x v="23"/>
    <s v="Spring"/>
    <s v="No"/>
    <x v="6"/>
    <x v="0"/>
    <n v="0.06"/>
    <n v="4.5499999999999999E-2"/>
    <n v="0.38"/>
    <n v="0.32840000000000003"/>
    <x v="3"/>
    <x v="2"/>
    <n v="27"/>
  </r>
  <r>
    <n v="480"/>
    <x v="21"/>
    <x v="0"/>
    <s v="Spring"/>
    <s v="No"/>
    <x v="0"/>
    <x v="0"/>
    <n v="0.04"/>
    <n v="3.0300000000000001E-2"/>
    <n v="0.45"/>
    <n v="0.25369999999999998"/>
    <x v="3"/>
    <x v="0"/>
    <n v="13"/>
  </r>
  <r>
    <n v="481"/>
    <x v="21"/>
    <x v="1"/>
    <s v="Spring"/>
    <s v="No"/>
    <x v="0"/>
    <x v="1"/>
    <n v="0.04"/>
    <n v="0"/>
    <n v="0.41"/>
    <n v="0.3881"/>
    <x v="0"/>
    <x v="33"/>
    <n v="12"/>
  </r>
  <r>
    <n v="482"/>
    <x v="21"/>
    <x v="2"/>
    <s v="Spring"/>
    <s v="No"/>
    <x v="0"/>
    <x v="1"/>
    <n v="0.04"/>
    <n v="3.0300000000000001E-2"/>
    <n v="0.41"/>
    <n v="0.25369999999999998"/>
    <x v="3"/>
    <x v="48"/>
    <n v="11"/>
  </r>
  <r>
    <n v="483"/>
    <x v="21"/>
    <x v="3"/>
    <s v="Spring"/>
    <s v="No"/>
    <x v="0"/>
    <x v="1"/>
    <n v="0.04"/>
    <n v="3.0300000000000001E-2"/>
    <n v="0.41"/>
    <n v="0.28360000000000002"/>
    <x v="5"/>
    <x v="8"/>
    <n v="7"/>
  </r>
  <r>
    <n v="484"/>
    <x v="21"/>
    <x v="4"/>
    <s v="Spring"/>
    <s v="No"/>
    <x v="0"/>
    <x v="1"/>
    <n v="0.02"/>
    <n v="1.52E-2"/>
    <n v="0.48"/>
    <n v="0.29849999999999999"/>
    <x v="3"/>
    <x v="35"/>
    <n v="3"/>
  </r>
  <r>
    <n v="485"/>
    <x v="21"/>
    <x v="6"/>
    <s v="Spring"/>
    <s v="No"/>
    <x v="0"/>
    <x v="1"/>
    <n v="0.02"/>
    <n v="3.0300000000000001E-2"/>
    <n v="0.44"/>
    <n v="0.22389999999999999"/>
    <x v="3"/>
    <x v="6"/>
    <n v="2"/>
  </r>
  <r>
    <n v="486"/>
    <x v="21"/>
    <x v="7"/>
    <s v="Spring"/>
    <s v="No"/>
    <x v="0"/>
    <x v="0"/>
    <n v="0.02"/>
    <n v="1.52E-2"/>
    <n v="0.44"/>
    <n v="0.28360000000000002"/>
    <x v="3"/>
    <x v="21"/>
    <n v="8"/>
  </r>
  <r>
    <n v="487"/>
    <x v="21"/>
    <x v="8"/>
    <s v="Spring"/>
    <s v="No"/>
    <x v="0"/>
    <x v="0"/>
    <n v="0.02"/>
    <n v="0"/>
    <n v="0.44"/>
    <n v="0.32840000000000003"/>
    <x v="5"/>
    <x v="16"/>
    <n v="27"/>
  </r>
  <r>
    <n v="488"/>
    <x v="21"/>
    <x v="9"/>
    <s v="Spring"/>
    <s v="No"/>
    <x v="0"/>
    <x v="0"/>
    <n v="0.04"/>
    <n v="3.0300000000000001E-2"/>
    <n v="0.41"/>
    <n v="0.25369999999999998"/>
    <x v="0"/>
    <x v="53"/>
    <n v="40"/>
  </r>
  <r>
    <n v="489"/>
    <x v="21"/>
    <x v="10"/>
    <s v="Spring"/>
    <s v="No"/>
    <x v="0"/>
    <x v="1"/>
    <n v="0.04"/>
    <n v="6.0600000000000001E-2"/>
    <n v="0.41"/>
    <n v="0.16420000000000001"/>
    <x v="0"/>
    <x v="54"/>
    <n v="53"/>
  </r>
  <r>
    <n v="490"/>
    <x v="21"/>
    <x v="11"/>
    <s v="Spring"/>
    <s v="No"/>
    <x v="0"/>
    <x v="1"/>
    <n v="0.06"/>
    <n v="7.5800000000000006E-2"/>
    <n v="0.38"/>
    <n v="0.1343"/>
    <x v="17"/>
    <x v="79"/>
    <n v="63"/>
  </r>
  <r>
    <n v="491"/>
    <x v="21"/>
    <x v="12"/>
    <s v="Spring"/>
    <s v="No"/>
    <x v="0"/>
    <x v="1"/>
    <n v="0.06"/>
    <n v="0.1061"/>
    <n v="0.38"/>
    <n v="0.1045"/>
    <x v="22"/>
    <x v="91"/>
    <n v="70"/>
  </r>
  <r>
    <n v="492"/>
    <x v="21"/>
    <x v="13"/>
    <s v="Spring"/>
    <s v="No"/>
    <x v="0"/>
    <x v="0"/>
    <n v="0.08"/>
    <n v="0.16669999999999999"/>
    <n v="0.35"/>
    <n v="0"/>
    <x v="6"/>
    <x v="109"/>
    <n v="84"/>
  </r>
  <r>
    <n v="493"/>
    <x v="21"/>
    <x v="14"/>
    <s v="Spring"/>
    <s v="No"/>
    <x v="0"/>
    <x v="0"/>
    <n v="0.1"/>
    <n v="0.13639999999999999"/>
    <n v="0.33"/>
    <n v="0.1045"/>
    <x v="16"/>
    <x v="27"/>
    <n v="75"/>
  </r>
  <r>
    <n v="494"/>
    <x v="21"/>
    <x v="15"/>
    <s v="Spring"/>
    <s v="No"/>
    <x v="0"/>
    <x v="0"/>
    <n v="0.12"/>
    <n v="0.1515"/>
    <n v="0.28000000000000003"/>
    <n v="0"/>
    <x v="22"/>
    <x v="139"/>
    <n v="103"/>
  </r>
  <r>
    <n v="495"/>
    <x v="21"/>
    <x v="16"/>
    <s v="Spring"/>
    <s v="No"/>
    <x v="0"/>
    <x v="0"/>
    <n v="0.12"/>
    <n v="0.13639999999999999"/>
    <n v="0.28000000000000003"/>
    <n v="0.19400000000000001"/>
    <x v="16"/>
    <x v="109"/>
    <n v="83"/>
  </r>
  <r>
    <n v="496"/>
    <x v="21"/>
    <x v="17"/>
    <s v="Spring"/>
    <s v="No"/>
    <x v="0"/>
    <x v="0"/>
    <n v="0.12"/>
    <n v="0.19700000000000001"/>
    <n v="0.28000000000000003"/>
    <n v="0"/>
    <x v="1"/>
    <x v="79"/>
    <n v="67"/>
  </r>
  <r>
    <n v="497"/>
    <x v="21"/>
    <x v="18"/>
    <s v="Spring"/>
    <s v="No"/>
    <x v="0"/>
    <x v="0"/>
    <n v="0.08"/>
    <n v="9.0899999999999995E-2"/>
    <n v="0.35"/>
    <n v="0.19400000000000001"/>
    <x v="3"/>
    <x v="25"/>
    <n v="54"/>
  </r>
  <r>
    <n v="498"/>
    <x v="21"/>
    <x v="19"/>
    <s v="Spring"/>
    <s v="No"/>
    <x v="0"/>
    <x v="0"/>
    <n v="0.08"/>
    <n v="0.1061"/>
    <n v="0.35"/>
    <n v="0.1343"/>
    <x v="15"/>
    <x v="42"/>
    <n v="59"/>
  </r>
  <r>
    <n v="499"/>
    <x v="21"/>
    <x v="20"/>
    <s v="Spring"/>
    <s v="No"/>
    <x v="0"/>
    <x v="0"/>
    <n v="0.06"/>
    <n v="7.5800000000000006E-2"/>
    <n v="0.45"/>
    <n v="0.16420000000000001"/>
    <x v="5"/>
    <x v="100"/>
    <n v="45"/>
  </r>
  <r>
    <n v="500"/>
    <x v="21"/>
    <x v="21"/>
    <s v="Spring"/>
    <s v="No"/>
    <x v="0"/>
    <x v="0"/>
    <n v="0.06"/>
    <n v="0.1061"/>
    <n v="0.41"/>
    <n v="8.9599999999999999E-2"/>
    <x v="3"/>
    <x v="87"/>
    <n v="39"/>
  </r>
  <r>
    <n v="501"/>
    <x v="21"/>
    <x v="22"/>
    <s v="Spring"/>
    <s v="No"/>
    <x v="0"/>
    <x v="0"/>
    <n v="0.06"/>
    <n v="0.1515"/>
    <n v="0.49"/>
    <n v="0"/>
    <x v="18"/>
    <x v="140"/>
    <n v="30"/>
  </r>
  <r>
    <n v="502"/>
    <x v="21"/>
    <x v="23"/>
    <s v="Spring"/>
    <s v="No"/>
    <x v="0"/>
    <x v="0"/>
    <n v="0.04"/>
    <n v="7.5800000000000006E-2"/>
    <n v="0.56999999999999995"/>
    <n v="0.1045"/>
    <x v="4"/>
    <x v="17"/>
    <n v="33"/>
  </r>
  <r>
    <n v="503"/>
    <x v="22"/>
    <x v="0"/>
    <s v="Spring"/>
    <s v="No"/>
    <x v="1"/>
    <x v="0"/>
    <n v="0.04"/>
    <n v="7.5800000000000006E-2"/>
    <n v="0.56999999999999995"/>
    <n v="0.1045"/>
    <x v="4"/>
    <x v="32"/>
    <n v="22"/>
  </r>
  <r>
    <n v="504"/>
    <x v="22"/>
    <x v="1"/>
    <s v="Spring"/>
    <s v="No"/>
    <x v="1"/>
    <x v="0"/>
    <n v="0.04"/>
    <n v="7.5800000000000006E-2"/>
    <n v="0.56999999999999995"/>
    <n v="0.1045"/>
    <x v="5"/>
    <x v="98"/>
    <n v="13"/>
  </r>
  <r>
    <n v="505"/>
    <x v="22"/>
    <x v="2"/>
    <s v="Spring"/>
    <s v="No"/>
    <x v="1"/>
    <x v="0"/>
    <n v="0.02"/>
    <n v="6.0600000000000001E-2"/>
    <n v="0.62"/>
    <n v="0.1343"/>
    <x v="0"/>
    <x v="89"/>
    <n v="18"/>
  </r>
  <r>
    <n v="506"/>
    <x v="22"/>
    <x v="3"/>
    <s v="Spring"/>
    <s v="No"/>
    <x v="1"/>
    <x v="0"/>
    <n v="0.02"/>
    <n v="6.0600000000000001E-2"/>
    <n v="0.62"/>
    <n v="0.1343"/>
    <x v="5"/>
    <x v="22"/>
    <n v="5"/>
  </r>
  <r>
    <n v="507"/>
    <x v="22"/>
    <x v="5"/>
    <s v="Spring"/>
    <s v="No"/>
    <x v="1"/>
    <x v="1"/>
    <n v="0.04"/>
    <n v="7.5800000000000006E-2"/>
    <n v="0.56999999999999995"/>
    <n v="0.1045"/>
    <x v="3"/>
    <x v="35"/>
    <n v="3"/>
  </r>
  <r>
    <n v="508"/>
    <x v="22"/>
    <x v="6"/>
    <s v="Spring"/>
    <s v="No"/>
    <x v="1"/>
    <x v="1"/>
    <n v="0.04"/>
    <n v="7.5800000000000006E-2"/>
    <n v="0.56999999999999995"/>
    <n v="0.1045"/>
    <x v="3"/>
    <x v="4"/>
    <n v="1"/>
  </r>
  <r>
    <n v="509"/>
    <x v="22"/>
    <x v="7"/>
    <s v="Spring"/>
    <s v="No"/>
    <x v="1"/>
    <x v="0"/>
    <n v="0.08"/>
    <n v="0.1061"/>
    <n v="0.57999999999999996"/>
    <n v="0.16420000000000001"/>
    <x v="5"/>
    <x v="4"/>
    <n v="2"/>
  </r>
  <r>
    <n v="510"/>
    <x v="22"/>
    <x v="8"/>
    <s v="Spring"/>
    <s v="No"/>
    <x v="1"/>
    <x v="0"/>
    <n v="0.06"/>
    <n v="7.5800000000000006E-2"/>
    <n v="0.62"/>
    <n v="0.16420000000000001"/>
    <x v="4"/>
    <x v="19"/>
    <n v="19"/>
  </r>
  <r>
    <n v="511"/>
    <x v="22"/>
    <x v="9"/>
    <s v="Spring"/>
    <s v="No"/>
    <x v="1"/>
    <x v="0"/>
    <n v="0.1"/>
    <n v="7.5800000000000006E-2"/>
    <n v="0.54"/>
    <n v="0.35820000000000002"/>
    <x v="0"/>
    <x v="18"/>
    <n v="28"/>
  </r>
  <r>
    <n v="512"/>
    <x v="22"/>
    <x v="10"/>
    <s v="Spring"/>
    <s v="No"/>
    <x v="1"/>
    <x v="0"/>
    <n v="0.14000000000000001"/>
    <n v="0.1061"/>
    <n v="0.46"/>
    <n v="0.3881"/>
    <x v="18"/>
    <x v="82"/>
    <n v="58"/>
  </r>
  <r>
    <n v="513"/>
    <x v="22"/>
    <x v="11"/>
    <s v="Spring"/>
    <s v="No"/>
    <x v="1"/>
    <x v="0"/>
    <n v="0.14000000000000001"/>
    <n v="0.13639999999999999"/>
    <n v="0.43"/>
    <n v="0.22389999999999999"/>
    <x v="30"/>
    <x v="99"/>
    <n v="99"/>
  </r>
  <r>
    <n v="514"/>
    <x v="22"/>
    <x v="12"/>
    <s v="Spring"/>
    <s v="No"/>
    <x v="1"/>
    <x v="0"/>
    <n v="0.16"/>
    <n v="0.1212"/>
    <n v="0.37"/>
    <n v="0.4627"/>
    <x v="31"/>
    <x v="50"/>
    <n v="116"/>
  </r>
  <r>
    <n v="515"/>
    <x v="22"/>
    <x v="13"/>
    <s v="Spring"/>
    <s v="No"/>
    <x v="1"/>
    <x v="0"/>
    <n v="0.14000000000000001"/>
    <n v="0.1061"/>
    <n v="0.33"/>
    <n v="0.3881"/>
    <x v="6"/>
    <x v="102"/>
    <n v="87"/>
  </r>
  <r>
    <n v="516"/>
    <x v="22"/>
    <x v="14"/>
    <s v="Spring"/>
    <s v="No"/>
    <x v="1"/>
    <x v="0"/>
    <n v="0.16"/>
    <n v="0.13639999999999999"/>
    <n v="0.28000000000000003"/>
    <n v="0.35820000000000002"/>
    <x v="26"/>
    <x v="139"/>
    <n v="110"/>
  </r>
  <r>
    <n v="517"/>
    <x v="22"/>
    <x v="15"/>
    <s v="Spring"/>
    <s v="No"/>
    <x v="1"/>
    <x v="0"/>
    <n v="0.16"/>
    <n v="0.13639999999999999"/>
    <n v="0.28000000000000003"/>
    <n v="0.35820000000000002"/>
    <x v="23"/>
    <x v="27"/>
    <n v="77"/>
  </r>
  <r>
    <n v="518"/>
    <x v="22"/>
    <x v="16"/>
    <s v="Spring"/>
    <s v="No"/>
    <x v="1"/>
    <x v="0"/>
    <n v="0.16"/>
    <n v="0.13639999999999999"/>
    <n v="0.26"/>
    <n v="0.32840000000000003"/>
    <x v="14"/>
    <x v="90"/>
    <n v="65"/>
  </r>
  <r>
    <n v="519"/>
    <x v="22"/>
    <x v="17"/>
    <s v="Spring"/>
    <s v="No"/>
    <x v="1"/>
    <x v="0"/>
    <n v="0.14000000000000001"/>
    <n v="0.1061"/>
    <n v="0.26"/>
    <n v="0.3881"/>
    <x v="2"/>
    <x v="54"/>
    <n v="55"/>
  </r>
  <r>
    <n v="520"/>
    <x v="22"/>
    <x v="18"/>
    <s v="Spring"/>
    <s v="No"/>
    <x v="1"/>
    <x v="0"/>
    <n v="0.12"/>
    <n v="0.1212"/>
    <n v="0.3"/>
    <n v="0.25369999999999998"/>
    <x v="2"/>
    <x v="100"/>
    <n v="49"/>
  </r>
  <r>
    <n v="521"/>
    <x v="22"/>
    <x v="19"/>
    <s v="Spring"/>
    <s v="No"/>
    <x v="1"/>
    <x v="0"/>
    <n v="0.12"/>
    <n v="0.1212"/>
    <n v="0.3"/>
    <n v="0.28360000000000002"/>
    <x v="2"/>
    <x v="108"/>
    <n v="50"/>
  </r>
  <r>
    <n v="522"/>
    <x v="22"/>
    <x v="20"/>
    <s v="Spring"/>
    <s v="No"/>
    <x v="1"/>
    <x v="0"/>
    <n v="0.1"/>
    <n v="0.1061"/>
    <n v="0.36"/>
    <n v="0.25369999999999998"/>
    <x v="17"/>
    <x v="17"/>
    <n v="35"/>
  </r>
  <r>
    <n v="523"/>
    <x v="22"/>
    <x v="21"/>
    <s v="Spring"/>
    <s v="No"/>
    <x v="1"/>
    <x v="0"/>
    <n v="0.1"/>
    <n v="0.1061"/>
    <n v="0.36"/>
    <n v="0.19400000000000001"/>
    <x v="2"/>
    <x v="32"/>
    <n v="25"/>
  </r>
  <r>
    <n v="524"/>
    <x v="22"/>
    <x v="22"/>
    <s v="Spring"/>
    <s v="No"/>
    <x v="1"/>
    <x v="0"/>
    <n v="0.08"/>
    <n v="9.0899999999999995E-2"/>
    <n v="0.38"/>
    <n v="0.19400000000000001"/>
    <x v="2"/>
    <x v="140"/>
    <n v="28"/>
  </r>
  <r>
    <n v="525"/>
    <x v="22"/>
    <x v="23"/>
    <s v="Spring"/>
    <s v="No"/>
    <x v="1"/>
    <x v="0"/>
    <n v="0.06"/>
    <n v="6.0600000000000001E-2"/>
    <n v="0.41"/>
    <n v="0.22389999999999999"/>
    <x v="17"/>
    <x v="19"/>
    <n v="21"/>
  </r>
  <r>
    <n v="526"/>
    <x v="23"/>
    <x v="0"/>
    <s v="Spring"/>
    <s v="No"/>
    <x v="2"/>
    <x v="0"/>
    <n v="0.06"/>
    <n v="6.0600000000000001E-2"/>
    <n v="0.41"/>
    <n v="0.19400000000000001"/>
    <x v="3"/>
    <x v="7"/>
    <n v="7"/>
  </r>
  <r>
    <n v="527"/>
    <x v="23"/>
    <x v="1"/>
    <s v="Spring"/>
    <s v="No"/>
    <x v="2"/>
    <x v="0"/>
    <n v="0.04"/>
    <n v="4.5499999999999999E-2"/>
    <n v="0.45"/>
    <n v="0.19400000000000001"/>
    <x v="3"/>
    <x v="4"/>
    <n v="1"/>
  </r>
  <r>
    <n v="528"/>
    <x v="23"/>
    <x v="3"/>
    <s v="Spring"/>
    <s v="No"/>
    <x v="2"/>
    <x v="0"/>
    <n v="0.04"/>
    <n v="3.0300000000000001E-2"/>
    <n v="0.45"/>
    <n v="0.25369999999999998"/>
    <x v="3"/>
    <x v="4"/>
    <n v="1"/>
  </r>
  <r>
    <n v="529"/>
    <x v="23"/>
    <x v="4"/>
    <s v="Spring"/>
    <s v="No"/>
    <x v="2"/>
    <x v="0"/>
    <n v="0.02"/>
    <n v="6.0600000000000001E-2"/>
    <n v="0.48"/>
    <n v="0.1343"/>
    <x v="3"/>
    <x v="4"/>
    <n v="1"/>
  </r>
  <r>
    <n v="530"/>
    <x v="23"/>
    <x v="5"/>
    <s v="Spring"/>
    <s v="No"/>
    <x v="2"/>
    <x v="0"/>
    <n v="0.02"/>
    <n v="6.0600000000000001E-2"/>
    <n v="0.48"/>
    <n v="0.1343"/>
    <x v="3"/>
    <x v="34"/>
    <n v="5"/>
  </r>
  <r>
    <n v="531"/>
    <x v="23"/>
    <x v="6"/>
    <s v="Spring"/>
    <s v="No"/>
    <x v="2"/>
    <x v="0"/>
    <n v="0.02"/>
    <n v="7.5800000000000006E-2"/>
    <n v="0.48"/>
    <n v="8.9599999999999999E-2"/>
    <x v="3"/>
    <x v="89"/>
    <n v="15"/>
  </r>
  <r>
    <n v="532"/>
    <x v="23"/>
    <x v="7"/>
    <s v="Spring"/>
    <s v="No"/>
    <x v="2"/>
    <x v="0"/>
    <n v="0.02"/>
    <n v="0.1212"/>
    <n v="0.48"/>
    <n v="0"/>
    <x v="2"/>
    <x v="55"/>
    <n v="84"/>
  </r>
  <r>
    <n v="533"/>
    <x v="23"/>
    <x v="8"/>
    <s v="Spring"/>
    <s v="No"/>
    <x v="2"/>
    <x v="0"/>
    <n v="0.04"/>
    <n v="0.13639999999999999"/>
    <n v="0.49"/>
    <n v="0"/>
    <x v="15"/>
    <x v="141"/>
    <n v="177"/>
  </r>
  <r>
    <n v="534"/>
    <x v="23"/>
    <x v="9"/>
    <s v="Spring"/>
    <s v="No"/>
    <x v="2"/>
    <x v="0"/>
    <n v="0.06"/>
    <n v="0.1515"/>
    <n v="0.41"/>
    <n v="0"/>
    <x v="17"/>
    <x v="52"/>
    <n v="102"/>
  </r>
  <r>
    <n v="535"/>
    <x v="23"/>
    <x v="10"/>
    <s v="Spring"/>
    <s v="No"/>
    <x v="2"/>
    <x v="0"/>
    <n v="0.1"/>
    <n v="0.13639999999999999"/>
    <n v="0.42"/>
    <n v="0"/>
    <x v="15"/>
    <x v="60"/>
    <n v="40"/>
  </r>
  <r>
    <n v="536"/>
    <x v="23"/>
    <x v="11"/>
    <s v="Spring"/>
    <s v="No"/>
    <x v="2"/>
    <x v="0"/>
    <n v="0.1"/>
    <n v="0.1212"/>
    <n v="0.46"/>
    <n v="0.1343"/>
    <x v="0"/>
    <x v="30"/>
    <n v="46"/>
  </r>
  <r>
    <n v="537"/>
    <x v="23"/>
    <x v="12"/>
    <s v="Spring"/>
    <s v="No"/>
    <x v="2"/>
    <x v="1"/>
    <n v="0.12"/>
    <n v="0.13639999999999999"/>
    <n v="0.42"/>
    <n v="0.19400000000000001"/>
    <x v="16"/>
    <x v="15"/>
    <n v="63"/>
  </r>
  <r>
    <n v="538"/>
    <x v="23"/>
    <x v="13"/>
    <s v="Spring"/>
    <s v="No"/>
    <x v="2"/>
    <x v="1"/>
    <n v="0.14000000000000001"/>
    <n v="0.13639999999999999"/>
    <n v="0.43"/>
    <n v="0.22389999999999999"/>
    <x v="15"/>
    <x v="25"/>
    <n v="60"/>
  </r>
  <r>
    <n v="539"/>
    <x v="23"/>
    <x v="14"/>
    <s v="Spring"/>
    <s v="No"/>
    <x v="2"/>
    <x v="1"/>
    <n v="0.14000000000000001"/>
    <n v="0.13639999999999999"/>
    <n v="0.46"/>
    <n v="0.22389999999999999"/>
    <x v="4"/>
    <x v="30"/>
    <n v="45"/>
  </r>
  <r>
    <n v="540"/>
    <x v="23"/>
    <x v="15"/>
    <s v="Spring"/>
    <s v="No"/>
    <x v="2"/>
    <x v="0"/>
    <n v="0.16"/>
    <n v="0.16669999999999999"/>
    <n v="0.4"/>
    <n v="0.16420000000000001"/>
    <x v="18"/>
    <x v="54"/>
    <n v="57"/>
  </r>
  <r>
    <n v="541"/>
    <x v="23"/>
    <x v="16"/>
    <s v="Spring"/>
    <s v="No"/>
    <x v="2"/>
    <x v="0"/>
    <n v="0.16"/>
    <n v="0.1515"/>
    <n v="0.47"/>
    <n v="0.25369999999999998"/>
    <x v="17"/>
    <x v="43"/>
    <n v="70"/>
  </r>
  <r>
    <n v="542"/>
    <x v="23"/>
    <x v="17"/>
    <s v="Spring"/>
    <s v="No"/>
    <x v="2"/>
    <x v="0"/>
    <n v="0.14000000000000001"/>
    <n v="0.1212"/>
    <n v="0.5"/>
    <n v="0.25369999999999998"/>
    <x v="15"/>
    <x v="86"/>
    <n v="184"/>
  </r>
  <r>
    <n v="543"/>
    <x v="23"/>
    <x v="18"/>
    <s v="Spring"/>
    <s v="No"/>
    <x v="2"/>
    <x v="0"/>
    <n v="0.14000000000000001"/>
    <n v="0.13639999999999999"/>
    <n v="0.59"/>
    <n v="0.19400000000000001"/>
    <x v="1"/>
    <x v="142"/>
    <n v="153"/>
  </r>
  <r>
    <n v="544"/>
    <x v="23"/>
    <x v="19"/>
    <s v="Spring"/>
    <s v="No"/>
    <x v="2"/>
    <x v="0"/>
    <n v="0.14000000000000001"/>
    <n v="0.1515"/>
    <n v="0.54"/>
    <n v="0.16420000000000001"/>
    <x v="2"/>
    <x v="143"/>
    <n v="106"/>
  </r>
  <r>
    <n v="545"/>
    <x v="23"/>
    <x v="20"/>
    <s v="Spring"/>
    <s v="No"/>
    <x v="2"/>
    <x v="0"/>
    <n v="0.14000000000000001"/>
    <n v="0.13639999999999999"/>
    <n v="0.59"/>
    <n v="0.19400000000000001"/>
    <x v="5"/>
    <x v="122"/>
    <n v="81"/>
  </r>
  <r>
    <n v="546"/>
    <x v="23"/>
    <x v="21"/>
    <s v="Spring"/>
    <s v="No"/>
    <x v="2"/>
    <x v="0"/>
    <n v="0.14000000000000001"/>
    <n v="0.1515"/>
    <n v="0.63"/>
    <n v="0.16420000000000001"/>
    <x v="15"/>
    <x v="42"/>
    <n v="59"/>
  </r>
  <r>
    <n v="547"/>
    <x v="23"/>
    <x v="22"/>
    <s v="Spring"/>
    <s v="No"/>
    <x v="2"/>
    <x v="1"/>
    <n v="0.14000000000000001"/>
    <n v="0.13639999999999999"/>
    <n v="0.63"/>
    <n v="0.22389999999999999"/>
    <x v="0"/>
    <x v="1"/>
    <n v="35"/>
  </r>
  <r>
    <n v="548"/>
    <x v="23"/>
    <x v="23"/>
    <s v="Spring"/>
    <s v="No"/>
    <x v="2"/>
    <x v="1"/>
    <n v="0.16"/>
    <n v="0.1515"/>
    <n v="0.64"/>
    <n v="0.25369999999999998"/>
    <x v="0"/>
    <x v="144"/>
    <n v="24"/>
  </r>
  <r>
    <n v="549"/>
    <x v="24"/>
    <x v="0"/>
    <s v="Spring"/>
    <s v="No"/>
    <x v="3"/>
    <x v="1"/>
    <n v="0.16"/>
    <n v="0.13639999999999999"/>
    <n v="0.69"/>
    <n v="0.28360000000000002"/>
    <x v="0"/>
    <x v="8"/>
    <n v="9"/>
  </r>
  <r>
    <n v="550"/>
    <x v="24"/>
    <x v="1"/>
    <s v="Spring"/>
    <s v="No"/>
    <x v="3"/>
    <x v="1"/>
    <n v="0.16"/>
    <n v="0.16669999999999999"/>
    <n v="0.69"/>
    <n v="0.16420000000000001"/>
    <x v="3"/>
    <x v="34"/>
    <n v="5"/>
  </r>
  <r>
    <n v="551"/>
    <x v="24"/>
    <x v="2"/>
    <s v="Spring"/>
    <s v="No"/>
    <x v="3"/>
    <x v="0"/>
    <n v="0.16"/>
    <n v="0.1515"/>
    <n v="0.69"/>
    <n v="0.22389999999999999"/>
    <x v="3"/>
    <x v="6"/>
    <n v="2"/>
  </r>
  <r>
    <n v="552"/>
    <x v="24"/>
    <x v="4"/>
    <s v="Spring"/>
    <s v="No"/>
    <x v="3"/>
    <x v="0"/>
    <n v="0.14000000000000001"/>
    <n v="0.16669999999999999"/>
    <n v="0.74"/>
    <n v="0.1045"/>
    <x v="3"/>
    <x v="4"/>
    <n v="1"/>
  </r>
  <r>
    <n v="553"/>
    <x v="24"/>
    <x v="5"/>
    <s v="Spring"/>
    <s v="No"/>
    <x v="3"/>
    <x v="0"/>
    <n v="0.14000000000000001"/>
    <n v="0.13639999999999999"/>
    <n v="0.74"/>
    <n v="0.22389999999999999"/>
    <x v="3"/>
    <x v="33"/>
    <n v="9"/>
  </r>
  <r>
    <n v="554"/>
    <x v="24"/>
    <x v="6"/>
    <s v="Spring"/>
    <s v="No"/>
    <x v="3"/>
    <x v="0"/>
    <n v="0.16"/>
    <n v="0.18179999999999999"/>
    <n v="0.74"/>
    <n v="0.1045"/>
    <x v="5"/>
    <x v="96"/>
    <n v="36"/>
  </r>
  <r>
    <n v="555"/>
    <x v="24"/>
    <x v="7"/>
    <s v="Spring"/>
    <s v="No"/>
    <x v="3"/>
    <x v="0"/>
    <n v="0.16"/>
    <n v="0.1515"/>
    <n v="0.74"/>
    <n v="0.22389999999999999"/>
    <x v="2"/>
    <x v="145"/>
    <n v="108"/>
  </r>
  <r>
    <n v="556"/>
    <x v="24"/>
    <x v="8"/>
    <s v="Spring"/>
    <s v="No"/>
    <x v="3"/>
    <x v="1"/>
    <n v="0.16"/>
    <n v="0.18179999999999999"/>
    <n v="0.74"/>
    <n v="0.1343"/>
    <x v="2"/>
    <x v="146"/>
    <n v="238"/>
  </r>
  <r>
    <n v="557"/>
    <x v="24"/>
    <x v="9"/>
    <s v="Spring"/>
    <s v="No"/>
    <x v="3"/>
    <x v="1"/>
    <n v="0.2"/>
    <n v="0.2273"/>
    <n v="0.64"/>
    <n v="8.9599999999999999E-2"/>
    <x v="22"/>
    <x v="120"/>
    <n v="144"/>
  </r>
  <r>
    <n v="558"/>
    <x v="24"/>
    <x v="10"/>
    <s v="Spring"/>
    <s v="No"/>
    <x v="3"/>
    <x v="1"/>
    <n v="0.22"/>
    <n v="0.2424"/>
    <n v="0.6"/>
    <n v="0.1045"/>
    <x v="15"/>
    <x v="47"/>
    <n v="55"/>
  </r>
  <r>
    <n v="559"/>
    <x v="24"/>
    <x v="11"/>
    <s v="Spring"/>
    <s v="No"/>
    <x v="3"/>
    <x v="1"/>
    <n v="0.24"/>
    <n v="0.2424"/>
    <n v="0.6"/>
    <n v="0.1343"/>
    <x v="15"/>
    <x v="11"/>
    <n v="61"/>
  </r>
  <r>
    <n v="560"/>
    <x v="24"/>
    <x v="12"/>
    <s v="Spring"/>
    <s v="No"/>
    <x v="3"/>
    <x v="1"/>
    <n v="0.26"/>
    <n v="0.28789999999999999"/>
    <n v="0.56000000000000005"/>
    <n v="8.9599999999999999E-2"/>
    <x v="27"/>
    <x v="66"/>
    <n v="106"/>
  </r>
  <r>
    <n v="561"/>
    <x v="24"/>
    <x v="13"/>
    <s v="Spring"/>
    <s v="No"/>
    <x v="3"/>
    <x v="1"/>
    <n v="0.26"/>
    <n v="0.2727"/>
    <n v="0.56000000000000005"/>
    <n v="0.1343"/>
    <x v="27"/>
    <x v="109"/>
    <n v="93"/>
  </r>
  <r>
    <n v="562"/>
    <x v="24"/>
    <x v="14"/>
    <s v="Spring"/>
    <s v="No"/>
    <x v="3"/>
    <x v="1"/>
    <n v="0.3"/>
    <n v="0.33329999999999999"/>
    <n v="0.45"/>
    <n v="0"/>
    <x v="16"/>
    <x v="77"/>
    <n v="68"/>
  </r>
  <r>
    <n v="563"/>
    <x v="24"/>
    <x v="15"/>
    <s v="Spring"/>
    <s v="No"/>
    <x v="3"/>
    <x v="1"/>
    <n v="0.32"/>
    <n v="0.34849999999999998"/>
    <n v="0.42"/>
    <n v="0"/>
    <x v="27"/>
    <x v="36"/>
    <n v="84"/>
  </r>
  <r>
    <n v="564"/>
    <x v="24"/>
    <x v="16"/>
    <s v="Spring"/>
    <s v="No"/>
    <x v="3"/>
    <x v="1"/>
    <n v="0.32"/>
    <n v="0.34849999999999998"/>
    <n v="0.42"/>
    <n v="0"/>
    <x v="24"/>
    <x v="46"/>
    <n v="116"/>
  </r>
  <r>
    <n v="565"/>
    <x v="24"/>
    <x v="17"/>
    <s v="Spring"/>
    <s v="No"/>
    <x v="3"/>
    <x v="0"/>
    <n v="0.3"/>
    <n v="0.33329999999999999"/>
    <n v="0.45"/>
    <n v="0"/>
    <x v="24"/>
    <x v="147"/>
    <n v="222"/>
  </r>
  <r>
    <n v="566"/>
    <x v="24"/>
    <x v="18"/>
    <s v="Spring"/>
    <s v="No"/>
    <x v="3"/>
    <x v="1"/>
    <n v="0.3"/>
    <n v="0.31819999999999998"/>
    <n v="0.49"/>
    <n v="8.9599999999999999E-2"/>
    <x v="18"/>
    <x v="148"/>
    <n v="225"/>
  </r>
  <r>
    <n v="567"/>
    <x v="24"/>
    <x v="19"/>
    <s v="Spring"/>
    <s v="No"/>
    <x v="3"/>
    <x v="1"/>
    <n v="0.26"/>
    <n v="0.2576"/>
    <n v="0.65"/>
    <n v="0.16420000000000001"/>
    <x v="23"/>
    <x v="149"/>
    <n v="146"/>
  </r>
  <r>
    <n v="568"/>
    <x v="24"/>
    <x v="20"/>
    <s v="Spring"/>
    <s v="No"/>
    <x v="3"/>
    <x v="0"/>
    <n v="0.24"/>
    <n v="0.2273"/>
    <n v="0.65"/>
    <n v="0.19400000000000001"/>
    <x v="19"/>
    <x v="145"/>
    <n v="119"/>
  </r>
  <r>
    <n v="569"/>
    <x v="24"/>
    <x v="21"/>
    <s v="Spring"/>
    <s v="No"/>
    <x v="3"/>
    <x v="0"/>
    <n v="0.24"/>
    <n v="0.2273"/>
    <n v="0.65"/>
    <n v="0.19400000000000001"/>
    <x v="2"/>
    <x v="71"/>
    <n v="45"/>
  </r>
  <r>
    <n v="570"/>
    <x v="24"/>
    <x v="22"/>
    <s v="Spring"/>
    <s v="No"/>
    <x v="3"/>
    <x v="0"/>
    <n v="0.22"/>
    <n v="0.2273"/>
    <n v="0.64"/>
    <n v="0.16420000000000001"/>
    <x v="17"/>
    <x v="47"/>
    <n v="53"/>
  </r>
  <r>
    <n v="571"/>
    <x v="24"/>
    <x v="23"/>
    <s v="Spring"/>
    <s v="No"/>
    <x v="3"/>
    <x v="1"/>
    <n v="0.22"/>
    <n v="0.2273"/>
    <n v="0.64"/>
    <n v="0.16420000000000001"/>
    <x v="0"/>
    <x v="53"/>
    <n v="40"/>
  </r>
  <r>
    <n v="572"/>
    <x v="25"/>
    <x v="0"/>
    <s v="Spring"/>
    <s v="No"/>
    <x v="4"/>
    <x v="1"/>
    <n v="0.22"/>
    <n v="0.2273"/>
    <n v="0.69"/>
    <n v="0.1343"/>
    <x v="0"/>
    <x v="88"/>
    <n v="17"/>
  </r>
  <r>
    <n v="573"/>
    <x v="25"/>
    <x v="1"/>
    <s v="Spring"/>
    <s v="No"/>
    <x v="4"/>
    <x v="1"/>
    <n v="0.24"/>
    <n v="0.2424"/>
    <n v="0.65"/>
    <n v="0.1343"/>
    <x v="3"/>
    <x v="34"/>
    <n v="5"/>
  </r>
  <r>
    <n v="574"/>
    <x v="25"/>
    <x v="2"/>
    <s v="Spring"/>
    <s v="No"/>
    <x v="4"/>
    <x v="2"/>
    <n v="0.22"/>
    <n v="0.2273"/>
    <n v="0.69"/>
    <n v="0.19400000000000001"/>
    <x v="0"/>
    <x v="7"/>
    <n v="10"/>
  </r>
  <r>
    <n v="575"/>
    <x v="25"/>
    <x v="5"/>
    <s v="Spring"/>
    <s v="No"/>
    <x v="4"/>
    <x v="2"/>
    <n v="0.2"/>
    <n v="0.18179999999999999"/>
    <n v="0.86"/>
    <n v="0.28360000000000002"/>
    <x v="3"/>
    <x v="4"/>
    <n v="1"/>
  </r>
  <r>
    <n v="576"/>
    <x v="25"/>
    <x v="6"/>
    <s v="Spring"/>
    <s v="No"/>
    <x v="4"/>
    <x v="2"/>
    <n v="0.2"/>
    <n v="0.18179999999999999"/>
    <n v="0.86"/>
    <n v="0.28360000000000002"/>
    <x v="3"/>
    <x v="21"/>
    <n v="8"/>
  </r>
  <r>
    <n v="577"/>
    <x v="25"/>
    <x v="7"/>
    <s v="Spring"/>
    <s v="No"/>
    <x v="4"/>
    <x v="2"/>
    <n v="0.22"/>
    <n v="0.21210000000000001"/>
    <n v="0.87"/>
    <n v="0.29849999999999999"/>
    <x v="5"/>
    <x v="31"/>
    <n v="30"/>
  </r>
  <r>
    <n v="578"/>
    <x v="25"/>
    <x v="8"/>
    <s v="Spring"/>
    <s v="No"/>
    <x v="4"/>
    <x v="2"/>
    <n v="0.22"/>
    <n v="0.21210000000000001"/>
    <n v="0.87"/>
    <n v="0.29849999999999999"/>
    <x v="0"/>
    <x v="94"/>
    <n v="72"/>
  </r>
  <r>
    <n v="579"/>
    <x v="25"/>
    <x v="9"/>
    <s v="Spring"/>
    <s v="No"/>
    <x v="4"/>
    <x v="2"/>
    <n v="0.22"/>
    <n v="0.21210000000000001"/>
    <n v="0.87"/>
    <n v="0.29849999999999999"/>
    <x v="0"/>
    <x v="11"/>
    <n v="58"/>
  </r>
  <r>
    <n v="580"/>
    <x v="25"/>
    <x v="10"/>
    <s v="Spring"/>
    <s v="No"/>
    <x v="4"/>
    <x v="2"/>
    <n v="0.22"/>
    <n v="0.21210000000000001"/>
    <n v="0.93"/>
    <n v="0.28360000000000002"/>
    <x v="4"/>
    <x v="16"/>
    <n v="28"/>
  </r>
  <r>
    <n v="581"/>
    <x v="25"/>
    <x v="11"/>
    <s v="Spring"/>
    <s v="No"/>
    <x v="4"/>
    <x v="2"/>
    <n v="0.22"/>
    <n v="0.19700000000000001"/>
    <n v="0.93"/>
    <n v="0.32840000000000003"/>
    <x v="15"/>
    <x v="96"/>
    <n v="41"/>
  </r>
  <r>
    <n v="582"/>
    <x v="25"/>
    <x v="12"/>
    <s v="Spring"/>
    <s v="No"/>
    <x v="4"/>
    <x v="2"/>
    <n v="0.22"/>
    <n v="0.19700000000000001"/>
    <n v="0.93"/>
    <n v="0.32840000000000003"/>
    <x v="18"/>
    <x v="40"/>
    <n v="48"/>
  </r>
  <r>
    <n v="583"/>
    <x v="25"/>
    <x v="13"/>
    <s v="Spring"/>
    <s v="No"/>
    <x v="4"/>
    <x v="2"/>
    <n v="0.22"/>
    <n v="0.19700000000000001"/>
    <n v="0.93"/>
    <n v="0.32840000000000003"/>
    <x v="17"/>
    <x v="30"/>
    <n v="47"/>
  </r>
  <r>
    <n v="584"/>
    <x v="25"/>
    <x v="14"/>
    <s v="Spring"/>
    <s v="No"/>
    <x v="4"/>
    <x v="2"/>
    <n v="0.22"/>
    <n v="0.19700000000000001"/>
    <n v="0.93"/>
    <n v="0.35820000000000002"/>
    <x v="3"/>
    <x v="49"/>
    <n v="36"/>
  </r>
  <r>
    <n v="585"/>
    <x v="25"/>
    <x v="15"/>
    <s v="Spring"/>
    <s v="No"/>
    <x v="4"/>
    <x v="2"/>
    <n v="0.22"/>
    <n v="0.18179999999999999"/>
    <n v="0.93"/>
    <n v="0.4627"/>
    <x v="5"/>
    <x v="76"/>
    <n v="43"/>
  </r>
  <r>
    <n v="586"/>
    <x v="25"/>
    <x v="16"/>
    <s v="Spring"/>
    <s v="No"/>
    <x v="4"/>
    <x v="3"/>
    <n v="0.22"/>
    <n v="0.19700000000000001"/>
    <n v="0.93"/>
    <n v="0.32840000000000003"/>
    <x v="5"/>
    <x v="96"/>
    <n v="36"/>
  </r>
  <r>
    <n v="587"/>
    <x v="25"/>
    <x v="17"/>
    <s v="Spring"/>
    <s v="No"/>
    <x v="4"/>
    <x v="2"/>
    <n v="0.2"/>
    <n v="0.18179999999999999"/>
    <n v="0.93"/>
    <n v="0.35820000000000002"/>
    <x v="3"/>
    <x v="16"/>
    <n v="26"/>
  </r>
  <r>
    <n v="588"/>
    <x v="26"/>
    <x v="16"/>
    <s v="Spring"/>
    <s v="No"/>
    <x v="5"/>
    <x v="0"/>
    <n v="0.22"/>
    <n v="0.2273"/>
    <n v="0.55000000000000004"/>
    <n v="0.19400000000000001"/>
    <x v="5"/>
    <x v="140"/>
    <n v="24"/>
  </r>
  <r>
    <n v="589"/>
    <x v="26"/>
    <x v="17"/>
    <s v="Spring"/>
    <s v="No"/>
    <x v="5"/>
    <x v="0"/>
    <n v="0.22"/>
    <n v="0.2424"/>
    <n v="0.55000000000000004"/>
    <n v="0.1045"/>
    <x v="4"/>
    <x v="70"/>
    <n v="84"/>
  </r>
  <r>
    <n v="590"/>
    <x v="26"/>
    <x v="18"/>
    <s v="Spring"/>
    <s v="No"/>
    <x v="5"/>
    <x v="0"/>
    <n v="0.2"/>
    <n v="0.2273"/>
    <n v="0.69"/>
    <n v="8.9599999999999999E-2"/>
    <x v="0"/>
    <x v="143"/>
    <n v="104"/>
  </r>
  <r>
    <n v="591"/>
    <x v="26"/>
    <x v="19"/>
    <s v="Spring"/>
    <s v="No"/>
    <x v="5"/>
    <x v="0"/>
    <n v="0.2"/>
    <n v="0.2273"/>
    <n v="0.69"/>
    <n v="8.9599999999999999E-2"/>
    <x v="0"/>
    <x v="83"/>
    <n v="79"/>
  </r>
  <r>
    <n v="592"/>
    <x v="26"/>
    <x v="20"/>
    <s v="Spring"/>
    <s v="No"/>
    <x v="5"/>
    <x v="0"/>
    <n v="0.18"/>
    <n v="0.21210000000000001"/>
    <n v="0.74"/>
    <n v="8.9599999999999999E-2"/>
    <x v="17"/>
    <x v="11"/>
    <n v="59"/>
  </r>
  <r>
    <n v="593"/>
    <x v="26"/>
    <x v="21"/>
    <s v="Spring"/>
    <s v="No"/>
    <x v="5"/>
    <x v="0"/>
    <n v="0.18"/>
    <n v="0.21210000000000001"/>
    <n v="0.74"/>
    <n v="8.9599999999999999E-2"/>
    <x v="4"/>
    <x v="49"/>
    <n v="38"/>
  </r>
  <r>
    <n v="594"/>
    <x v="26"/>
    <x v="22"/>
    <s v="Spring"/>
    <s v="No"/>
    <x v="5"/>
    <x v="0"/>
    <n v="0.18"/>
    <n v="0.21210000000000001"/>
    <n v="0.74"/>
    <n v="8.9599999999999999E-2"/>
    <x v="3"/>
    <x v="2"/>
    <n v="27"/>
  </r>
  <r>
    <n v="595"/>
    <x v="26"/>
    <x v="23"/>
    <s v="Spring"/>
    <s v="No"/>
    <x v="5"/>
    <x v="0"/>
    <n v="0.18"/>
    <n v="0.19700000000000001"/>
    <n v="0.8"/>
    <n v="0.16420000000000001"/>
    <x v="3"/>
    <x v="20"/>
    <n v="16"/>
  </r>
  <r>
    <n v="596"/>
    <x v="27"/>
    <x v="0"/>
    <s v="Spring"/>
    <s v="No"/>
    <x v="6"/>
    <x v="1"/>
    <n v="0.2"/>
    <n v="0.21210000000000001"/>
    <n v="0.75"/>
    <n v="0.1343"/>
    <x v="3"/>
    <x v="33"/>
    <n v="9"/>
  </r>
  <r>
    <n v="597"/>
    <x v="27"/>
    <x v="1"/>
    <s v="Spring"/>
    <s v="No"/>
    <x v="6"/>
    <x v="1"/>
    <n v="0.2"/>
    <n v="0.21210000000000001"/>
    <n v="0.75"/>
    <n v="0.1343"/>
    <x v="5"/>
    <x v="6"/>
    <n v="3"/>
  </r>
  <r>
    <n v="598"/>
    <x v="27"/>
    <x v="2"/>
    <s v="Spring"/>
    <s v="No"/>
    <x v="6"/>
    <x v="1"/>
    <n v="0.2"/>
    <n v="0.21210000000000001"/>
    <n v="0.75"/>
    <n v="0.16420000000000001"/>
    <x v="3"/>
    <x v="6"/>
    <n v="2"/>
  </r>
  <r>
    <n v="599"/>
    <x v="27"/>
    <x v="3"/>
    <s v="Spring"/>
    <s v="No"/>
    <x v="6"/>
    <x v="1"/>
    <n v="0.2"/>
    <n v="0.2273"/>
    <n v="0.75"/>
    <n v="0.1045"/>
    <x v="5"/>
    <x v="5"/>
    <n v="1"/>
  </r>
  <r>
    <n v="600"/>
    <x v="27"/>
    <x v="5"/>
    <s v="Spring"/>
    <s v="No"/>
    <x v="6"/>
    <x v="1"/>
    <n v="0.18"/>
    <n v="0.21210000000000001"/>
    <n v="0.8"/>
    <n v="0.1045"/>
    <x v="3"/>
    <x v="22"/>
    <n v="4"/>
  </r>
  <r>
    <n v="601"/>
    <x v="27"/>
    <x v="6"/>
    <s v="Spring"/>
    <s v="No"/>
    <x v="6"/>
    <x v="1"/>
    <n v="0.18"/>
    <n v="0.19700000000000001"/>
    <n v="0.8"/>
    <n v="0.1343"/>
    <x v="3"/>
    <x v="20"/>
    <n v="16"/>
  </r>
  <r>
    <n v="602"/>
    <x v="27"/>
    <x v="7"/>
    <s v="Spring"/>
    <s v="No"/>
    <x v="6"/>
    <x v="1"/>
    <n v="0.16"/>
    <n v="0.19700000000000001"/>
    <n v="0.86"/>
    <n v="8.9599999999999999E-2"/>
    <x v="4"/>
    <x v="29"/>
    <n v="60"/>
  </r>
  <r>
    <n v="603"/>
    <x v="27"/>
    <x v="8"/>
    <s v="Spring"/>
    <s v="No"/>
    <x v="6"/>
    <x v="1"/>
    <n v="0.16"/>
    <n v="0.19700000000000001"/>
    <n v="0.86"/>
    <n v="8.9599999999999999E-2"/>
    <x v="4"/>
    <x v="119"/>
    <n v="157"/>
  </r>
  <r>
    <n v="604"/>
    <x v="27"/>
    <x v="9"/>
    <s v="Spring"/>
    <s v="No"/>
    <x v="6"/>
    <x v="2"/>
    <n v="0.18"/>
    <n v="0.21210000000000001"/>
    <n v="0.86"/>
    <n v="8.9599999999999999E-2"/>
    <x v="15"/>
    <x v="73"/>
    <n v="101"/>
  </r>
  <r>
    <n v="605"/>
    <x v="27"/>
    <x v="10"/>
    <s v="Spring"/>
    <s v="No"/>
    <x v="6"/>
    <x v="2"/>
    <n v="0.18"/>
    <n v="0.21210000000000001"/>
    <n v="0.86"/>
    <n v="0.1045"/>
    <x v="3"/>
    <x v="47"/>
    <n v="49"/>
  </r>
  <r>
    <n v="606"/>
    <x v="27"/>
    <x v="11"/>
    <s v="Spring"/>
    <s v="No"/>
    <x v="6"/>
    <x v="2"/>
    <n v="0.18"/>
    <n v="0.21210000000000001"/>
    <n v="0.93"/>
    <n v="0.1045"/>
    <x v="3"/>
    <x v="10"/>
    <n v="30"/>
  </r>
  <r>
    <n v="607"/>
    <x v="27"/>
    <x v="12"/>
    <s v="Spring"/>
    <s v="No"/>
    <x v="6"/>
    <x v="2"/>
    <n v="0.18"/>
    <n v="0.21210000000000001"/>
    <n v="0.93"/>
    <n v="0.1045"/>
    <x v="5"/>
    <x v="95"/>
    <n v="29"/>
  </r>
  <r>
    <n v="608"/>
    <x v="27"/>
    <x v="13"/>
    <s v="Spring"/>
    <s v="No"/>
    <x v="6"/>
    <x v="2"/>
    <n v="0.18"/>
    <n v="0.21210000000000001"/>
    <n v="0.93"/>
    <n v="0.1045"/>
    <x v="3"/>
    <x v="17"/>
    <n v="31"/>
  </r>
  <r>
    <n v="609"/>
    <x v="27"/>
    <x v="14"/>
    <s v="Spring"/>
    <s v="No"/>
    <x v="6"/>
    <x v="2"/>
    <n v="0.22"/>
    <n v="0.2727"/>
    <n v="0.8"/>
    <n v="0"/>
    <x v="4"/>
    <x v="49"/>
    <n v="38"/>
  </r>
  <r>
    <n v="610"/>
    <x v="27"/>
    <x v="15"/>
    <s v="Spring"/>
    <s v="No"/>
    <x v="6"/>
    <x v="1"/>
    <n v="0.2"/>
    <n v="0.2576"/>
    <n v="0.86"/>
    <n v="0"/>
    <x v="5"/>
    <x v="71"/>
    <n v="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s v="No"/>
    <x v="0"/>
    <x v="0"/>
    <x v="0"/>
    <n v="0.28789999999999999"/>
    <x v="0"/>
    <x v="0"/>
    <n v="3"/>
    <n v="13"/>
    <n v="16"/>
  </r>
  <r>
    <n v="2"/>
    <x v="0"/>
    <x v="1"/>
    <x v="0"/>
    <s v="No"/>
    <x v="0"/>
    <x v="0"/>
    <x v="1"/>
    <n v="0.2727"/>
    <x v="1"/>
    <x v="0"/>
    <n v="8"/>
    <n v="32"/>
    <n v="40"/>
  </r>
  <r>
    <n v="3"/>
    <x v="0"/>
    <x v="2"/>
    <x v="0"/>
    <s v="No"/>
    <x v="0"/>
    <x v="0"/>
    <x v="1"/>
    <n v="0.2727"/>
    <x v="1"/>
    <x v="0"/>
    <n v="5"/>
    <n v="27"/>
    <n v="32"/>
  </r>
  <r>
    <n v="4"/>
    <x v="0"/>
    <x v="3"/>
    <x v="0"/>
    <s v="No"/>
    <x v="0"/>
    <x v="0"/>
    <x v="0"/>
    <n v="0.28789999999999999"/>
    <x v="2"/>
    <x v="0"/>
    <n v="3"/>
    <n v="10"/>
    <n v="13"/>
  </r>
  <r>
    <n v="5"/>
    <x v="0"/>
    <x v="4"/>
    <x v="0"/>
    <s v="No"/>
    <x v="0"/>
    <x v="0"/>
    <x v="0"/>
    <n v="0.28789999999999999"/>
    <x v="2"/>
    <x v="0"/>
    <n v="0"/>
    <n v="1"/>
    <n v="1"/>
  </r>
  <r>
    <n v="6"/>
    <x v="0"/>
    <x v="5"/>
    <x v="0"/>
    <s v="No"/>
    <x v="0"/>
    <x v="1"/>
    <x v="0"/>
    <n v="0.2576"/>
    <x v="2"/>
    <x v="1"/>
    <n v="0"/>
    <n v="1"/>
    <n v="1"/>
  </r>
  <r>
    <n v="7"/>
    <x v="0"/>
    <x v="6"/>
    <x v="0"/>
    <s v="No"/>
    <x v="0"/>
    <x v="0"/>
    <x v="1"/>
    <n v="0.2727"/>
    <x v="1"/>
    <x v="0"/>
    <n v="2"/>
    <n v="0"/>
    <n v="2"/>
  </r>
  <r>
    <n v="8"/>
    <x v="0"/>
    <x v="7"/>
    <x v="0"/>
    <s v="No"/>
    <x v="0"/>
    <x v="0"/>
    <x v="2"/>
    <n v="0.2576"/>
    <x v="3"/>
    <x v="0"/>
    <n v="1"/>
    <n v="2"/>
    <n v="3"/>
  </r>
  <r>
    <n v="9"/>
    <x v="0"/>
    <x v="8"/>
    <x v="0"/>
    <s v="No"/>
    <x v="0"/>
    <x v="0"/>
    <x v="0"/>
    <n v="0.29047656249999987"/>
    <x v="2"/>
    <x v="0"/>
    <n v="1"/>
    <n v="7"/>
    <n v="8"/>
  </r>
  <r>
    <n v="10"/>
    <x v="0"/>
    <x v="9"/>
    <x v="0"/>
    <s v="No"/>
    <x v="0"/>
    <x v="0"/>
    <x v="3"/>
    <n v="0.34849999999999998"/>
    <x v="4"/>
    <x v="0"/>
    <n v="8"/>
    <n v="6"/>
    <n v="14"/>
  </r>
  <r>
    <n v="11"/>
    <x v="0"/>
    <x v="10"/>
    <x v="0"/>
    <s v="No"/>
    <x v="0"/>
    <x v="0"/>
    <x v="4"/>
    <n v="0.39389999999999997"/>
    <x v="4"/>
    <x v="2"/>
    <n v="12"/>
    <n v="24"/>
    <n v="36"/>
  </r>
  <r>
    <n v="12"/>
    <x v="0"/>
    <x v="11"/>
    <x v="0"/>
    <s v="No"/>
    <x v="0"/>
    <x v="0"/>
    <x v="5"/>
    <n v="0.33329999999999999"/>
    <x v="0"/>
    <x v="3"/>
    <n v="26"/>
    <n v="30"/>
    <n v="56"/>
  </r>
  <r>
    <n v="13"/>
    <x v="0"/>
    <x v="12"/>
    <x v="0"/>
    <s v="No"/>
    <x v="0"/>
    <x v="0"/>
    <x v="6"/>
    <n v="0.42420000000000002"/>
    <x v="5"/>
    <x v="3"/>
    <n v="29"/>
    <n v="55"/>
    <n v="84"/>
  </r>
  <r>
    <n v="14"/>
    <x v="0"/>
    <x v="13"/>
    <x v="0"/>
    <s v="No"/>
    <x v="0"/>
    <x v="1"/>
    <x v="7"/>
    <n v="0.45450000000000002"/>
    <x v="6"/>
    <x v="4"/>
    <n v="47"/>
    <n v="47"/>
    <n v="94"/>
  </r>
  <r>
    <n v="15"/>
    <x v="0"/>
    <x v="14"/>
    <x v="0"/>
    <s v="No"/>
    <x v="0"/>
    <x v="1"/>
    <x v="7"/>
    <n v="0.45450000000000002"/>
    <x v="6"/>
    <x v="3"/>
    <n v="35"/>
    <n v="71"/>
    <n v="106"/>
  </r>
  <r>
    <n v="16"/>
    <x v="0"/>
    <x v="15"/>
    <x v="0"/>
    <s v="No"/>
    <x v="0"/>
    <x v="1"/>
    <x v="8"/>
    <n v="0.43940000000000001"/>
    <x v="5"/>
    <x v="4"/>
    <n v="40"/>
    <n v="70"/>
    <n v="110"/>
  </r>
  <r>
    <n v="17"/>
    <x v="0"/>
    <x v="16"/>
    <x v="0"/>
    <s v="No"/>
    <x v="0"/>
    <x v="1"/>
    <x v="6"/>
    <n v="0.42420000000000002"/>
    <x v="7"/>
    <x v="4"/>
    <n v="41"/>
    <n v="52"/>
    <n v="93"/>
  </r>
  <r>
    <n v="18"/>
    <x v="0"/>
    <x v="17"/>
    <x v="0"/>
    <s v="No"/>
    <x v="0"/>
    <x v="1"/>
    <x v="8"/>
    <n v="0.29047656249999987"/>
    <x v="7"/>
    <x v="3"/>
    <n v="15"/>
    <n v="52"/>
    <n v="67"/>
  </r>
  <r>
    <n v="19"/>
    <x v="0"/>
    <x v="18"/>
    <x v="0"/>
    <s v="No"/>
    <x v="0"/>
    <x v="2"/>
    <x v="6"/>
    <n v="0.42420000000000002"/>
    <x v="8"/>
    <x v="2"/>
    <n v="9"/>
    <n v="26"/>
    <n v="35"/>
  </r>
  <r>
    <n v="20"/>
    <x v="0"/>
    <x v="19"/>
    <x v="0"/>
    <s v="No"/>
    <x v="0"/>
    <x v="2"/>
    <x v="6"/>
    <n v="0.42420000000000002"/>
    <x v="8"/>
    <x v="2"/>
    <n v="6"/>
    <n v="31"/>
    <n v="37"/>
  </r>
  <r>
    <n v="21"/>
    <x v="0"/>
    <x v="20"/>
    <x v="0"/>
    <s v="No"/>
    <x v="0"/>
    <x v="1"/>
    <x v="9"/>
    <n v="0.40910000000000002"/>
    <x v="9"/>
    <x v="2"/>
    <n v="11"/>
    <n v="25"/>
    <n v="36"/>
  </r>
  <r>
    <n v="22"/>
    <x v="0"/>
    <x v="21"/>
    <x v="0"/>
    <s v="No"/>
    <x v="0"/>
    <x v="1"/>
    <x v="9"/>
    <n v="0.40910000000000002"/>
    <x v="9"/>
    <x v="5"/>
    <n v="3"/>
    <n v="31"/>
    <n v="34"/>
  </r>
  <r>
    <n v="23"/>
    <x v="0"/>
    <x v="22"/>
    <x v="0"/>
    <s v="No"/>
    <x v="0"/>
    <x v="1"/>
    <x v="9"/>
    <n v="0.40910000000000002"/>
    <x v="10"/>
    <x v="6"/>
    <n v="11"/>
    <n v="17"/>
    <n v="28"/>
  </r>
  <r>
    <n v="24"/>
    <x v="0"/>
    <x v="23"/>
    <x v="0"/>
    <s v="No"/>
    <x v="0"/>
    <x v="1"/>
    <x v="7"/>
    <n v="0.29047656249999987"/>
    <x v="8"/>
    <x v="4"/>
    <n v="15"/>
    <n v="24"/>
    <n v="39"/>
  </r>
  <r>
    <n v="25"/>
    <x v="1"/>
    <x v="0"/>
    <x v="0"/>
    <s v="No"/>
    <x v="1"/>
    <x v="1"/>
    <x v="7"/>
    <n v="0.45450000000000002"/>
    <x v="8"/>
    <x v="4"/>
    <n v="4"/>
    <n v="13"/>
    <n v="17"/>
  </r>
  <r>
    <n v="26"/>
    <x v="1"/>
    <x v="1"/>
    <x v="0"/>
    <s v="No"/>
    <x v="1"/>
    <x v="1"/>
    <x v="8"/>
    <n v="0.43940000000000001"/>
    <x v="10"/>
    <x v="2"/>
    <n v="1"/>
    <n v="16"/>
    <n v="17"/>
  </r>
  <r>
    <n v="27"/>
    <x v="1"/>
    <x v="2"/>
    <x v="0"/>
    <s v="No"/>
    <x v="1"/>
    <x v="1"/>
    <x v="6"/>
    <n v="0.42420000000000002"/>
    <x v="11"/>
    <x v="3"/>
    <n v="1"/>
    <n v="8"/>
    <n v="9"/>
  </r>
  <r>
    <n v="28"/>
    <x v="1"/>
    <x v="3"/>
    <x v="0"/>
    <s v="No"/>
    <x v="1"/>
    <x v="1"/>
    <x v="7"/>
    <n v="0.45450000000000002"/>
    <x v="10"/>
    <x v="5"/>
    <n v="2"/>
    <n v="4"/>
    <n v="6"/>
  </r>
  <r>
    <n v="29"/>
    <x v="1"/>
    <x v="4"/>
    <x v="0"/>
    <s v="No"/>
    <x v="1"/>
    <x v="1"/>
    <x v="7"/>
    <n v="0.29047656249999987"/>
    <x v="10"/>
    <x v="5"/>
    <n v="2"/>
    <n v="1"/>
    <n v="3"/>
  </r>
  <r>
    <n v="30"/>
    <x v="1"/>
    <x v="6"/>
    <x v="0"/>
    <s v="No"/>
    <x v="1"/>
    <x v="2"/>
    <x v="6"/>
    <n v="0.42420000000000002"/>
    <x v="5"/>
    <x v="4"/>
    <n v="0"/>
    <n v="2"/>
    <n v="2"/>
  </r>
  <r>
    <n v="31"/>
    <x v="1"/>
    <x v="7"/>
    <x v="0"/>
    <s v="No"/>
    <x v="1"/>
    <x v="1"/>
    <x v="9"/>
    <n v="0.40910000000000002"/>
    <x v="4"/>
    <x v="5"/>
    <n v="0"/>
    <n v="1"/>
    <n v="1"/>
  </r>
  <r>
    <n v="32"/>
    <x v="1"/>
    <x v="8"/>
    <x v="0"/>
    <s v="No"/>
    <x v="1"/>
    <x v="2"/>
    <x v="9"/>
    <n v="0.40910000000000002"/>
    <x v="12"/>
    <x v="6"/>
    <n v="0"/>
    <n v="8"/>
    <n v="8"/>
  </r>
  <r>
    <n v="33"/>
    <x v="1"/>
    <x v="9"/>
    <x v="0"/>
    <s v="No"/>
    <x v="1"/>
    <x v="1"/>
    <x v="4"/>
    <n v="0.29047656249999987"/>
    <x v="4"/>
    <x v="6"/>
    <n v="1"/>
    <n v="19"/>
    <n v="20"/>
  </r>
  <r>
    <n v="34"/>
    <x v="1"/>
    <x v="10"/>
    <x v="0"/>
    <s v="No"/>
    <x v="1"/>
    <x v="1"/>
    <x v="5"/>
    <n v="0.34849999999999998"/>
    <x v="0"/>
    <x v="6"/>
    <n v="7"/>
    <n v="46"/>
    <n v="53"/>
  </r>
  <r>
    <n v="35"/>
    <x v="1"/>
    <x v="11"/>
    <x v="0"/>
    <s v="No"/>
    <x v="1"/>
    <x v="1"/>
    <x v="5"/>
    <n v="0.33329999999999999"/>
    <x v="12"/>
    <x v="2"/>
    <n v="16"/>
    <n v="54"/>
    <n v="70"/>
  </r>
  <r>
    <n v="36"/>
    <x v="1"/>
    <x v="12"/>
    <x v="0"/>
    <s v="No"/>
    <x v="1"/>
    <x v="1"/>
    <x v="5"/>
    <n v="0.33329999999999999"/>
    <x v="13"/>
    <x v="4"/>
    <n v="20"/>
    <n v="73"/>
    <n v="93"/>
  </r>
  <r>
    <n v="37"/>
    <x v="1"/>
    <x v="13"/>
    <x v="0"/>
    <s v="No"/>
    <x v="1"/>
    <x v="1"/>
    <x v="5"/>
    <n v="0.34849999999999998"/>
    <x v="13"/>
    <x v="7"/>
    <n v="11"/>
    <n v="64"/>
    <n v="75"/>
  </r>
  <r>
    <n v="38"/>
    <x v="1"/>
    <x v="14"/>
    <x v="0"/>
    <s v="No"/>
    <x v="1"/>
    <x v="2"/>
    <x v="5"/>
    <n v="0.29047656249999987"/>
    <x v="4"/>
    <x v="5"/>
    <n v="4"/>
    <n v="55"/>
    <n v="59"/>
  </r>
  <r>
    <n v="39"/>
    <x v="1"/>
    <x v="15"/>
    <x v="0"/>
    <s v="No"/>
    <x v="1"/>
    <x v="2"/>
    <x v="10"/>
    <n v="0.33329999999999999"/>
    <x v="0"/>
    <x v="8"/>
    <n v="19"/>
    <n v="55"/>
    <n v="74"/>
  </r>
  <r>
    <n v="40"/>
    <x v="1"/>
    <x v="16"/>
    <x v="0"/>
    <s v="No"/>
    <x v="1"/>
    <x v="2"/>
    <x v="10"/>
    <n v="0.33329999999999999"/>
    <x v="12"/>
    <x v="8"/>
    <n v="9"/>
    <n v="67"/>
    <n v="76"/>
  </r>
  <r>
    <n v="41"/>
    <x v="1"/>
    <x v="17"/>
    <x v="0"/>
    <s v="No"/>
    <x v="1"/>
    <x v="0"/>
    <x v="10"/>
    <n v="0.33329999999999999"/>
    <x v="14"/>
    <x v="5"/>
    <n v="7"/>
    <n v="58"/>
    <n v="65"/>
  </r>
  <r>
    <n v="42"/>
    <x v="1"/>
    <x v="18"/>
    <x v="0"/>
    <s v="No"/>
    <x v="1"/>
    <x v="1"/>
    <x v="5"/>
    <n v="0.33329999999999999"/>
    <x v="15"/>
    <x v="9"/>
    <n v="10"/>
    <n v="43"/>
    <n v="53"/>
  </r>
  <r>
    <n v="43"/>
    <x v="1"/>
    <x v="19"/>
    <x v="0"/>
    <s v="No"/>
    <x v="1"/>
    <x v="0"/>
    <x v="3"/>
    <n v="0.28789999999999999"/>
    <x v="16"/>
    <x v="10"/>
    <n v="1"/>
    <n v="29"/>
    <n v="30"/>
  </r>
  <r>
    <n v="44"/>
    <x v="1"/>
    <x v="20"/>
    <x v="0"/>
    <s v="No"/>
    <x v="1"/>
    <x v="0"/>
    <x v="11"/>
    <n v="0.29047656249999987"/>
    <x v="17"/>
    <x v="11"/>
    <n v="5"/>
    <n v="17"/>
    <n v="22"/>
  </r>
  <r>
    <n v="45"/>
    <x v="1"/>
    <x v="21"/>
    <x v="0"/>
    <s v="No"/>
    <x v="1"/>
    <x v="0"/>
    <x v="12"/>
    <n v="0.2273"/>
    <x v="18"/>
    <x v="9"/>
    <n v="11"/>
    <n v="20"/>
    <n v="31"/>
  </r>
  <r>
    <n v="46"/>
    <x v="1"/>
    <x v="22"/>
    <x v="0"/>
    <s v="No"/>
    <x v="1"/>
    <x v="0"/>
    <x v="0"/>
    <n v="0.21210000000000001"/>
    <x v="18"/>
    <x v="4"/>
    <n v="0"/>
    <n v="9"/>
    <n v="9"/>
  </r>
  <r>
    <n v="47"/>
    <x v="1"/>
    <x v="23"/>
    <x v="0"/>
    <s v="No"/>
    <x v="1"/>
    <x v="0"/>
    <x v="1"/>
    <n v="0.2273"/>
    <x v="19"/>
    <x v="8"/>
    <n v="0"/>
    <n v="8"/>
    <n v="8"/>
  </r>
  <r>
    <n v="48"/>
    <x v="2"/>
    <x v="0"/>
    <x v="0"/>
    <s v="No"/>
    <x v="2"/>
    <x v="0"/>
    <x v="1"/>
    <n v="0.19700000000000001"/>
    <x v="18"/>
    <x v="11"/>
    <n v="0"/>
    <n v="5"/>
    <n v="5"/>
  </r>
  <r>
    <n v="49"/>
    <x v="2"/>
    <x v="1"/>
    <x v="0"/>
    <s v="No"/>
    <x v="2"/>
    <x v="0"/>
    <x v="2"/>
    <n v="0.29047656249999987"/>
    <x v="18"/>
    <x v="12"/>
    <n v="0"/>
    <n v="2"/>
    <n v="2"/>
  </r>
  <r>
    <n v="50"/>
    <x v="2"/>
    <x v="4"/>
    <x v="0"/>
    <s v="No"/>
    <x v="2"/>
    <x v="0"/>
    <x v="13"/>
    <n v="0.13639999999999999"/>
    <x v="19"/>
    <x v="13"/>
    <n v="0"/>
    <n v="1"/>
    <n v="1"/>
  </r>
  <r>
    <n v="51"/>
    <x v="2"/>
    <x v="5"/>
    <x v="0"/>
    <s v="No"/>
    <x v="2"/>
    <x v="0"/>
    <x v="13"/>
    <n v="0.13639999999999999"/>
    <x v="19"/>
    <x v="3"/>
    <n v="0"/>
    <n v="3"/>
    <n v="3"/>
  </r>
  <r>
    <n v="52"/>
    <x v="2"/>
    <x v="6"/>
    <x v="0"/>
    <s v="No"/>
    <x v="2"/>
    <x v="0"/>
    <x v="14"/>
    <n v="0.1061"/>
    <x v="20"/>
    <x v="13"/>
    <n v="0"/>
    <n v="30"/>
    <n v="30"/>
  </r>
  <r>
    <n v="53"/>
    <x v="2"/>
    <x v="7"/>
    <x v="0"/>
    <s v="No"/>
    <x v="2"/>
    <x v="0"/>
    <x v="14"/>
    <n v="0.13639999999999999"/>
    <x v="20"/>
    <x v="5"/>
    <n v="1"/>
    <n v="63"/>
    <n v="64"/>
  </r>
  <r>
    <n v="54"/>
    <x v="2"/>
    <x v="8"/>
    <x v="0"/>
    <s v="No"/>
    <x v="2"/>
    <x v="0"/>
    <x v="14"/>
    <n v="0.1212"/>
    <x v="20"/>
    <x v="3"/>
    <n v="1"/>
    <n v="153"/>
    <n v="154"/>
  </r>
  <r>
    <n v="55"/>
    <x v="2"/>
    <x v="9"/>
    <x v="0"/>
    <s v="No"/>
    <x v="2"/>
    <x v="0"/>
    <x v="13"/>
    <n v="0.13639999999999999"/>
    <x v="21"/>
    <x v="13"/>
    <n v="7"/>
    <n v="81"/>
    <n v="88"/>
  </r>
  <r>
    <n v="56"/>
    <x v="2"/>
    <x v="10"/>
    <x v="0"/>
    <s v="No"/>
    <x v="2"/>
    <x v="0"/>
    <x v="15"/>
    <n v="0.16669999999999999"/>
    <x v="21"/>
    <x v="2"/>
    <n v="11"/>
    <n v="33"/>
    <n v="44"/>
  </r>
  <r>
    <n v="57"/>
    <x v="2"/>
    <x v="11"/>
    <x v="0"/>
    <s v="No"/>
    <x v="2"/>
    <x v="0"/>
    <x v="2"/>
    <n v="0.18179999999999999"/>
    <x v="22"/>
    <x v="9"/>
    <n v="10"/>
    <n v="41"/>
    <n v="51"/>
  </r>
  <r>
    <n v="58"/>
    <x v="2"/>
    <x v="12"/>
    <x v="0"/>
    <s v="No"/>
    <x v="2"/>
    <x v="0"/>
    <x v="1"/>
    <n v="0.21210000000000001"/>
    <x v="23"/>
    <x v="4"/>
    <n v="13"/>
    <n v="48"/>
    <n v="61"/>
  </r>
  <r>
    <n v="59"/>
    <x v="2"/>
    <x v="13"/>
    <x v="0"/>
    <s v="No"/>
    <x v="2"/>
    <x v="0"/>
    <x v="0"/>
    <n v="0.29047656249999987"/>
    <x v="23"/>
    <x v="3"/>
    <n v="8"/>
    <n v="53"/>
    <n v="61"/>
  </r>
  <r>
    <n v="60"/>
    <x v="2"/>
    <x v="14"/>
    <x v="0"/>
    <s v="No"/>
    <x v="2"/>
    <x v="0"/>
    <x v="12"/>
    <n v="0.2424"/>
    <x v="24"/>
    <x v="3"/>
    <n v="11"/>
    <n v="66"/>
    <n v="77"/>
  </r>
  <r>
    <n v="61"/>
    <x v="2"/>
    <x v="15"/>
    <x v="0"/>
    <s v="No"/>
    <x v="2"/>
    <x v="0"/>
    <x v="12"/>
    <n v="0.2424"/>
    <x v="24"/>
    <x v="2"/>
    <n v="14"/>
    <n v="58"/>
    <n v="72"/>
  </r>
  <r>
    <n v="62"/>
    <x v="2"/>
    <x v="16"/>
    <x v="0"/>
    <s v="No"/>
    <x v="2"/>
    <x v="0"/>
    <x v="12"/>
    <n v="0.2424"/>
    <x v="24"/>
    <x v="2"/>
    <n v="9"/>
    <n v="67"/>
    <n v="76"/>
  </r>
  <r>
    <n v="63"/>
    <x v="2"/>
    <x v="17"/>
    <x v="0"/>
    <s v="No"/>
    <x v="2"/>
    <x v="0"/>
    <x v="0"/>
    <n v="0.2273"/>
    <x v="24"/>
    <x v="6"/>
    <n v="11"/>
    <n v="146"/>
    <n v="157"/>
  </r>
  <r>
    <n v="64"/>
    <x v="2"/>
    <x v="18"/>
    <x v="0"/>
    <s v="No"/>
    <x v="2"/>
    <x v="0"/>
    <x v="0"/>
    <n v="0.2576"/>
    <x v="25"/>
    <x v="14"/>
    <n v="9"/>
    <n v="148"/>
    <n v="157"/>
  </r>
  <r>
    <n v="65"/>
    <x v="2"/>
    <x v="19"/>
    <x v="0"/>
    <s v="No"/>
    <x v="2"/>
    <x v="0"/>
    <x v="2"/>
    <n v="0.2576"/>
    <x v="19"/>
    <x v="0"/>
    <n v="8"/>
    <n v="102"/>
    <n v="110"/>
  </r>
  <r>
    <n v="66"/>
    <x v="2"/>
    <x v="20"/>
    <x v="0"/>
    <s v="No"/>
    <x v="2"/>
    <x v="0"/>
    <x v="2"/>
    <n v="0.29047656249999987"/>
    <x v="19"/>
    <x v="14"/>
    <n v="3"/>
    <n v="49"/>
    <n v="52"/>
  </r>
  <r>
    <n v="67"/>
    <x v="2"/>
    <x v="21"/>
    <x v="0"/>
    <s v="No"/>
    <x v="2"/>
    <x v="0"/>
    <x v="15"/>
    <n v="0.19700000000000001"/>
    <x v="26"/>
    <x v="7"/>
    <n v="3"/>
    <n v="49"/>
    <n v="52"/>
  </r>
  <r>
    <n v="68"/>
    <x v="2"/>
    <x v="22"/>
    <x v="0"/>
    <s v="No"/>
    <x v="2"/>
    <x v="0"/>
    <x v="14"/>
    <n v="0.1515"/>
    <x v="27"/>
    <x v="7"/>
    <n v="0"/>
    <n v="20"/>
    <n v="20"/>
  </r>
  <r>
    <n v="69"/>
    <x v="2"/>
    <x v="23"/>
    <x v="0"/>
    <s v="No"/>
    <x v="2"/>
    <x v="0"/>
    <x v="15"/>
    <n v="0.21210000000000001"/>
    <x v="28"/>
    <x v="14"/>
    <n v="1"/>
    <n v="11"/>
    <n v="12"/>
  </r>
  <r>
    <n v="70"/>
    <x v="3"/>
    <x v="0"/>
    <x v="0"/>
    <s v="No"/>
    <x v="3"/>
    <x v="0"/>
    <x v="13"/>
    <n v="0.29047656249999987"/>
    <x v="28"/>
    <x v="14"/>
    <n v="0"/>
    <n v="5"/>
    <n v="5"/>
  </r>
  <r>
    <n v="71"/>
    <x v="3"/>
    <x v="1"/>
    <x v="0"/>
    <s v="No"/>
    <x v="3"/>
    <x v="0"/>
    <x v="13"/>
    <n v="0.18179999999999999"/>
    <x v="29"/>
    <x v="14"/>
    <n v="0"/>
    <n v="2"/>
    <n v="2"/>
  </r>
  <r>
    <n v="72"/>
    <x v="3"/>
    <x v="2"/>
    <x v="0"/>
    <s v="No"/>
    <x v="3"/>
    <x v="0"/>
    <x v="14"/>
    <n v="0.1515"/>
    <x v="30"/>
    <x v="7"/>
    <n v="0"/>
    <n v="1"/>
    <n v="1"/>
  </r>
  <r>
    <n v="73"/>
    <x v="3"/>
    <x v="4"/>
    <x v="0"/>
    <s v="No"/>
    <x v="3"/>
    <x v="0"/>
    <x v="14"/>
    <n v="0.18179999999999999"/>
    <x v="30"/>
    <x v="1"/>
    <n v="0"/>
    <n v="2"/>
    <n v="2"/>
  </r>
  <r>
    <n v="74"/>
    <x v="3"/>
    <x v="5"/>
    <x v="0"/>
    <s v="No"/>
    <x v="3"/>
    <x v="0"/>
    <x v="16"/>
    <n v="0.1515"/>
    <x v="31"/>
    <x v="14"/>
    <n v="0"/>
    <n v="4"/>
    <n v="4"/>
  </r>
  <r>
    <n v="75"/>
    <x v="3"/>
    <x v="6"/>
    <x v="0"/>
    <s v="No"/>
    <x v="3"/>
    <x v="0"/>
    <x v="16"/>
    <n v="0.1515"/>
    <x v="32"/>
    <x v="14"/>
    <n v="0"/>
    <n v="36"/>
    <n v="36"/>
  </r>
  <r>
    <n v="76"/>
    <x v="3"/>
    <x v="7"/>
    <x v="0"/>
    <s v="No"/>
    <x v="3"/>
    <x v="0"/>
    <x v="16"/>
    <n v="0.1515"/>
    <x v="32"/>
    <x v="7"/>
    <n v="2"/>
    <n v="92"/>
    <n v="94"/>
  </r>
  <r>
    <n v="77"/>
    <x v="3"/>
    <x v="8"/>
    <x v="0"/>
    <s v="No"/>
    <x v="3"/>
    <x v="0"/>
    <x v="14"/>
    <n v="0.1515"/>
    <x v="27"/>
    <x v="8"/>
    <n v="2"/>
    <n v="177"/>
    <n v="179"/>
  </r>
  <r>
    <n v="78"/>
    <x v="3"/>
    <x v="9"/>
    <x v="0"/>
    <s v="No"/>
    <x v="3"/>
    <x v="0"/>
    <x v="13"/>
    <n v="0.1515"/>
    <x v="26"/>
    <x v="6"/>
    <n v="2"/>
    <n v="98"/>
    <n v="100"/>
  </r>
  <r>
    <n v="79"/>
    <x v="3"/>
    <x v="10"/>
    <x v="0"/>
    <s v="No"/>
    <x v="3"/>
    <x v="1"/>
    <x v="13"/>
    <n v="0.13639999999999999"/>
    <x v="27"/>
    <x v="9"/>
    <n v="5"/>
    <n v="37"/>
    <n v="42"/>
  </r>
  <r>
    <n v="80"/>
    <x v="3"/>
    <x v="11"/>
    <x v="0"/>
    <s v="No"/>
    <x v="3"/>
    <x v="0"/>
    <x v="1"/>
    <n v="0.21210000000000001"/>
    <x v="33"/>
    <x v="4"/>
    <n v="7"/>
    <n v="50"/>
    <n v="57"/>
  </r>
  <r>
    <n v="81"/>
    <x v="3"/>
    <x v="12"/>
    <x v="0"/>
    <s v="No"/>
    <x v="3"/>
    <x v="0"/>
    <x v="1"/>
    <n v="0.2273"/>
    <x v="33"/>
    <x v="8"/>
    <n v="12"/>
    <n v="66"/>
    <n v="78"/>
  </r>
  <r>
    <n v="82"/>
    <x v="3"/>
    <x v="13"/>
    <x v="0"/>
    <s v="No"/>
    <x v="3"/>
    <x v="0"/>
    <x v="0"/>
    <n v="0.2273"/>
    <x v="34"/>
    <x v="5"/>
    <n v="18"/>
    <n v="79"/>
    <n v="97"/>
  </r>
  <r>
    <n v="83"/>
    <x v="3"/>
    <x v="14"/>
    <x v="0"/>
    <s v="No"/>
    <x v="3"/>
    <x v="0"/>
    <x v="12"/>
    <n v="0.2576"/>
    <x v="35"/>
    <x v="6"/>
    <n v="9"/>
    <n v="54"/>
    <n v="63"/>
  </r>
  <r>
    <n v="84"/>
    <x v="3"/>
    <x v="15"/>
    <x v="0"/>
    <s v="No"/>
    <x v="3"/>
    <x v="0"/>
    <x v="17"/>
    <n v="0.2727"/>
    <x v="35"/>
    <x v="2"/>
    <n v="17"/>
    <n v="48"/>
    <n v="65"/>
  </r>
  <r>
    <n v="85"/>
    <x v="3"/>
    <x v="16"/>
    <x v="0"/>
    <s v="No"/>
    <x v="3"/>
    <x v="0"/>
    <x v="11"/>
    <n v="0.28789999999999999"/>
    <x v="36"/>
    <x v="2"/>
    <n v="15"/>
    <n v="68"/>
    <n v="83"/>
  </r>
  <r>
    <n v="86"/>
    <x v="3"/>
    <x v="17"/>
    <x v="0"/>
    <s v="No"/>
    <x v="3"/>
    <x v="0"/>
    <x v="17"/>
    <n v="0.2727"/>
    <x v="37"/>
    <x v="6"/>
    <n v="10"/>
    <n v="202"/>
    <n v="212"/>
  </r>
  <r>
    <n v="87"/>
    <x v="3"/>
    <x v="18"/>
    <x v="0"/>
    <s v="No"/>
    <x v="3"/>
    <x v="0"/>
    <x v="12"/>
    <n v="0.2576"/>
    <x v="37"/>
    <x v="5"/>
    <n v="3"/>
    <n v="179"/>
    <n v="182"/>
  </r>
  <r>
    <n v="88"/>
    <x v="3"/>
    <x v="19"/>
    <x v="0"/>
    <s v="No"/>
    <x v="3"/>
    <x v="0"/>
    <x v="0"/>
    <n v="0.2576"/>
    <x v="37"/>
    <x v="14"/>
    <n v="2"/>
    <n v="110"/>
    <n v="112"/>
  </r>
  <r>
    <n v="89"/>
    <x v="3"/>
    <x v="20"/>
    <x v="0"/>
    <s v="No"/>
    <x v="3"/>
    <x v="0"/>
    <x v="0"/>
    <n v="0.2576"/>
    <x v="37"/>
    <x v="14"/>
    <n v="1"/>
    <n v="53"/>
    <n v="54"/>
  </r>
  <r>
    <n v="90"/>
    <x v="3"/>
    <x v="21"/>
    <x v="0"/>
    <s v="No"/>
    <x v="3"/>
    <x v="0"/>
    <x v="1"/>
    <n v="0.2727"/>
    <x v="26"/>
    <x v="0"/>
    <n v="0"/>
    <n v="48"/>
    <n v="48"/>
  </r>
  <r>
    <n v="91"/>
    <x v="3"/>
    <x v="22"/>
    <x v="0"/>
    <s v="No"/>
    <x v="3"/>
    <x v="0"/>
    <x v="1"/>
    <n v="0.2576"/>
    <x v="26"/>
    <x v="1"/>
    <n v="1"/>
    <n v="34"/>
    <n v="35"/>
  </r>
  <r>
    <n v="92"/>
    <x v="3"/>
    <x v="23"/>
    <x v="0"/>
    <s v="No"/>
    <x v="3"/>
    <x v="0"/>
    <x v="2"/>
    <n v="0.2273"/>
    <x v="27"/>
    <x v="1"/>
    <n v="2"/>
    <n v="9"/>
    <n v="11"/>
  </r>
  <r>
    <n v="93"/>
    <x v="4"/>
    <x v="0"/>
    <x v="0"/>
    <s v="No"/>
    <x v="4"/>
    <x v="0"/>
    <x v="2"/>
    <n v="0.2576"/>
    <x v="26"/>
    <x v="0"/>
    <n v="0"/>
    <n v="6"/>
    <n v="6"/>
  </r>
  <r>
    <n v="94"/>
    <x v="4"/>
    <x v="1"/>
    <x v="0"/>
    <s v="No"/>
    <x v="4"/>
    <x v="0"/>
    <x v="13"/>
    <n v="0.19700000000000001"/>
    <x v="32"/>
    <x v="1"/>
    <n v="0"/>
    <n v="6"/>
    <n v="6"/>
  </r>
  <r>
    <n v="95"/>
    <x v="4"/>
    <x v="2"/>
    <x v="0"/>
    <s v="No"/>
    <x v="4"/>
    <x v="0"/>
    <x v="13"/>
    <n v="0.19700000000000001"/>
    <x v="32"/>
    <x v="1"/>
    <n v="0"/>
    <n v="2"/>
    <n v="2"/>
  </r>
  <r>
    <n v="96"/>
    <x v="4"/>
    <x v="4"/>
    <x v="0"/>
    <s v="No"/>
    <x v="4"/>
    <x v="0"/>
    <x v="0"/>
    <n v="0.2273"/>
    <x v="37"/>
    <x v="6"/>
    <n v="0"/>
    <n v="2"/>
    <n v="2"/>
  </r>
  <r>
    <n v="97"/>
    <x v="4"/>
    <x v="5"/>
    <x v="0"/>
    <s v="No"/>
    <x v="4"/>
    <x v="0"/>
    <x v="1"/>
    <n v="0.2273"/>
    <x v="19"/>
    <x v="8"/>
    <n v="0"/>
    <n v="3"/>
    <n v="3"/>
  </r>
  <r>
    <n v="98"/>
    <x v="4"/>
    <x v="6"/>
    <x v="0"/>
    <s v="No"/>
    <x v="4"/>
    <x v="0"/>
    <x v="2"/>
    <n v="0.19700000000000001"/>
    <x v="19"/>
    <x v="6"/>
    <n v="0"/>
    <n v="33"/>
    <n v="33"/>
  </r>
  <r>
    <n v="99"/>
    <x v="4"/>
    <x v="7"/>
    <x v="0"/>
    <s v="No"/>
    <x v="4"/>
    <x v="0"/>
    <x v="15"/>
    <n v="0.18179999999999999"/>
    <x v="21"/>
    <x v="5"/>
    <n v="1"/>
    <n v="87"/>
    <n v="88"/>
  </r>
  <r>
    <n v="100"/>
    <x v="4"/>
    <x v="8"/>
    <x v="0"/>
    <s v="No"/>
    <x v="4"/>
    <x v="0"/>
    <x v="2"/>
    <n v="0.18179999999999999"/>
    <x v="22"/>
    <x v="4"/>
    <n v="3"/>
    <n v="192"/>
    <n v="195"/>
  </r>
  <r>
    <n v="101"/>
    <x v="4"/>
    <x v="9"/>
    <x v="0"/>
    <s v="No"/>
    <x v="4"/>
    <x v="0"/>
    <x v="1"/>
    <n v="0.19700000000000001"/>
    <x v="38"/>
    <x v="9"/>
    <n v="6"/>
    <n v="109"/>
    <n v="115"/>
  </r>
  <r>
    <n v="102"/>
    <x v="4"/>
    <x v="10"/>
    <x v="0"/>
    <s v="No"/>
    <x v="4"/>
    <x v="0"/>
    <x v="1"/>
    <n v="0.19700000000000001"/>
    <x v="38"/>
    <x v="9"/>
    <n v="4"/>
    <n v="53"/>
    <n v="57"/>
  </r>
  <r>
    <n v="103"/>
    <x v="4"/>
    <x v="11"/>
    <x v="0"/>
    <s v="No"/>
    <x v="4"/>
    <x v="0"/>
    <x v="12"/>
    <n v="0.2273"/>
    <x v="39"/>
    <x v="9"/>
    <n v="12"/>
    <n v="34"/>
    <n v="46"/>
  </r>
  <r>
    <n v="104"/>
    <x v="4"/>
    <x v="12"/>
    <x v="0"/>
    <s v="No"/>
    <x v="4"/>
    <x v="0"/>
    <x v="12"/>
    <n v="0.2273"/>
    <x v="39"/>
    <x v="9"/>
    <n v="5"/>
    <n v="74"/>
    <n v="79"/>
  </r>
  <r>
    <n v="105"/>
    <x v="4"/>
    <x v="13"/>
    <x v="0"/>
    <s v="No"/>
    <x v="4"/>
    <x v="0"/>
    <x v="17"/>
    <n v="0.2576"/>
    <x v="24"/>
    <x v="4"/>
    <n v="6"/>
    <n v="65"/>
    <n v="71"/>
  </r>
  <r>
    <n v="106"/>
    <x v="4"/>
    <x v="14"/>
    <x v="0"/>
    <s v="No"/>
    <x v="4"/>
    <x v="0"/>
    <x v="11"/>
    <n v="0.28789999999999999"/>
    <x v="40"/>
    <x v="5"/>
    <n v="10"/>
    <n v="52"/>
    <n v="62"/>
  </r>
  <r>
    <n v="107"/>
    <x v="4"/>
    <x v="15"/>
    <x v="0"/>
    <s v="No"/>
    <x v="4"/>
    <x v="0"/>
    <x v="11"/>
    <n v="0.28789999999999999"/>
    <x v="40"/>
    <x v="5"/>
    <n v="7"/>
    <n v="55"/>
    <n v="62"/>
  </r>
  <r>
    <n v="108"/>
    <x v="4"/>
    <x v="16"/>
    <x v="0"/>
    <s v="No"/>
    <x v="4"/>
    <x v="0"/>
    <x v="11"/>
    <n v="0.31819999999999998"/>
    <x v="40"/>
    <x v="1"/>
    <n v="4"/>
    <n v="85"/>
    <n v="89"/>
  </r>
  <r>
    <n v="109"/>
    <x v="4"/>
    <x v="17"/>
    <x v="0"/>
    <s v="No"/>
    <x v="4"/>
    <x v="0"/>
    <x v="0"/>
    <n v="0.2273"/>
    <x v="41"/>
    <x v="5"/>
    <n v="4"/>
    <n v="186"/>
    <n v="190"/>
  </r>
  <r>
    <n v="110"/>
    <x v="4"/>
    <x v="18"/>
    <x v="0"/>
    <s v="No"/>
    <x v="4"/>
    <x v="0"/>
    <x v="0"/>
    <n v="0.2424"/>
    <x v="41"/>
    <x v="7"/>
    <n v="3"/>
    <n v="166"/>
    <n v="169"/>
  </r>
  <r>
    <n v="111"/>
    <x v="4"/>
    <x v="19"/>
    <x v="0"/>
    <s v="No"/>
    <x v="4"/>
    <x v="0"/>
    <x v="0"/>
    <n v="0.2576"/>
    <x v="41"/>
    <x v="14"/>
    <n v="5"/>
    <n v="127"/>
    <n v="132"/>
  </r>
  <r>
    <n v="112"/>
    <x v="4"/>
    <x v="20"/>
    <x v="0"/>
    <s v="No"/>
    <x v="4"/>
    <x v="0"/>
    <x v="1"/>
    <n v="0.2273"/>
    <x v="19"/>
    <x v="8"/>
    <n v="7"/>
    <n v="82"/>
    <n v="89"/>
  </r>
  <r>
    <n v="113"/>
    <x v="4"/>
    <x v="21"/>
    <x v="0"/>
    <s v="No"/>
    <x v="4"/>
    <x v="0"/>
    <x v="2"/>
    <n v="0.19700000000000001"/>
    <x v="33"/>
    <x v="5"/>
    <n v="3"/>
    <n v="40"/>
    <n v="43"/>
  </r>
  <r>
    <n v="114"/>
    <x v="4"/>
    <x v="22"/>
    <x v="0"/>
    <s v="No"/>
    <x v="4"/>
    <x v="0"/>
    <x v="15"/>
    <n v="0.19700000000000001"/>
    <x v="28"/>
    <x v="7"/>
    <n v="1"/>
    <n v="41"/>
    <n v="42"/>
  </r>
  <r>
    <n v="115"/>
    <x v="4"/>
    <x v="23"/>
    <x v="0"/>
    <s v="No"/>
    <x v="4"/>
    <x v="0"/>
    <x v="2"/>
    <n v="0.2576"/>
    <x v="19"/>
    <x v="0"/>
    <n v="1"/>
    <n v="18"/>
    <n v="19"/>
  </r>
  <r>
    <n v="116"/>
    <x v="5"/>
    <x v="0"/>
    <x v="0"/>
    <s v="No"/>
    <x v="5"/>
    <x v="0"/>
    <x v="15"/>
    <n v="0.2424"/>
    <x v="28"/>
    <x v="0"/>
    <n v="0"/>
    <n v="11"/>
    <n v="11"/>
  </r>
  <r>
    <n v="117"/>
    <x v="5"/>
    <x v="1"/>
    <x v="0"/>
    <s v="No"/>
    <x v="5"/>
    <x v="0"/>
    <x v="13"/>
    <n v="0.2273"/>
    <x v="26"/>
    <x v="0"/>
    <n v="0"/>
    <n v="4"/>
    <n v="4"/>
  </r>
  <r>
    <n v="118"/>
    <x v="5"/>
    <x v="2"/>
    <x v="0"/>
    <s v="No"/>
    <x v="5"/>
    <x v="0"/>
    <x v="13"/>
    <n v="0.2273"/>
    <x v="26"/>
    <x v="0"/>
    <n v="0"/>
    <n v="2"/>
    <n v="2"/>
  </r>
  <r>
    <n v="119"/>
    <x v="5"/>
    <x v="4"/>
    <x v="0"/>
    <s v="No"/>
    <x v="5"/>
    <x v="1"/>
    <x v="13"/>
    <n v="0.19700000000000001"/>
    <x v="26"/>
    <x v="1"/>
    <n v="0"/>
    <n v="1"/>
    <n v="1"/>
  </r>
  <r>
    <n v="120"/>
    <x v="5"/>
    <x v="5"/>
    <x v="0"/>
    <s v="No"/>
    <x v="5"/>
    <x v="1"/>
    <x v="14"/>
    <n v="0.18179999999999999"/>
    <x v="27"/>
    <x v="1"/>
    <n v="0"/>
    <n v="4"/>
    <n v="4"/>
  </r>
  <r>
    <n v="121"/>
    <x v="5"/>
    <x v="6"/>
    <x v="0"/>
    <s v="No"/>
    <x v="5"/>
    <x v="1"/>
    <x v="14"/>
    <n v="0.16669999999999999"/>
    <x v="30"/>
    <x v="14"/>
    <n v="0"/>
    <n v="36"/>
    <n v="36"/>
  </r>
  <r>
    <n v="122"/>
    <x v="5"/>
    <x v="7"/>
    <x v="0"/>
    <s v="No"/>
    <x v="5"/>
    <x v="1"/>
    <x v="13"/>
    <n v="0.2273"/>
    <x v="29"/>
    <x v="0"/>
    <n v="0"/>
    <n v="95"/>
    <n v="95"/>
  </r>
  <r>
    <n v="123"/>
    <x v="5"/>
    <x v="8"/>
    <x v="0"/>
    <s v="No"/>
    <x v="5"/>
    <x v="0"/>
    <x v="13"/>
    <n v="0.2273"/>
    <x v="29"/>
    <x v="0"/>
    <n v="3"/>
    <n v="216"/>
    <n v="219"/>
  </r>
  <r>
    <n v="124"/>
    <x v="5"/>
    <x v="9"/>
    <x v="0"/>
    <s v="No"/>
    <x v="5"/>
    <x v="1"/>
    <x v="15"/>
    <n v="0.2424"/>
    <x v="33"/>
    <x v="0"/>
    <n v="6"/>
    <n v="116"/>
    <n v="122"/>
  </r>
  <r>
    <n v="125"/>
    <x v="5"/>
    <x v="10"/>
    <x v="0"/>
    <s v="No"/>
    <x v="5"/>
    <x v="0"/>
    <x v="2"/>
    <n v="0.2576"/>
    <x v="19"/>
    <x v="0"/>
    <n v="3"/>
    <n v="42"/>
    <n v="45"/>
  </r>
  <r>
    <n v="126"/>
    <x v="5"/>
    <x v="11"/>
    <x v="0"/>
    <s v="No"/>
    <x v="5"/>
    <x v="0"/>
    <x v="1"/>
    <n v="0.2576"/>
    <x v="18"/>
    <x v="1"/>
    <n v="2"/>
    <n v="57"/>
    <n v="59"/>
  </r>
  <r>
    <n v="127"/>
    <x v="5"/>
    <x v="12"/>
    <x v="0"/>
    <s v="No"/>
    <x v="5"/>
    <x v="0"/>
    <x v="12"/>
    <n v="0.28789999999999999"/>
    <x v="23"/>
    <x v="0"/>
    <n v="6"/>
    <n v="78"/>
    <n v="84"/>
  </r>
  <r>
    <n v="128"/>
    <x v="5"/>
    <x v="13"/>
    <x v="0"/>
    <s v="No"/>
    <x v="5"/>
    <x v="0"/>
    <x v="12"/>
    <n v="0.2727"/>
    <x v="23"/>
    <x v="14"/>
    <n v="12"/>
    <n v="55"/>
    <n v="67"/>
  </r>
  <r>
    <n v="129"/>
    <x v="5"/>
    <x v="14"/>
    <x v="0"/>
    <s v="No"/>
    <x v="5"/>
    <x v="0"/>
    <x v="17"/>
    <n v="0.2727"/>
    <x v="42"/>
    <x v="8"/>
    <n v="11"/>
    <n v="59"/>
    <n v="70"/>
  </r>
  <r>
    <n v="130"/>
    <x v="5"/>
    <x v="15"/>
    <x v="0"/>
    <s v="No"/>
    <x v="5"/>
    <x v="0"/>
    <x v="17"/>
    <n v="0.2727"/>
    <x v="42"/>
    <x v="0"/>
    <n v="8"/>
    <n v="54"/>
    <n v="62"/>
  </r>
  <r>
    <n v="131"/>
    <x v="5"/>
    <x v="16"/>
    <x v="0"/>
    <s v="No"/>
    <x v="5"/>
    <x v="0"/>
    <x v="12"/>
    <n v="0.2576"/>
    <x v="41"/>
    <x v="8"/>
    <n v="12"/>
    <n v="74"/>
    <n v="86"/>
  </r>
  <r>
    <n v="132"/>
    <x v="5"/>
    <x v="17"/>
    <x v="0"/>
    <s v="No"/>
    <x v="5"/>
    <x v="0"/>
    <x v="1"/>
    <n v="0.2273"/>
    <x v="33"/>
    <x v="8"/>
    <n v="9"/>
    <n v="163"/>
    <n v="172"/>
  </r>
  <r>
    <n v="133"/>
    <x v="5"/>
    <x v="18"/>
    <x v="0"/>
    <s v="No"/>
    <x v="5"/>
    <x v="0"/>
    <x v="1"/>
    <n v="0.2273"/>
    <x v="33"/>
    <x v="7"/>
    <n v="5"/>
    <n v="158"/>
    <n v="163"/>
  </r>
  <r>
    <n v="134"/>
    <x v="5"/>
    <x v="19"/>
    <x v="0"/>
    <s v="No"/>
    <x v="5"/>
    <x v="0"/>
    <x v="1"/>
    <n v="0.2576"/>
    <x v="28"/>
    <x v="1"/>
    <n v="3"/>
    <n v="109"/>
    <n v="112"/>
  </r>
  <r>
    <n v="135"/>
    <x v="5"/>
    <x v="20"/>
    <x v="0"/>
    <s v="No"/>
    <x v="5"/>
    <x v="0"/>
    <x v="2"/>
    <n v="0.21210000000000001"/>
    <x v="33"/>
    <x v="8"/>
    <n v="3"/>
    <n v="66"/>
    <n v="69"/>
  </r>
  <r>
    <n v="136"/>
    <x v="5"/>
    <x v="21"/>
    <x v="0"/>
    <s v="No"/>
    <x v="5"/>
    <x v="1"/>
    <x v="1"/>
    <n v="0.21210000000000001"/>
    <x v="28"/>
    <x v="6"/>
    <n v="0"/>
    <n v="48"/>
    <n v="48"/>
  </r>
  <r>
    <n v="137"/>
    <x v="5"/>
    <x v="22"/>
    <x v="0"/>
    <s v="No"/>
    <x v="5"/>
    <x v="1"/>
    <x v="1"/>
    <n v="0.21210000000000001"/>
    <x v="33"/>
    <x v="3"/>
    <n v="1"/>
    <n v="51"/>
    <n v="52"/>
  </r>
  <r>
    <n v="138"/>
    <x v="5"/>
    <x v="23"/>
    <x v="0"/>
    <s v="No"/>
    <x v="5"/>
    <x v="1"/>
    <x v="2"/>
    <n v="0.19700000000000001"/>
    <x v="29"/>
    <x v="5"/>
    <n v="4"/>
    <n v="19"/>
    <n v="23"/>
  </r>
  <r>
    <n v="139"/>
    <x v="6"/>
    <x v="0"/>
    <x v="0"/>
    <s v="No"/>
    <x v="6"/>
    <x v="1"/>
    <x v="2"/>
    <n v="0.19700000000000001"/>
    <x v="26"/>
    <x v="5"/>
    <n v="4"/>
    <n v="13"/>
    <n v="17"/>
  </r>
  <r>
    <n v="140"/>
    <x v="6"/>
    <x v="1"/>
    <x v="0"/>
    <s v="No"/>
    <x v="6"/>
    <x v="1"/>
    <x v="2"/>
    <n v="0.19700000000000001"/>
    <x v="27"/>
    <x v="6"/>
    <n v="2"/>
    <n v="5"/>
    <n v="7"/>
  </r>
  <r>
    <n v="141"/>
    <x v="6"/>
    <x v="2"/>
    <x v="0"/>
    <s v="No"/>
    <x v="6"/>
    <x v="1"/>
    <x v="2"/>
    <n v="0.19700000000000001"/>
    <x v="27"/>
    <x v="6"/>
    <n v="0"/>
    <n v="1"/>
    <n v="1"/>
  </r>
  <r>
    <n v="142"/>
    <x v="6"/>
    <x v="4"/>
    <x v="0"/>
    <s v="No"/>
    <x v="6"/>
    <x v="1"/>
    <x v="2"/>
    <n v="0.21210000000000001"/>
    <x v="27"/>
    <x v="7"/>
    <n v="0"/>
    <n v="1"/>
    <n v="1"/>
  </r>
  <r>
    <n v="143"/>
    <x v="6"/>
    <x v="5"/>
    <x v="0"/>
    <s v="No"/>
    <x v="6"/>
    <x v="2"/>
    <x v="1"/>
    <n v="0.2727"/>
    <x v="28"/>
    <x v="0"/>
    <n v="0"/>
    <n v="5"/>
    <n v="5"/>
  </r>
  <r>
    <n v="144"/>
    <x v="6"/>
    <x v="6"/>
    <x v="0"/>
    <s v="No"/>
    <x v="6"/>
    <x v="1"/>
    <x v="2"/>
    <n v="0.2576"/>
    <x v="27"/>
    <x v="0"/>
    <n v="8"/>
    <n v="26"/>
    <n v="34"/>
  </r>
  <r>
    <n v="145"/>
    <x v="6"/>
    <x v="7"/>
    <x v="0"/>
    <s v="No"/>
    <x v="6"/>
    <x v="0"/>
    <x v="2"/>
    <n v="0.21210000000000001"/>
    <x v="27"/>
    <x v="7"/>
    <n v="8"/>
    <n v="76"/>
    <n v="84"/>
  </r>
  <r>
    <n v="146"/>
    <x v="6"/>
    <x v="8"/>
    <x v="0"/>
    <s v="No"/>
    <x v="6"/>
    <x v="0"/>
    <x v="2"/>
    <n v="0.19700000000000001"/>
    <x v="33"/>
    <x v="2"/>
    <n v="20"/>
    <n v="190"/>
    <n v="210"/>
  </r>
  <r>
    <n v="147"/>
    <x v="6"/>
    <x v="9"/>
    <x v="0"/>
    <s v="No"/>
    <x v="6"/>
    <x v="0"/>
    <x v="2"/>
    <n v="0.18179999999999999"/>
    <x v="19"/>
    <x v="4"/>
    <n v="9"/>
    <n v="125"/>
    <n v="134"/>
  </r>
  <r>
    <n v="148"/>
    <x v="6"/>
    <x v="10"/>
    <x v="0"/>
    <s v="No"/>
    <x v="6"/>
    <x v="0"/>
    <x v="1"/>
    <n v="0.19700000000000001"/>
    <x v="38"/>
    <x v="9"/>
    <n v="16"/>
    <n v="47"/>
    <n v="63"/>
  </r>
  <r>
    <n v="149"/>
    <x v="6"/>
    <x v="11"/>
    <x v="0"/>
    <s v="No"/>
    <x v="6"/>
    <x v="1"/>
    <x v="2"/>
    <n v="0.19700000000000001"/>
    <x v="22"/>
    <x v="6"/>
    <n v="19"/>
    <n v="48"/>
    <n v="67"/>
  </r>
  <r>
    <n v="150"/>
    <x v="6"/>
    <x v="12"/>
    <x v="0"/>
    <s v="No"/>
    <x v="6"/>
    <x v="1"/>
    <x v="2"/>
    <n v="0.19700000000000001"/>
    <x v="38"/>
    <x v="2"/>
    <n v="9"/>
    <n v="50"/>
    <n v="59"/>
  </r>
  <r>
    <n v="151"/>
    <x v="6"/>
    <x v="13"/>
    <x v="0"/>
    <s v="No"/>
    <x v="6"/>
    <x v="1"/>
    <x v="2"/>
    <n v="0.18179999999999999"/>
    <x v="38"/>
    <x v="3"/>
    <n v="9"/>
    <n v="64"/>
    <n v="73"/>
  </r>
  <r>
    <n v="152"/>
    <x v="6"/>
    <x v="14"/>
    <x v="0"/>
    <s v="No"/>
    <x v="6"/>
    <x v="1"/>
    <x v="2"/>
    <n v="0.19700000000000001"/>
    <x v="22"/>
    <x v="2"/>
    <n v="7"/>
    <n v="43"/>
    <n v="50"/>
  </r>
  <r>
    <n v="153"/>
    <x v="6"/>
    <x v="15"/>
    <x v="0"/>
    <s v="No"/>
    <x v="6"/>
    <x v="1"/>
    <x v="2"/>
    <n v="0.21210000000000001"/>
    <x v="38"/>
    <x v="8"/>
    <n v="9"/>
    <n v="63"/>
    <n v="72"/>
  </r>
  <r>
    <n v="154"/>
    <x v="6"/>
    <x v="16"/>
    <x v="0"/>
    <s v="No"/>
    <x v="6"/>
    <x v="1"/>
    <x v="2"/>
    <n v="0.21210000000000001"/>
    <x v="38"/>
    <x v="8"/>
    <n v="5"/>
    <n v="82"/>
    <n v="87"/>
  </r>
  <r>
    <n v="155"/>
    <x v="6"/>
    <x v="17"/>
    <x v="0"/>
    <s v="No"/>
    <x v="6"/>
    <x v="1"/>
    <x v="2"/>
    <n v="0.2576"/>
    <x v="38"/>
    <x v="0"/>
    <n v="9"/>
    <n v="178"/>
    <n v="187"/>
  </r>
  <r>
    <n v="156"/>
    <x v="6"/>
    <x v="18"/>
    <x v="0"/>
    <s v="No"/>
    <x v="6"/>
    <x v="0"/>
    <x v="2"/>
    <n v="0.2273"/>
    <x v="22"/>
    <x v="1"/>
    <n v="7"/>
    <n v="116"/>
    <n v="123"/>
  </r>
  <r>
    <n v="157"/>
    <x v="6"/>
    <x v="19"/>
    <x v="0"/>
    <s v="No"/>
    <x v="6"/>
    <x v="0"/>
    <x v="13"/>
    <n v="0.19700000000000001"/>
    <x v="28"/>
    <x v="1"/>
    <n v="3"/>
    <n v="92"/>
    <n v="95"/>
  </r>
  <r>
    <n v="158"/>
    <x v="6"/>
    <x v="20"/>
    <x v="0"/>
    <s v="No"/>
    <x v="6"/>
    <x v="0"/>
    <x v="15"/>
    <n v="0.21210000000000001"/>
    <x v="19"/>
    <x v="14"/>
    <n v="1"/>
    <n v="50"/>
    <n v="51"/>
  </r>
  <r>
    <n v="159"/>
    <x v="6"/>
    <x v="21"/>
    <x v="0"/>
    <s v="No"/>
    <x v="6"/>
    <x v="0"/>
    <x v="15"/>
    <n v="0.19700000000000001"/>
    <x v="19"/>
    <x v="7"/>
    <n v="0"/>
    <n v="39"/>
    <n v="39"/>
  </r>
  <r>
    <n v="160"/>
    <x v="6"/>
    <x v="22"/>
    <x v="0"/>
    <s v="No"/>
    <x v="6"/>
    <x v="1"/>
    <x v="15"/>
    <n v="0.19700000000000001"/>
    <x v="21"/>
    <x v="8"/>
    <n v="2"/>
    <n v="34"/>
    <n v="36"/>
  </r>
  <r>
    <n v="161"/>
    <x v="6"/>
    <x v="23"/>
    <x v="0"/>
    <s v="No"/>
    <x v="6"/>
    <x v="1"/>
    <x v="15"/>
    <n v="0.19700000000000001"/>
    <x v="33"/>
    <x v="8"/>
    <n v="1"/>
    <n v="14"/>
    <n v="15"/>
  </r>
  <r>
    <n v="162"/>
    <x v="7"/>
    <x v="0"/>
    <x v="0"/>
    <s v="No"/>
    <x v="0"/>
    <x v="1"/>
    <x v="15"/>
    <n v="0.19700000000000001"/>
    <x v="33"/>
    <x v="8"/>
    <n v="1"/>
    <n v="24"/>
    <n v="25"/>
  </r>
  <r>
    <n v="163"/>
    <x v="7"/>
    <x v="1"/>
    <x v="0"/>
    <s v="No"/>
    <x v="0"/>
    <x v="1"/>
    <x v="15"/>
    <n v="0.21210000000000001"/>
    <x v="28"/>
    <x v="1"/>
    <n v="1"/>
    <n v="15"/>
    <n v="16"/>
  </r>
  <r>
    <n v="164"/>
    <x v="7"/>
    <x v="2"/>
    <x v="0"/>
    <s v="No"/>
    <x v="0"/>
    <x v="1"/>
    <x v="15"/>
    <n v="0.2424"/>
    <x v="28"/>
    <x v="0"/>
    <n v="3"/>
    <n v="13"/>
    <n v="16"/>
  </r>
  <r>
    <n v="165"/>
    <x v="7"/>
    <x v="3"/>
    <x v="0"/>
    <s v="No"/>
    <x v="0"/>
    <x v="2"/>
    <x v="15"/>
    <n v="0.19700000000000001"/>
    <x v="28"/>
    <x v="8"/>
    <n v="0"/>
    <n v="7"/>
    <n v="7"/>
  </r>
  <r>
    <n v="166"/>
    <x v="7"/>
    <x v="4"/>
    <x v="0"/>
    <s v="No"/>
    <x v="0"/>
    <x v="2"/>
    <x v="15"/>
    <n v="0.19700000000000001"/>
    <x v="28"/>
    <x v="8"/>
    <n v="0"/>
    <n v="1"/>
    <n v="1"/>
  </r>
  <r>
    <n v="167"/>
    <x v="7"/>
    <x v="5"/>
    <x v="0"/>
    <s v="No"/>
    <x v="0"/>
    <x v="1"/>
    <x v="13"/>
    <n v="0.16669999999999999"/>
    <x v="32"/>
    <x v="8"/>
    <n v="0"/>
    <n v="5"/>
    <n v="5"/>
  </r>
  <r>
    <n v="168"/>
    <x v="7"/>
    <x v="6"/>
    <x v="0"/>
    <s v="No"/>
    <x v="0"/>
    <x v="1"/>
    <x v="13"/>
    <n v="0.16669999999999999"/>
    <x v="32"/>
    <x v="8"/>
    <n v="0"/>
    <n v="2"/>
    <n v="2"/>
  </r>
  <r>
    <n v="169"/>
    <x v="7"/>
    <x v="7"/>
    <x v="0"/>
    <s v="No"/>
    <x v="0"/>
    <x v="1"/>
    <x v="13"/>
    <n v="0.18179999999999999"/>
    <x v="32"/>
    <x v="14"/>
    <n v="1"/>
    <n v="8"/>
    <n v="9"/>
  </r>
  <r>
    <n v="170"/>
    <x v="7"/>
    <x v="8"/>
    <x v="0"/>
    <s v="No"/>
    <x v="0"/>
    <x v="2"/>
    <x v="13"/>
    <n v="0.18179999999999999"/>
    <x v="43"/>
    <x v="14"/>
    <n v="0"/>
    <n v="15"/>
    <n v="15"/>
  </r>
  <r>
    <n v="171"/>
    <x v="7"/>
    <x v="9"/>
    <x v="0"/>
    <s v="No"/>
    <x v="0"/>
    <x v="2"/>
    <x v="13"/>
    <n v="0.18179999999999999"/>
    <x v="43"/>
    <x v="14"/>
    <n v="0"/>
    <n v="20"/>
    <n v="20"/>
  </r>
  <r>
    <n v="172"/>
    <x v="7"/>
    <x v="10"/>
    <x v="0"/>
    <s v="No"/>
    <x v="0"/>
    <x v="1"/>
    <x v="15"/>
    <n v="0.19700000000000001"/>
    <x v="1"/>
    <x v="8"/>
    <n v="5"/>
    <n v="56"/>
    <n v="61"/>
  </r>
  <r>
    <n v="173"/>
    <x v="7"/>
    <x v="11"/>
    <x v="0"/>
    <s v="No"/>
    <x v="0"/>
    <x v="1"/>
    <x v="2"/>
    <n v="0.18179999999999999"/>
    <x v="27"/>
    <x v="13"/>
    <n v="2"/>
    <n v="60"/>
    <n v="62"/>
  </r>
  <r>
    <n v="174"/>
    <x v="7"/>
    <x v="12"/>
    <x v="0"/>
    <s v="No"/>
    <x v="0"/>
    <x v="1"/>
    <x v="2"/>
    <n v="0.18179999999999999"/>
    <x v="29"/>
    <x v="11"/>
    <n v="8"/>
    <n v="90"/>
    <n v="98"/>
  </r>
  <r>
    <n v="175"/>
    <x v="7"/>
    <x v="13"/>
    <x v="0"/>
    <s v="No"/>
    <x v="0"/>
    <x v="0"/>
    <x v="2"/>
    <n v="0.18179999999999999"/>
    <x v="18"/>
    <x v="9"/>
    <n v="7"/>
    <n v="95"/>
    <n v="102"/>
  </r>
  <r>
    <n v="176"/>
    <x v="7"/>
    <x v="14"/>
    <x v="0"/>
    <s v="No"/>
    <x v="0"/>
    <x v="0"/>
    <x v="2"/>
    <n v="0.16669999999999999"/>
    <x v="25"/>
    <x v="15"/>
    <n v="12"/>
    <n v="83"/>
    <n v="95"/>
  </r>
  <r>
    <n v="177"/>
    <x v="7"/>
    <x v="15"/>
    <x v="0"/>
    <s v="No"/>
    <x v="0"/>
    <x v="0"/>
    <x v="2"/>
    <n v="0.16669999999999999"/>
    <x v="25"/>
    <x v="10"/>
    <n v="5"/>
    <n v="69"/>
    <n v="74"/>
  </r>
  <r>
    <n v="178"/>
    <x v="7"/>
    <x v="16"/>
    <x v="0"/>
    <s v="No"/>
    <x v="0"/>
    <x v="0"/>
    <x v="15"/>
    <n v="0.13639999999999999"/>
    <x v="44"/>
    <x v="10"/>
    <n v="8"/>
    <n v="68"/>
    <n v="76"/>
  </r>
  <r>
    <n v="179"/>
    <x v="7"/>
    <x v="17"/>
    <x v="0"/>
    <s v="No"/>
    <x v="0"/>
    <x v="0"/>
    <x v="13"/>
    <n v="0.1212"/>
    <x v="38"/>
    <x v="16"/>
    <n v="5"/>
    <n v="64"/>
    <n v="69"/>
  </r>
  <r>
    <n v="180"/>
    <x v="7"/>
    <x v="18"/>
    <x v="0"/>
    <s v="No"/>
    <x v="0"/>
    <x v="0"/>
    <x v="14"/>
    <n v="0.1212"/>
    <x v="17"/>
    <x v="4"/>
    <n v="3"/>
    <n v="52"/>
    <n v="55"/>
  </r>
  <r>
    <n v="181"/>
    <x v="7"/>
    <x v="19"/>
    <x v="0"/>
    <s v="No"/>
    <x v="0"/>
    <x v="0"/>
    <x v="14"/>
    <n v="0.1212"/>
    <x v="42"/>
    <x v="2"/>
    <n v="4"/>
    <n v="26"/>
    <n v="30"/>
  </r>
  <r>
    <n v="182"/>
    <x v="7"/>
    <x v="20"/>
    <x v="0"/>
    <s v="No"/>
    <x v="0"/>
    <x v="0"/>
    <x v="16"/>
    <n v="0.1212"/>
    <x v="42"/>
    <x v="2"/>
    <n v="0"/>
    <n v="28"/>
    <n v="28"/>
  </r>
  <r>
    <n v="183"/>
    <x v="7"/>
    <x v="21"/>
    <x v="0"/>
    <s v="No"/>
    <x v="0"/>
    <x v="0"/>
    <x v="16"/>
    <n v="0.1061"/>
    <x v="17"/>
    <x v="11"/>
    <n v="2"/>
    <n v="35"/>
    <n v="37"/>
  </r>
  <r>
    <n v="184"/>
    <x v="7"/>
    <x v="22"/>
    <x v="0"/>
    <s v="No"/>
    <x v="0"/>
    <x v="0"/>
    <x v="16"/>
    <n v="0.1061"/>
    <x v="42"/>
    <x v="13"/>
    <n v="1"/>
    <n v="33"/>
    <n v="34"/>
  </r>
  <r>
    <n v="185"/>
    <x v="7"/>
    <x v="23"/>
    <x v="0"/>
    <s v="No"/>
    <x v="0"/>
    <x v="0"/>
    <x v="18"/>
    <n v="6.0600000000000001E-2"/>
    <x v="17"/>
    <x v="10"/>
    <n v="0"/>
    <n v="22"/>
    <n v="22"/>
  </r>
  <r>
    <n v="186"/>
    <x v="8"/>
    <x v="0"/>
    <x v="0"/>
    <s v="No"/>
    <x v="1"/>
    <x v="0"/>
    <x v="18"/>
    <n v="7.5800000000000006E-2"/>
    <x v="16"/>
    <x v="13"/>
    <n v="1"/>
    <n v="24"/>
    <n v="25"/>
  </r>
  <r>
    <n v="187"/>
    <x v="8"/>
    <x v="1"/>
    <x v="0"/>
    <s v="No"/>
    <x v="1"/>
    <x v="0"/>
    <x v="18"/>
    <n v="6.0600000000000001E-2"/>
    <x v="16"/>
    <x v="17"/>
    <n v="0"/>
    <n v="12"/>
    <n v="12"/>
  </r>
  <r>
    <n v="188"/>
    <x v="8"/>
    <x v="2"/>
    <x v="0"/>
    <s v="No"/>
    <x v="1"/>
    <x v="0"/>
    <x v="18"/>
    <n v="6.0600000000000001E-2"/>
    <x v="15"/>
    <x v="17"/>
    <n v="0"/>
    <n v="11"/>
    <n v="11"/>
  </r>
  <r>
    <n v="189"/>
    <x v="8"/>
    <x v="3"/>
    <x v="0"/>
    <s v="No"/>
    <x v="1"/>
    <x v="0"/>
    <x v="18"/>
    <n v="7.5800000000000006E-2"/>
    <x v="15"/>
    <x v="12"/>
    <n v="0"/>
    <n v="4"/>
    <n v="4"/>
  </r>
  <r>
    <n v="190"/>
    <x v="8"/>
    <x v="4"/>
    <x v="0"/>
    <s v="No"/>
    <x v="1"/>
    <x v="0"/>
    <x v="19"/>
    <n v="9.0899999999999995E-2"/>
    <x v="45"/>
    <x v="5"/>
    <n v="0"/>
    <n v="1"/>
    <n v="1"/>
  </r>
  <r>
    <n v="191"/>
    <x v="8"/>
    <x v="5"/>
    <x v="0"/>
    <s v="No"/>
    <x v="1"/>
    <x v="0"/>
    <x v="19"/>
    <n v="9.0899999999999995E-2"/>
    <x v="45"/>
    <x v="5"/>
    <n v="0"/>
    <n v="1"/>
    <n v="1"/>
  </r>
  <r>
    <n v="192"/>
    <x v="8"/>
    <x v="6"/>
    <x v="0"/>
    <s v="No"/>
    <x v="1"/>
    <x v="0"/>
    <x v="18"/>
    <n v="9.0899999999999995E-2"/>
    <x v="36"/>
    <x v="3"/>
    <n v="0"/>
    <n v="1"/>
    <n v="1"/>
  </r>
  <r>
    <n v="193"/>
    <x v="8"/>
    <x v="7"/>
    <x v="0"/>
    <s v="No"/>
    <x v="1"/>
    <x v="0"/>
    <x v="19"/>
    <n v="9.0899999999999995E-2"/>
    <x v="45"/>
    <x v="5"/>
    <n v="1"/>
    <n v="5"/>
    <n v="6"/>
  </r>
  <r>
    <n v="194"/>
    <x v="8"/>
    <x v="8"/>
    <x v="0"/>
    <s v="No"/>
    <x v="1"/>
    <x v="0"/>
    <x v="18"/>
    <n v="9.0899999999999995E-2"/>
    <x v="36"/>
    <x v="3"/>
    <n v="0"/>
    <n v="10"/>
    <n v="10"/>
  </r>
  <r>
    <n v="195"/>
    <x v="8"/>
    <x v="9"/>
    <x v="0"/>
    <s v="No"/>
    <x v="1"/>
    <x v="0"/>
    <x v="16"/>
    <n v="7.5800000000000006E-2"/>
    <x v="15"/>
    <x v="18"/>
    <n v="0"/>
    <n v="19"/>
    <n v="19"/>
  </r>
  <r>
    <n v="196"/>
    <x v="8"/>
    <x v="10"/>
    <x v="0"/>
    <s v="No"/>
    <x v="1"/>
    <x v="0"/>
    <x v="14"/>
    <n v="0.1061"/>
    <x v="21"/>
    <x v="13"/>
    <n v="0"/>
    <n v="49"/>
    <n v="49"/>
  </r>
  <r>
    <n v="197"/>
    <x v="8"/>
    <x v="11"/>
    <x v="0"/>
    <s v="No"/>
    <x v="1"/>
    <x v="0"/>
    <x v="13"/>
    <n v="0.1212"/>
    <x v="22"/>
    <x v="18"/>
    <n v="2"/>
    <n v="47"/>
    <n v="49"/>
  </r>
  <r>
    <n v="198"/>
    <x v="8"/>
    <x v="12"/>
    <x v="0"/>
    <s v="No"/>
    <x v="1"/>
    <x v="0"/>
    <x v="15"/>
    <n v="0.13639999999999999"/>
    <x v="38"/>
    <x v="10"/>
    <n v="4"/>
    <n v="79"/>
    <n v="83"/>
  </r>
  <r>
    <n v="199"/>
    <x v="8"/>
    <x v="13"/>
    <x v="0"/>
    <s v="No"/>
    <x v="1"/>
    <x v="0"/>
    <x v="2"/>
    <n v="0.16669999999999999"/>
    <x v="46"/>
    <x v="10"/>
    <n v="6"/>
    <n v="69"/>
    <n v="75"/>
  </r>
  <r>
    <n v="200"/>
    <x v="8"/>
    <x v="14"/>
    <x v="0"/>
    <s v="No"/>
    <x v="1"/>
    <x v="0"/>
    <x v="1"/>
    <n v="0.18179999999999999"/>
    <x v="25"/>
    <x v="17"/>
    <n v="8"/>
    <n v="64"/>
    <n v="72"/>
  </r>
  <r>
    <n v="201"/>
    <x v="8"/>
    <x v="15"/>
    <x v="0"/>
    <s v="No"/>
    <x v="1"/>
    <x v="0"/>
    <x v="1"/>
    <n v="0.19700000000000001"/>
    <x v="23"/>
    <x v="11"/>
    <n v="5"/>
    <n v="77"/>
    <n v="82"/>
  </r>
  <r>
    <n v="202"/>
    <x v="8"/>
    <x v="16"/>
    <x v="0"/>
    <s v="No"/>
    <x v="1"/>
    <x v="0"/>
    <x v="2"/>
    <n v="0.16669999999999999"/>
    <x v="46"/>
    <x v="10"/>
    <n v="13"/>
    <n v="79"/>
    <n v="92"/>
  </r>
  <r>
    <n v="203"/>
    <x v="8"/>
    <x v="17"/>
    <x v="0"/>
    <s v="No"/>
    <x v="1"/>
    <x v="0"/>
    <x v="15"/>
    <n v="0.1515"/>
    <x v="38"/>
    <x v="13"/>
    <n v="3"/>
    <n v="59"/>
    <n v="62"/>
  </r>
  <r>
    <n v="204"/>
    <x v="8"/>
    <x v="18"/>
    <x v="0"/>
    <s v="No"/>
    <x v="1"/>
    <x v="0"/>
    <x v="13"/>
    <n v="0.13639999999999999"/>
    <x v="22"/>
    <x v="9"/>
    <n v="4"/>
    <n v="44"/>
    <n v="48"/>
  </r>
  <r>
    <n v="205"/>
    <x v="8"/>
    <x v="19"/>
    <x v="0"/>
    <s v="No"/>
    <x v="1"/>
    <x v="0"/>
    <x v="13"/>
    <n v="0.13639999999999999"/>
    <x v="21"/>
    <x v="9"/>
    <n v="1"/>
    <n v="40"/>
    <n v="41"/>
  </r>
  <r>
    <n v="206"/>
    <x v="8"/>
    <x v="20"/>
    <x v="0"/>
    <s v="No"/>
    <x v="1"/>
    <x v="0"/>
    <x v="14"/>
    <n v="0.1212"/>
    <x v="15"/>
    <x v="2"/>
    <n v="0"/>
    <n v="38"/>
    <n v="38"/>
  </r>
  <r>
    <n v="207"/>
    <x v="8"/>
    <x v="21"/>
    <x v="0"/>
    <s v="No"/>
    <x v="1"/>
    <x v="0"/>
    <x v="14"/>
    <n v="0.1061"/>
    <x v="15"/>
    <x v="12"/>
    <n v="1"/>
    <n v="19"/>
    <n v="20"/>
  </r>
  <r>
    <n v="208"/>
    <x v="8"/>
    <x v="22"/>
    <x v="0"/>
    <s v="No"/>
    <x v="1"/>
    <x v="0"/>
    <x v="14"/>
    <n v="0.1212"/>
    <x v="15"/>
    <x v="4"/>
    <n v="5"/>
    <n v="10"/>
    <n v="15"/>
  </r>
  <r>
    <n v="209"/>
    <x v="8"/>
    <x v="23"/>
    <x v="0"/>
    <s v="No"/>
    <x v="1"/>
    <x v="0"/>
    <x v="16"/>
    <n v="0.13639999999999999"/>
    <x v="20"/>
    <x v="5"/>
    <n v="0"/>
    <n v="6"/>
    <n v="6"/>
  </r>
  <r>
    <n v="210"/>
    <x v="9"/>
    <x v="0"/>
    <x v="0"/>
    <s v="No"/>
    <x v="2"/>
    <x v="0"/>
    <x v="16"/>
    <n v="0.1212"/>
    <x v="20"/>
    <x v="3"/>
    <n v="2"/>
    <n v="3"/>
    <n v="5"/>
  </r>
  <r>
    <n v="211"/>
    <x v="9"/>
    <x v="1"/>
    <x v="0"/>
    <s v="No"/>
    <x v="2"/>
    <x v="0"/>
    <x v="16"/>
    <n v="0.1212"/>
    <x v="20"/>
    <x v="3"/>
    <n v="1"/>
    <n v="0"/>
    <n v="1"/>
  </r>
  <r>
    <n v="212"/>
    <x v="9"/>
    <x v="2"/>
    <x v="0"/>
    <s v="No"/>
    <x v="2"/>
    <x v="0"/>
    <x v="16"/>
    <n v="0.1212"/>
    <x v="20"/>
    <x v="6"/>
    <n v="0"/>
    <n v="3"/>
    <n v="3"/>
  </r>
  <r>
    <n v="213"/>
    <x v="9"/>
    <x v="3"/>
    <x v="0"/>
    <s v="No"/>
    <x v="2"/>
    <x v="0"/>
    <x v="16"/>
    <n v="0.1212"/>
    <x v="20"/>
    <x v="6"/>
    <n v="0"/>
    <n v="1"/>
    <n v="1"/>
  </r>
  <r>
    <n v="214"/>
    <x v="9"/>
    <x v="4"/>
    <x v="0"/>
    <s v="No"/>
    <x v="2"/>
    <x v="0"/>
    <x v="18"/>
    <n v="0.1212"/>
    <x v="47"/>
    <x v="7"/>
    <n v="1"/>
    <n v="2"/>
    <n v="3"/>
  </r>
  <r>
    <n v="215"/>
    <x v="9"/>
    <x v="5"/>
    <x v="0"/>
    <s v="No"/>
    <x v="2"/>
    <x v="0"/>
    <x v="18"/>
    <n v="0.1061"/>
    <x v="47"/>
    <x v="2"/>
    <n v="0"/>
    <n v="3"/>
    <n v="3"/>
  </r>
  <r>
    <n v="216"/>
    <x v="9"/>
    <x v="6"/>
    <x v="0"/>
    <s v="No"/>
    <x v="2"/>
    <x v="0"/>
    <x v="16"/>
    <n v="0.1212"/>
    <x v="20"/>
    <x v="3"/>
    <n v="0"/>
    <n v="31"/>
    <n v="31"/>
  </r>
  <r>
    <n v="217"/>
    <x v="9"/>
    <x v="7"/>
    <x v="0"/>
    <s v="No"/>
    <x v="2"/>
    <x v="0"/>
    <x v="16"/>
    <n v="0.1212"/>
    <x v="20"/>
    <x v="6"/>
    <n v="2"/>
    <n v="75"/>
    <n v="77"/>
  </r>
  <r>
    <n v="218"/>
    <x v="9"/>
    <x v="8"/>
    <x v="0"/>
    <s v="No"/>
    <x v="2"/>
    <x v="1"/>
    <x v="16"/>
    <n v="0.1212"/>
    <x v="20"/>
    <x v="3"/>
    <n v="4"/>
    <n v="184"/>
    <n v="188"/>
  </r>
  <r>
    <n v="219"/>
    <x v="9"/>
    <x v="9"/>
    <x v="0"/>
    <s v="No"/>
    <x v="2"/>
    <x v="1"/>
    <x v="14"/>
    <n v="0.1212"/>
    <x v="20"/>
    <x v="2"/>
    <n v="2"/>
    <n v="92"/>
    <n v="94"/>
  </r>
  <r>
    <n v="220"/>
    <x v="9"/>
    <x v="10"/>
    <x v="0"/>
    <s v="No"/>
    <x v="2"/>
    <x v="1"/>
    <x v="14"/>
    <n v="0.1212"/>
    <x v="20"/>
    <x v="4"/>
    <n v="0"/>
    <n v="31"/>
    <n v="31"/>
  </r>
  <r>
    <n v="221"/>
    <x v="9"/>
    <x v="11"/>
    <x v="0"/>
    <s v="No"/>
    <x v="2"/>
    <x v="1"/>
    <x v="13"/>
    <n v="0.13639999999999999"/>
    <x v="19"/>
    <x v="3"/>
    <n v="2"/>
    <n v="28"/>
    <n v="30"/>
  </r>
  <r>
    <n v="222"/>
    <x v="9"/>
    <x v="12"/>
    <x v="0"/>
    <s v="No"/>
    <x v="2"/>
    <x v="1"/>
    <x v="2"/>
    <n v="0.18179999999999999"/>
    <x v="22"/>
    <x v="3"/>
    <n v="5"/>
    <n v="47"/>
    <n v="52"/>
  </r>
  <r>
    <n v="223"/>
    <x v="9"/>
    <x v="13"/>
    <x v="0"/>
    <s v="No"/>
    <x v="2"/>
    <x v="1"/>
    <x v="2"/>
    <n v="0.18179999999999999"/>
    <x v="22"/>
    <x v="3"/>
    <n v="4"/>
    <n v="50"/>
    <n v="54"/>
  </r>
  <r>
    <n v="224"/>
    <x v="9"/>
    <x v="14"/>
    <x v="0"/>
    <s v="No"/>
    <x v="2"/>
    <x v="1"/>
    <x v="2"/>
    <n v="0.19700000000000001"/>
    <x v="22"/>
    <x v="6"/>
    <n v="0"/>
    <n v="47"/>
    <n v="47"/>
  </r>
  <r>
    <n v="225"/>
    <x v="9"/>
    <x v="15"/>
    <x v="0"/>
    <s v="No"/>
    <x v="2"/>
    <x v="1"/>
    <x v="2"/>
    <n v="0.19700000000000001"/>
    <x v="22"/>
    <x v="6"/>
    <n v="2"/>
    <n v="43"/>
    <n v="45"/>
  </r>
  <r>
    <n v="226"/>
    <x v="9"/>
    <x v="16"/>
    <x v="0"/>
    <s v="No"/>
    <x v="2"/>
    <x v="0"/>
    <x v="2"/>
    <n v="0.21210000000000001"/>
    <x v="22"/>
    <x v="7"/>
    <n v="4"/>
    <n v="70"/>
    <n v="74"/>
  </r>
  <r>
    <n v="227"/>
    <x v="9"/>
    <x v="17"/>
    <x v="0"/>
    <s v="No"/>
    <x v="2"/>
    <x v="0"/>
    <x v="2"/>
    <n v="0.2273"/>
    <x v="22"/>
    <x v="14"/>
    <n v="4"/>
    <n v="174"/>
    <n v="178"/>
  </r>
  <r>
    <n v="228"/>
    <x v="9"/>
    <x v="18"/>
    <x v="0"/>
    <s v="No"/>
    <x v="2"/>
    <x v="0"/>
    <x v="2"/>
    <n v="0.19700000000000001"/>
    <x v="22"/>
    <x v="6"/>
    <n v="1"/>
    <n v="154"/>
    <n v="155"/>
  </r>
  <r>
    <n v="229"/>
    <x v="9"/>
    <x v="19"/>
    <x v="0"/>
    <s v="No"/>
    <x v="2"/>
    <x v="0"/>
    <x v="13"/>
    <n v="0.16669999999999999"/>
    <x v="19"/>
    <x v="8"/>
    <n v="3"/>
    <n v="92"/>
    <n v="95"/>
  </r>
  <r>
    <n v="230"/>
    <x v="9"/>
    <x v="20"/>
    <x v="0"/>
    <s v="No"/>
    <x v="2"/>
    <x v="0"/>
    <x v="13"/>
    <n v="0.16669999999999999"/>
    <x v="20"/>
    <x v="8"/>
    <n v="1"/>
    <n v="73"/>
    <n v="74"/>
  </r>
  <r>
    <n v="231"/>
    <x v="9"/>
    <x v="21"/>
    <x v="0"/>
    <s v="No"/>
    <x v="2"/>
    <x v="0"/>
    <x v="14"/>
    <n v="0.13639999999999999"/>
    <x v="29"/>
    <x v="5"/>
    <n v="1"/>
    <n v="37"/>
    <n v="38"/>
  </r>
  <r>
    <n v="232"/>
    <x v="9"/>
    <x v="22"/>
    <x v="0"/>
    <s v="No"/>
    <x v="2"/>
    <x v="0"/>
    <x v="14"/>
    <n v="0.1515"/>
    <x v="29"/>
    <x v="8"/>
    <n v="2"/>
    <n v="22"/>
    <n v="24"/>
  </r>
  <r>
    <n v="233"/>
    <x v="9"/>
    <x v="23"/>
    <x v="0"/>
    <s v="No"/>
    <x v="2"/>
    <x v="0"/>
    <x v="14"/>
    <n v="0.1515"/>
    <x v="29"/>
    <x v="8"/>
    <n v="0"/>
    <n v="18"/>
    <n v="18"/>
  </r>
  <r>
    <n v="234"/>
    <x v="10"/>
    <x v="0"/>
    <x v="0"/>
    <s v="No"/>
    <x v="3"/>
    <x v="0"/>
    <x v="14"/>
    <n v="0.16669999999999999"/>
    <x v="29"/>
    <x v="14"/>
    <n v="2"/>
    <n v="10"/>
    <n v="12"/>
  </r>
  <r>
    <n v="235"/>
    <x v="10"/>
    <x v="1"/>
    <x v="0"/>
    <s v="No"/>
    <x v="3"/>
    <x v="0"/>
    <x v="14"/>
    <n v="0.1515"/>
    <x v="29"/>
    <x v="8"/>
    <n v="0"/>
    <n v="3"/>
    <n v="3"/>
  </r>
  <r>
    <n v="236"/>
    <x v="10"/>
    <x v="2"/>
    <x v="0"/>
    <s v="No"/>
    <x v="3"/>
    <x v="1"/>
    <x v="13"/>
    <n v="0.1515"/>
    <x v="28"/>
    <x v="5"/>
    <n v="0"/>
    <n v="3"/>
    <n v="3"/>
  </r>
  <r>
    <n v="237"/>
    <x v="10"/>
    <x v="5"/>
    <x v="0"/>
    <s v="No"/>
    <x v="3"/>
    <x v="1"/>
    <x v="13"/>
    <n v="0.18179999999999999"/>
    <x v="28"/>
    <x v="7"/>
    <n v="0"/>
    <n v="6"/>
    <n v="6"/>
  </r>
  <r>
    <n v="238"/>
    <x v="10"/>
    <x v="6"/>
    <x v="0"/>
    <s v="No"/>
    <x v="3"/>
    <x v="1"/>
    <x v="13"/>
    <n v="0.18179999999999999"/>
    <x v="28"/>
    <x v="7"/>
    <n v="0"/>
    <n v="27"/>
    <n v="27"/>
  </r>
  <r>
    <n v="239"/>
    <x v="10"/>
    <x v="7"/>
    <x v="0"/>
    <s v="No"/>
    <x v="3"/>
    <x v="1"/>
    <x v="13"/>
    <n v="0.2273"/>
    <x v="28"/>
    <x v="0"/>
    <n v="2"/>
    <n v="97"/>
    <n v="99"/>
  </r>
  <r>
    <n v="240"/>
    <x v="10"/>
    <x v="8"/>
    <x v="0"/>
    <s v="No"/>
    <x v="3"/>
    <x v="1"/>
    <x v="15"/>
    <n v="0.21210000000000001"/>
    <x v="33"/>
    <x v="1"/>
    <n v="3"/>
    <n v="214"/>
    <n v="217"/>
  </r>
  <r>
    <n v="241"/>
    <x v="10"/>
    <x v="9"/>
    <x v="0"/>
    <s v="No"/>
    <x v="3"/>
    <x v="1"/>
    <x v="15"/>
    <n v="0.19700000000000001"/>
    <x v="33"/>
    <x v="8"/>
    <n v="3"/>
    <n v="127"/>
    <n v="130"/>
  </r>
  <r>
    <n v="242"/>
    <x v="10"/>
    <x v="10"/>
    <x v="0"/>
    <s v="No"/>
    <x v="3"/>
    <x v="1"/>
    <x v="2"/>
    <n v="0.21210000000000001"/>
    <x v="33"/>
    <x v="8"/>
    <n v="3"/>
    <n v="51"/>
    <n v="54"/>
  </r>
  <r>
    <n v="243"/>
    <x v="10"/>
    <x v="11"/>
    <x v="0"/>
    <s v="No"/>
    <x v="3"/>
    <x v="1"/>
    <x v="2"/>
    <n v="0.21210000000000001"/>
    <x v="19"/>
    <x v="7"/>
    <n v="4"/>
    <n v="31"/>
    <n v="35"/>
  </r>
  <r>
    <n v="244"/>
    <x v="10"/>
    <x v="12"/>
    <x v="0"/>
    <s v="No"/>
    <x v="3"/>
    <x v="1"/>
    <x v="2"/>
    <n v="0.2273"/>
    <x v="33"/>
    <x v="14"/>
    <n v="2"/>
    <n v="55"/>
    <n v="57"/>
  </r>
  <r>
    <n v="245"/>
    <x v="10"/>
    <x v="13"/>
    <x v="0"/>
    <s v="No"/>
    <x v="3"/>
    <x v="1"/>
    <x v="2"/>
    <n v="0.2273"/>
    <x v="29"/>
    <x v="1"/>
    <n v="6"/>
    <n v="46"/>
    <n v="52"/>
  </r>
  <r>
    <n v="246"/>
    <x v="10"/>
    <x v="14"/>
    <x v="0"/>
    <s v="No"/>
    <x v="3"/>
    <x v="1"/>
    <x v="2"/>
    <n v="0.2273"/>
    <x v="29"/>
    <x v="1"/>
    <n v="3"/>
    <n v="60"/>
    <n v="63"/>
  </r>
  <r>
    <n v="247"/>
    <x v="10"/>
    <x v="15"/>
    <x v="0"/>
    <s v="No"/>
    <x v="3"/>
    <x v="1"/>
    <x v="13"/>
    <n v="0.19700000000000001"/>
    <x v="1"/>
    <x v="1"/>
    <n v="2"/>
    <n v="45"/>
    <n v="47"/>
  </r>
  <r>
    <n v="248"/>
    <x v="10"/>
    <x v="16"/>
    <x v="0"/>
    <s v="No"/>
    <x v="3"/>
    <x v="1"/>
    <x v="13"/>
    <n v="0.1515"/>
    <x v="3"/>
    <x v="6"/>
    <n v="4"/>
    <n v="72"/>
    <n v="76"/>
  </r>
  <r>
    <n v="249"/>
    <x v="10"/>
    <x v="17"/>
    <x v="0"/>
    <s v="No"/>
    <x v="3"/>
    <x v="1"/>
    <x v="13"/>
    <n v="0.1515"/>
    <x v="3"/>
    <x v="6"/>
    <n v="6"/>
    <n v="130"/>
    <n v="136"/>
  </r>
  <r>
    <n v="250"/>
    <x v="10"/>
    <x v="18"/>
    <x v="0"/>
    <s v="No"/>
    <x v="3"/>
    <x v="2"/>
    <x v="13"/>
    <n v="0.18179999999999999"/>
    <x v="43"/>
    <x v="14"/>
    <n v="1"/>
    <n v="94"/>
    <n v="95"/>
  </r>
  <r>
    <n v="251"/>
    <x v="10"/>
    <x v="19"/>
    <x v="0"/>
    <s v="No"/>
    <x v="3"/>
    <x v="2"/>
    <x v="13"/>
    <n v="0.2273"/>
    <x v="43"/>
    <x v="0"/>
    <n v="0"/>
    <n v="51"/>
    <n v="51"/>
  </r>
  <r>
    <n v="252"/>
    <x v="10"/>
    <x v="20"/>
    <x v="0"/>
    <s v="No"/>
    <x v="3"/>
    <x v="2"/>
    <x v="13"/>
    <n v="0.1515"/>
    <x v="43"/>
    <x v="5"/>
    <n v="0"/>
    <n v="32"/>
    <n v="32"/>
  </r>
  <r>
    <n v="253"/>
    <x v="10"/>
    <x v="21"/>
    <x v="0"/>
    <s v="No"/>
    <x v="3"/>
    <x v="2"/>
    <x v="13"/>
    <n v="0.19700000000000001"/>
    <x v="3"/>
    <x v="1"/>
    <n v="0"/>
    <n v="20"/>
    <n v="20"/>
  </r>
  <r>
    <n v="254"/>
    <x v="10"/>
    <x v="22"/>
    <x v="0"/>
    <s v="No"/>
    <x v="3"/>
    <x v="2"/>
    <x v="13"/>
    <n v="0.18179999999999999"/>
    <x v="43"/>
    <x v="14"/>
    <n v="1"/>
    <n v="28"/>
    <n v="29"/>
  </r>
  <r>
    <n v="255"/>
    <x v="10"/>
    <x v="23"/>
    <x v="0"/>
    <s v="No"/>
    <x v="3"/>
    <x v="2"/>
    <x v="13"/>
    <n v="0.19700000000000001"/>
    <x v="43"/>
    <x v="1"/>
    <n v="1"/>
    <n v="18"/>
    <n v="19"/>
  </r>
  <r>
    <n v="256"/>
    <x v="11"/>
    <x v="0"/>
    <x v="0"/>
    <s v="No"/>
    <x v="4"/>
    <x v="1"/>
    <x v="13"/>
    <n v="0.19700000000000001"/>
    <x v="3"/>
    <x v="1"/>
    <n v="0"/>
    <n v="7"/>
    <n v="7"/>
  </r>
  <r>
    <n v="257"/>
    <x v="11"/>
    <x v="1"/>
    <x v="0"/>
    <s v="No"/>
    <x v="4"/>
    <x v="1"/>
    <x v="13"/>
    <n v="0.18179999999999999"/>
    <x v="3"/>
    <x v="14"/>
    <n v="0"/>
    <n v="6"/>
    <n v="6"/>
  </r>
  <r>
    <n v="258"/>
    <x v="11"/>
    <x v="2"/>
    <x v="0"/>
    <s v="No"/>
    <x v="4"/>
    <x v="0"/>
    <x v="14"/>
    <n v="0.1515"/>
    <x v="3"/>
    <x v="7"/>
    <n v="0"/>
    <n v="1"/>
    <n v="1"/>
  </r>
  <r>
    <n v="259"/>
    <x v="11"/>
    <x v="5"/>
    <x v="0"/>
    <s v="No"/>
    <x v="4"/>
    <x v="0"/>
    <x v="14"/>
    <n v="0.1515"/>
    <x v="3"/>
    <x v="8"/>
    <n v="0"/>
    <n v="5"/>
    <n v="5"/>
  </r>
  <r>
    <n v="260"/>
    <x v="11"/>
    <x v="6"/>
    <x v="0"/>
    <s v="No"/>
    <x v="4"/>
    <x v="0"/>
    <x v="16"/>
    <n v="0.1515"/>
    <x v="43"/>
    <x v="7"/>
    <n v="0"/>
    <n v="16"/>
    <n v="16"/>
  </r>
  <r>
    <n v="261"/>
    <x v="11"/>
    <x v="7"/>
    <x v="0"/>
    <s v="No"/>
    <x v="4"/>
    <x v="0"/>
    <x v="14"/>
    <n v="0.1515"/>
    <x v="27"/>
    <x v="7"/>
    <n v="0"/>
    <n v="54"/>
    <n v="54"/>
  </r>
  <r>
    <n v="262"/>
    <x v="11"/>
    <x v="8"/>
    <x v="0"/>
    <s v="No"/>
    <x v="4"/>
    <x v="0"/>
    <x v="13"/>
    <n v="0.16669999999999999"/>
    <x v="29"/>
    <x v="8"/>
    <n v="3"/>
    <n v="125"/>
    <n v="128"/>
  </r>
  <r>
    <n v="263"/>
    <x v="11"/>
    <x v="9"/>
    <x v="0"/>
    <s v="No"/>
    <x v="4"/>
    <x v="0"/>
    <x v="13"/>
    <n v="0.13639999999999999"/>
    <x v="29"/>
    <x v="9"/>
    <n v="3"/>
    <n v="78"/>
    <n v="81"/>
  </r>
  <r>
    <n v="264"/>
    <x v="11"/>
    <x v="10"/>
    <x v="0"/>
    <s v="No"/>
    <x v="4"/>
    <x v="0"/>
    <x v="15"/>
    <n v="0.18179999999999999"/>
    <x v="28"/>
    <x v="6"/>
    <n v="0"/>
    <n v="39"/>
    <n v="39"/>
  </r>
  <r>
    <n v="265"/>
    <x v="11"/>
    <x v="11"/>
    <x v="0"/>
    <s v="No"/>
    <x v="4"/>
    <x v="0"/>
    <x v="2"/>
    <n v="0.18179999999999999"/>
    <x v="33"/>
    <x v="13"/>
    <n v="3"/>
    <n v="32"/>
    <n v="35"/>
  </r>
  <r>
    <n v="266"/>
    <x v="11"/>
    <x v="12"/>
    <x v="0"/>
    <s v="No"/>
    <x v="4"/>
    <x v="0"/>
    <x v="2"/>
    <n v="0.1515"/>
    <x v="19"/>
    <x v="19"/>
    <n v="3"/>
    <n v="52"/>
    <n v="55"/>
  </r>
  <r>
    <n v="267"/>
    <x v="11"/>
    <x v="13"/>
    <x v="0"/>
    <s v="No"/>
    <x v="4"/>
    <x v="0"/>
    <x v="1"/>
    <n v="0.19700000000000001"/>
    <x v="18"/>
    <x v="11"/>
    <n v="0"/>
    <n v="49"/>
    <n v="49"/>
  </r>
  <r>
    <n v="268"/>
    <x v="11"/>
    <x v="14"/>
    <x v="0"/>
    <s v="No"/>
    <x v="4"/>
    <x v="0"/>
    <x v="2"/>
    <n v="0.18179999999999999"/>
    <x v="19"/>
    <x v="9"/>
    <n v="0"/>
    <n v="44"/>
    <n v="44"/>
  </r>
  <r>
    <n v="269"/>
    <x v="11"/>
    <x v="15"/>
    <x v="0"/>
    <s v="No"/>
    <x v="4"/>
    <x v="0"/>
    <x v="2"/>
    <n v="0.16669999999999999"/>
    <x v="19"/>
    <x v="12"/>
    <n v="1"/>
    <n v="48"/>
    <n v="49"/>
  </r>
  <r>
    <n v="270"/>
    <x v="11"/>
    <x v="16"/>
    <x v="0"/>
    <s v="No"/>
    <x v="4"/>
    <x v="0"/>
    <x v="1"/>
    <n v="0.19700000000000001"/>
    <x v="18"/>
    <x v="9"/>
    <n v="5"/>
    <n v="63"/>
    <n v="68"/>
  </r>
  <r>
    <n v="271"/>
    <x v="11"/>
    <x v="17"/>
    <x v="0"/>
    <s v="No"/>
    <x v="4"/>
    <x v="0"/>
    <x v="2"/>
    <n v="0.18179999999999999"/>
    <x v="19"/>
    <x v="11"/>
    <n v="0"/>
    <n v="139"/>
    <n v="139"/>
  </r>
  <r>
    <n v="272"/>
    <x v="11"/>
    <x v="18"/>
    <x v="0"/>
    <s v="No"/>
    <x v="4"/>
    <x v="0"/>
    <x v="2"/>
    <n v="0.1515"/>
    <x v="19"/>
    <x v="18"/>
    <n v="2"/>
    <n v="135"/>
    <n v="137"/>
  </r>
  <r>
    <n v="273"/>
    <x v="11"/>
    <x v="19"/>
    <x v="0"/>
    <s v="No"/>
    <x v="4"/>
    <x v="0"/>
    <x v="15"/>
    <n v="0.1515"/>
    <x v="19"/>
    <x v="12"/>
    <n v="1"/>
    <n v="82"/>
    <n v="83"/>
  </r>
  <r>
    <n v="274"/>
    <x v="11"/>
    <x v="20"/>
    <x v="0"/>
    <s v="No"/>
    <x v="4"/>
    <x v="0"/>
    <x v="13"/>
    <n v="0.13639999999999999"/>
    <x v="20"/>
    <x v="9"/>
    <n v="2"/>
    <n v="54"/>
    <n v="56"/>
  </r>
  <r>
    <n v="275"/>
    <x v="11"/>
    <x v="21"/>
    <x v="0"/>
    <s v="No"/>
    <x v="4"/>
    <x v="0"/>
    <x v="13"/>
    <n v="0.13639999999999999"/>
    <x v="28"/>
    <x v="9"/>
    <n v="0"/>
    <n v="57"/>
    <n v="57"/>
  </r>
  <r>
    <n v="276"/>
    <x v="11"/>
    <x v="22"/>
    <x v="0"/>
    <s v="No"/>
    <x v="4"/>
    <x v="0"/>
    <x v="13"/>
    <n v="0.1212"/>
    <x v="28"/>
    <x v="10"/>
    <n v="1"/>
    <n v="32"/>
    <n v="33"/>
  </r>
  <r>
    <n v="277"/>
    <x v="11"/>
    <x v="23"/>
    <x v="0"/>
    <s v="No"/>
    <x v="4"/>
    <x v="0"/>
    <x v="14"/>
    <n v="0.1061"/>
    <x v="29"/>
    <x v="12"/>
    <n v="1"/>
    <n v="19"/>
    <n v="20"/>
  </r>
  <r>
    <n v="278"/>
    <x v="12"/>
    <x v="0"/>
    <x v="0"/>
    <s v="No"/>
    <x v="5"/>
    <x v="0"/>
    <x v="14"/>
    <n v="0.1212"/>
    <x v="29"/>
    <x v="3"/>
    <n v="1"/>
    <n v="6"/>
    <n v="7"/>
  </r>
  <r>
    <n v="279"/>
    <x v="12"/>
    <x v="1"/>
    <x v="0"/>
    <s v="No"/>
    <x v="5"/>
    <x v="0"/>
    <x v="14"/>
    <n v="0.1212"/>
    <x v="20"/>
    <x v="3"/>
    <n v="0"/>
    <n v="2"/>
    <n v="2"/>
  </r>
  <r>
    <n v="280"/>
    <x v="12"/>
    <x v="2"/>
    <x v="0"/>
    <s v="No"/>
    <x v="5"/>
    <x v="0"/>
    <x v="14"/>
    <n v="0.1212"/>
    <x v="20"/>
    <x v="11"/>
    <n v="0"/>
    <n v="2"/>
    <n v="2"/>
  </r>
  <r>
    <n v="281"/>
    <x v="12"/>
    <x v="3"/>
    <x v="0"/>
    <s v="No"/>
    <x v="5"/>
    <x v="0"/>
    <x v="14"/>
    <n v="0.1212"/>
    <x v="20"/>
    <x v="9"/>
    <n v="0"/>
    <n v="3"/>
    <n v="3"/>
  </r>
  <r>
    <n v="282"/>
    <x v="12"/>
    <x v="4"/>
    <x v="0"/>
    <s v="No"/>
    <x v="5"/>
    <x v="0"/>
    <x v="14"/>
    <n v="0.1212"/>
    <x v="20"/>
    <x v="2"/>
    <n v="0"/>
    <n v="4"/>
    <n v="4"/>
  </r>
  <r>
    <n v="283"/>
    <x v="12"/>
    <x v="5"/>
    <x v="0"/>
    <s v="No"/>
    <x v="5"/>
    <x v="0"/>
    <x v="14"/>
    <n v="0.1212"/>
    <x v="20"/>
    <x v="4"/>
    <n v="0"/>
    <n v="3"/>
    <n v="3"/>
  </r>
  <r>
    <n v="284"/>
    <x v="12"/>
    <x v="6"/>
    <x v="0"/>
    <s v="No"/>
    <x v="5"/>
    <x v="0"/>
    <x v="16"/>
    <n v="0.1515"/>
    <x v="47"/>
    <x v="7"/>
    <n v="0"/>
    <n v="28"/>
    <n v="28"/>
  </r>
  <r>
    <n v="285"/>
    <x v="12"/>
    <x v="7"/>
    <x v="0"/>
    <s v="No"/>
    <x v="5"/>
    <x v="0"/>
    <x v="16"/>
    <n v="0.1515"/>
    <x v="47"/>
    <x v="7"/>
    <n v="0"/>
    <n v="72"/>
    <n v="72"/>
  </r>
  <r>
    <n v="286"/>
    <x v="12"/>
    <x v="8"/>
    <x v="0"/>
    <s v="No"/>
    <x v="5"/>
    <x v="0"/>
    <x v="14"/>
    <n v="0.13639999999999999"/>
    <x v="20"/>
    <x v="5"/>
    <n v="5"/>
    <n v="197"/>
    <n v="202"/>
  </r>
  <r>
    <n v="287"/>
    <x v="12"/>
    <x v="9"/>
    <x v="0"/>
    <s v="No"/>
    <x v="5"/>
    <x v="0"/>
    <x v="14"/>
    <n v="0.1212"/>
    <x v="20"/>
    <x v="9"/>
    <n v="2"/>
    <n v="137"/>
    <n v="139"/>
  </r>
  <r>
    <n v="288"/>
    <x v="12"/>
    <x v="10"/>
    <x v="0"/>
    <s v="No"/>
    <x v="5"/>
    <x v="1"/>
    <x v="13"/>
    <n v="0.13639999999999999"/>
    <x v="20"/>
    <x v="11"/>
    <n v="2"/>
    <n v="36"/>
    <n v="38"/>
  </r>
  <r>
    <n v="289"/>
    <x v="12"/>
    <x v="11"/>
    <x v="0"/>
    <s v="No"/>
    <x v="5"/>
    <x v="1"/>
    <x v="2"/>
    <n v="0.16669999999999999"/>
    <x v="18"/>
    <x v="10"/>
    <n v="4"/>
    <n v="33"/>
    <n v="37"/>
  </r>
  <r>
    <n v="290"/>
    <x v="12"/>
    <x v="12"/>
    <x v="0"/>
    <s v="No"/>
    <x v="5"/>
    <x v="0"/>
    <x v="2"/>
    <n v="0.16669999999999999"/>
    <x v="18"/>
    <x v="12"/>
    <n v="3"/>
    <n v="49"/>
    <n v="52"/>
  </r>
  <r>
    <n v="291"/>
    <x v="12"/>
    <x v="13"/>
    <x v="0"/>
    <s v="No"/>
    <x v="5"/>
    <x v="0"/>
    <x v="1"/>
    <n v="0.19700000000000001"/>
    <x v="48"/>
    <x v="10"/>
    <n v="2"/>
    <n v="81"/>
    <n v="83"/>
  </r>
  <r>
    <n v="292"/>
    <x v="12"/>
    <x v="14"/>
    <x v="0"/>
    <s v="No"/>
    <x v="5"/>
    <x v="0"/>
    <x v="1"/>
    <n v="0.19700000000000001"/>
    <x v="48"/>
    <x v="13"/>
    <n v="3"/>
    <n v="39"/>
    <n v="42"/>
  </r>
  <r>
    <n v="293"/>
    <x v="12"/>
    <x v="15"/>
    <x v="0"/>
    <s v="No"/>
    <x v="5"/>
    <x v="0"/>
    <x v="0"/>
    <n v="0.21210000000000001"/>
    <x v="41"/>
    <x v="4"/>
    <n v="5"/>
    <n v="55"/>
    <n v="60"/>
  </r>
  <r>
    <n v="294"/>
    <x v="12"/>
    <x v="16"/>
    <x v="0"/>
    <s v="No"/>
    <x v="5"/>
    <x v="0"/>
    <x v="0"/>
    <n v="0.21210000000000001"/>
    <x v="41"/>
    <x v="11"/>
    <n v="2"/>
    <n v="76"/>
    <n v="78"/>
  </r>
  <r>
    <n v="295"/>
    <x v="12"/>
    <x v="17"/>
    <x v="0"/>
    <s v="No"/>
    <x v="5"/>
    <x v="0"/>
    <x v="2"/>
    <n v="0.18179999999999999"/>
    <x v="22"/>
    <x v="3"/>
    <n v="4"/>
    <n v="158"/>
    <n v="162"/>
  </r>
  <r>
    <n v="296"/>
    <x v="12"/>
    <x v="18"/>
    <x v="0"/>
    <s v="No"/>
    <x v="5"/>
    <x v="0"/>
    <x v="2"/>
    <n v="0.18179999999999999"/>
    <x v="22"/>
    <x v="9"/>
    <n v="3"/>
    <n v="141"/>
    <n v="144"/>
  </r>
  <r>
    <n v="297"/>
    <x v="12"/>
    <x v="19"/>
    <x v="0"/>
    <s v="No"/>
    <x v="5"/>
    <x v="0"/>
    <x v="13"/>
    <n v="0.1515"/>
    <x v="19"/>
    <x v="2"/>
    <n v="1"/>
    <n v="98"/>
    <n v="99"/>
  </r>
  <r>
    <n v="298"/>
    <x v="12"/>
    <x v="20"/>
    <x v="0"/>
    <s v="No"/>
    <x v="5"/>
    <x v="0"/>
    <x v="13"/>
    <n v="0.1515"/>
    <x v="19"/>
    <x v="6"/>
    <n v="0"/>
    <n v="64"/>
    <n v="64"/>
  </r>
  <r>
    <n v="299"/>
    <x v="12"/>
    <x v="21"/>
    <x v="0"/>
    <s v="No"/>
    <x v="5"/>
    <x v="0"/>
    <x v="14"/>
    <n v="0.1212"/>
    <x v="15"/>
    <x v="4"/>
    <n v="0"/>
    <n v="40"/>
    <n v="40"/>
  </r>
  <r>
    <n v="300"/>
    <x v="12"/>
    <x v="22"/>
    <x v="0"/>
    <s v="No"/>
    <x v="5"/>
    <x v="0"/>
    <x v="14"/>
    <n v="0.1212"/>
    <x v="15"/>
    <x v="9"/>
    <n v="0"/>
    <n v="30"/>
    <n v="30"/>
  </r>
  <r>
    <n v="301"/>
    <x v="12"/>
    <x v="23"/>
    <x v="0"/>
    <s v="No"/>
    <x v="5"/>
    <x v="0"/>
    <x v="16"/>
    <n v="0.13639999999999999"/>
    <x v="20"/>
    <x v="5"/>
    <n v="1"/>
    <n v="14"/>
    <n v="15"/>
  </r>
  <r>
    <n v="302"/>
    <x v="13"/>
    <x v="0"/>
    <x v="0"/>
    <s v="No"/>
    <x v="6"/>
    <x v="0"/>
    <x v="16"/>
    <n v="0.13639999999999999"/>
    <x v="20"/>
    <x v="5"/>
    <n v="0"/>
    <n v="14"/>
    <n v="14"/>
  </r>
  <r>
    <n v="303"/>
    <x v="13"/>
    <x v="1"/>
    <x v="0"/>
    <s v="No"/>
    <x v="6"/>
    <x v="0"/>
    <x v="18"/>
    <n v="0.1212"/>
    <x v="47"/>
    <x v="8"/>
    <n v="0"/>
    <n v="5"/>
    <n v="5"/>
  </r>
  <r>
    <n v="304"/>
    <x v="13"/>
    <x v="2"/>
    <x v="0"/>
    <s v="No"/>
    <x v="6"/>
    <x v="0"/>
    <x v="18"/>
    <n v="0.1212"/>
    <x v="47"/>
    <x v="7"/>
    <n v="0"/>
    <n v="1"/>
    <n v="1"/>
  </r>
  <r>
    <n v="305"/>
    <x v="13"/>
    <x v="3"/>
    <x v="0"/>
    <s v="No"/>
    <x v="6"/>
    <x v="0"/>
    <x v="18"/>
    <n v="0.13639999999999999"/>
    <x v="47"/>
    <x v="14"/>
    <n v="0"/>
    <n v="1"/>
    <n v="1"/>
  </r>
  <r>
    <n v="306"/>
    <x v="13"/>
    <x v="5"/>
    <x v="0"/>
    <s v="No"/>
    <x v="6"/>
    <x v="0"/>
    <x v="18"/>
    <n v="0.13639999999999999"/>
    <x v="47"/>
    <x v="1"/>
    <n v="0"/>
    <n v="8"/>
    <n v="8"/>
  </r>
  <r>
    <n v="307"/>
    <x v="13"/>
    <x v="6"/>
    <x v="0"/>
    <s v="No"/>
    <x v="6"/>
    <x v="0"/>
    <x v="18"/>
    <n v="0.18179999999999999"/>
    <x v="47"/>
    <x v="0"/>
    <n v="0"/>
    <n v="17"/>
    <n v="17"/>
  </r>
  <r>
    <n v="308"/>
    <x v="13"/>
    <x v="7"/>
    <x v="0"/>
    <s v="No"/>
    <x v="6"/>
    <x v="0"/>
    <x v="18"/>
    <n v="0.1212"/>
    <x v="32"/>
    <x v="8"/>
    <n v="0"/>
    <n v="70"/>
    <n v="70"/>
  </r>
  <r>
    <n v="309"/>
    <x v="13"/>
    <x v="8"/>
    <x v="0"/>
    <s v="No"/>
    <x v="6"/>
    <x v="0"/>
    <x v="16"/>
    <n v="0.16669999999999999"/>
    <x v="31"/>
    <x v="0"/>
    <n v="2"/>
    <n v="156"/>
    <n v="158"/>
  </r>
  <r>
    <n v="310"/>
    <x v="13"/>
    <x v="9"/>
    <x v="0"/>
    <s v="No"/>
    <x v="6"/>
    <x v="0"/>
    <x v="14"/>
    <n v="0.1515"/>
    <x v="27"/>
    <x v="7"/>
    <n v="0"/>
    <n v="117"/>
    <n v="117"/>
  </r>
  <r>
    <n v="311"/>
    <x v="13"/>
    <x v="10"/>
    <x v="0"/>
    <s v="No"/>
    <x v="6"/>
    <x v="0"/>
    <x v="15"/>
    <n v="0.18179999999999999"/>
    <x v="28"/>
    <x v="5"/>
    <n v="4"/>
    <n v="40"/>
    <n v="44"/>
  </r>
  <r>
    <n v="312"/>
    <x v="13"/>
    <x v="11"/>
    <x v="0"/>
    <s v="No"/>
    <x v="6"/>
    <x v="0"/>
    <x v="15"/>
    <n v="0.16669999999999999"/>
    <x v="33"/>
    <x v="3"/>
    <n v="6"/>
    <n v="47"/>
    <n v="53"/>
  </r>
  <r>
    <n v="313"/>
    <x v="13"/>
    <x v="12"/>
    <x v="0"/>
    <s v="No"/>
    <x v="6"/>
    <x v="0"/>
    <x v="2"/>
    <n v="0.19700000000000001"/>
    <x v="18"/>
    <x v="2"/>
    <n v="2"/>
    <n v="59"/>
    <n v="61"/>
  </r>
  <r>
    <n v="314"/>
    <x v="13"/>
    <x v="13"/>
    <x v="0"/>
    <s v="No"/>
    <x v="6"/>
    <x v="0"/>
    <x v="1"/>
    <n v="0.19700000000000001"/>
    <x v="38"/>
    <x v="13"/>
    <n v="4"/>
    <n v="73"/>
    <n v="77"/>
  </r>
  <r>
    <n v="315"/>
    <x v="13"/>
    <x v="14"/>
    <x v="0"/>
    <s v="No"/>
    <x v="6"/>
    <x v="0"/>
    <x v="1"/>
    <n v="0.21210000000000001"/>
    <x v="48"/>
    <x v="3"/>
    <n v="5"/>
    <n v="59"/>
    <n v="64"/>
  </r>
  <r>
    <n v="316"/>
    <x v="13"/>
    <x v="15"/>
    <x v="0"/>
    <s v="No"/>
    <x v="6"/>
    <x v="0"/>
    <x v="0"/>
    <n v="0.2424"/>
    <x v="41"/>
    <x v="8"/>
    <n v="9"/>
    <n v="59"/>
    <n v="68"/>
  </r>
  <r>
    <n v="317"/>
    <x v="13"/>
    <x v="16"/>
    <x v="0"/>
    <s v="No"/>
    <x v="6"/>
    <x v="0"/>
    <x v="1"/>
    <n v="0.2424"/>
    <x v="48"/>
    <x v="14"/>
    <n v="3"/>
    <n v="87"/>
    <n v="90"/>
  </r>
  <r>
    <n v="318"/>
    <x v="13"/>
    <x v="17"/>
    <x v="0"/>
    <s v="No"/>
    <x v="6"/>
    <x v="0"/>
    <x v="1"/>
    <n v="0.2273"/>
    <x v="48"/>
    <x v="8"/>
    <n v="4"/>
    <n v="155"/>
    <n v="159"/>
  </r>
  <r>
    <n v="319"/>
    <x v="13"/>
    <x v="18"/>
    <x v="0"/>
    <s v="No"/>
    <x v="6"/>
    <x v="0"/>
    <x v="2"/>
    <n v="0.2576"/>
    <x v="19"/>
    <x v="0"/>
    <n v="5"/>
    <n v="134"/>
    <n v="139"/>
  </r>
  <r>
    <n v="320"/>
    <x v="13"/>
    <x v="19"/>
    <x v="0"/>
    <s v="No"/>
    <x v="6"/>
    <x v="0"/>
    <x v="13"/>
    <n v="0.19700000000000001"/>
    <x v="29"/>
    <x v="1"/>
    <n v="3"/>
    <n v="89"/>
    <n v="92"/>
  </r>
  <r>
    <n v="321"/>
    <x v="13"/>
    <x v="20"/>
    <x v="0"/>
    <s v="No"/>
    <x v="6"/>
    <x v="0"/>
    <x v="15"/>
    <n v="0.2424"/>
    <x v="29"/>
    <x v="0"/>
    <n v="0"/>
    <n v="68"/>
    <n v="68"/>
  </r>
  <r>
    <n v="322"/>
    <x v="13"/>
    <x v="21"/>
    <x v="0"/>
    <s v="No"/>
    <x v="6"/>
    <x v="0"/>
    <x v="13"/>
    <n v="0.2273"/>
    <x v="27"/>
    <x v="0"/>
    <n v="4"/>
    <n v="48"/>
    <n v="52"/>
  </r>
  <r>
    <n v="323"/>
    <x v="13"/>
    <x v="22"/>
    <x v="0"/>
    <s v="No"/>
    <x v="6"/>
    <x v="1"/>
    <x v="13"/>
    <n v="0.2273"/>
    <x v="27"/>
    <x v="0"/>
    <n v="2"/>
    <n v="34"/>
    <n v="36"/>
  </r>
  <r>
    <n v="324"/>
    <x v="13"/>
    <x v="23"/>
    <x v="0"/>
    <s v="No"/>
    <x v="6"/>
    <x v="1"/>
    <x v="15"/>
    <n v="0.2424"/>
    <x v="28"/>
    <x v="0"/>
    <n v="1"/>
    <n v="26"/>
    <n v="27"/>
  </r>
  <r>
    <n v="325"/>
    <x v="14"/>
    <x v="0"/>
    <x v="0"/>
    <s v="No"/>
    <x v="0"/>
    <x v="0"/>
    <x v="15"/>
    <n v="0.2424"/>
    <x v="28"/>
    <x v="0"/>
    <n v="3"/>
    <n v="25"/>
    <n v="28"/>
  </r>
  <r>
    <n v="326"/>
    <x v="14"/>
    <x v="1"/>
    <x v="0"/>
    <s v="No"/>
    <x v="0"/>
    <x v="1"/>
    <x v="13"/>
    <n v="0.19700000000000001"/>
    <x v="29"/>
    <x v="1"/>
    <n v="2"/>
    <n v="18"/>
    <n v="20"/>
  </r>
  <r>
    <n v="327"/>
    <x v="14"/>
    <x v="2"/>
    <x v="0"/>
    <s v="No"/>
    <x v="0"/>
    <x v="1"/>
    <x v="13"/>
    <n v="0.19700000000000001"/>
    <x v="29"/>
    <x v="1"/>
    <n v="0"/>
    <n v="12"/>
    <n v="12"/>
  </r>
  <r>
    <n v="328"/>
    <x v="14"/>
    <x v="3"/>
    <x v="0"/>
    <s v="No"/>
    <x v="0"/>
    <x v="1"/>
    <x v="13"/>
    <n v="0.2273"/>
    <x v="29"/>
    <x v="0"/>
    <n v="1"/>
    <n v="7"/>
    <n v="8"/>
  </r>
  <r>
    <n v="329"/>
    <x v="14"/>
    <x v="4"/>
    <x v="0"/>
    <s v="No"/>
    <x v="0"/>
    <x v="1"/>
    <x v="13"/>
    <n v="0.2273"/>
    <x v="29"/>
    <x v="0"/>
    <n v="0"/>
    <n v="5"/>
    <n v="5"/>
  </r>
  <r>
    <n v="330"/>
    <x v="14"/>
    <x v="5"/>
    <x v="0"/>
    <s v="No"/>
    <x v="0"/>
    <x v="0"/>
    <x v="13"/>
    <n v="0.2273"/>
    <x v="29"/>
    <x v="0"/>
    <n v="0"/>
    <n v="1"/>
    <n v="1"/>
  </r>
  <r>
    <n v="331"/>
    <x v="14"/>
    <x v="6"/>
    <x v="0"/>
    <s v="No"/>
    <x v="0"/>
    <x v="0"/>
    <x v="14"/>
    <n v="0.16669999999999999"/>
    <x v="30"/>
    <x v="14"/>
    <n v="1"/>
    <n v="2"/>
    <n v="3"/>
  </r>
  <r>
    <n v="332"/>
    <x v="14"/>
    <x v="7"/>
    <x v="0"/>
    <s v="No"/>
    <x v="0"/>
    <x v="0"/>
    <x v="14"/>
    <n v="0.21210000000000001"/>
    <x v="30"/>
    <x v="0"/>
    <n v="1"/>
    <n v="9"/>
    <n v="10"/>
  </r>
  <r>
    <n v="333"/>
    <x v="14"/>
    <x v="8"/>
    <x v="0"/>
    <s v="No"/>
    <x v="0"/>
    <x v="0"/>
    <x v="14"/>
    <n v="0.1515"/>
    <x v="30"/>
    <x v="7"/>
    <n v="1"/>
    <n v="22"/>
    <n v="23"/>
  </r>
  <r>
    <n v="334"/>
    <x v="14"/>
    <x v="9"/>
    <x v="0"/>
    <s v="No"/>
    <x v="0"/>
    <x v="0"/>
    <x v="13"/>
    <n v="0.18179999999999999"/>
    <x v="26"/>
    <x v="7"/>
    <n v="2"/>
    <n v="31"/>
    <n v="33"/>
  </r>
  <r>
    <n v="335"/>
    <x v="14"/>
    <x v="10"/>
    <x v="0"/>
    <s v="No"/>
    <x v="0"/>
    <x v="0"/>
    <x v="15"/>
    <n v="0.19700000000000001"/>
    <x v="29"/>
    <x v="8"/>
    <n v="2"/>
    <n v="57"/>
    <n v="59"/>
  </r>
  <r>
    <n v="336"/>
    <x v="14"/>
    <x v="11"/>
    <x v="0"/>
    <s v="No"/>
    <x v="0"/>
    <x v="0"/>
    <x v="2"/>
    <n v="0.19700000000000001"/>
    <x v="28"/>
    <x v="6"/>
    <n v="18"/>
    <n v="54"/>
    <n v="72"/>
  </r>
  <r>
    <n v="337"/>
    <x v="14"/>
    <x v="12"/>
    <x v="0"/>
    <s v="No"/>
    <x v="0"/>
    <x v="0"/>
    <x v="0"/>
    <n v="0.2273"/>
    <x v="37"/>
    <x v="6"/>
    <n v="15"/>
    <n v="74"/>
    <n v="89"/>
  </r>
  <r>
    <n v="338"/>
    <x v="14"/>
    <x v="13"/>
    <x v="0"/>
    <s v="No"/>
    <x v="0"/>
    <x v="0"/>
    <x v="17"/>
    <n v="0.2576"/>
    <x v="41"/>
    <x v="4"/>
    <n v="21"/>
    <n v="80"/>
    <n v="101"/>
  </r>
  <r>
    <n v="339"/>
    <x v="14"/>
    <x v="14"/>
    <x v="0"/>
    <s v="No"/>
    <x v="0"/>
    <x v="0"/>
    <x v="11"/>
    <n v="0.28789999999999999"/>
    <x v="17"/>
    <x v="3"/>
    <n v="26"/>
    <n v="92"/>
    <n v="118"/>
  </r>
  <r>
    <n v="340"/>
    <x v="14"/>
    <x v="15"/>
    <x v="0"/>
    <s v="No"/>
    <x v="0"/>
    <x v="1"/>
    <x v="3"/>
    <n v="0.31819999999999998"/>
    <x v="42"/>
    <x v="5"/>
    <n v="21"/>
    <n v="108"/>
    <n v="129"/>
  </r>
  <r>
    <n v="341"/>
    <x v="14"/>
    <x v="16"/>
    <x v="0"/>
    <s v="No"/>
    <x v="0"/>
    <x v="1"/>
    <x v="10"/>
    <n v="0.33329999999999999"/>
    <x v="46"/>
    <x v="5"/>
    <n v="33"/>
    <n v="95"/>
    <n v="128"/>
  </r>
  <r>
    <n v="342"/>
    <x v="14"/>
    <x v="17"/>
    <x v="0"/>
    <s v="No"/>
    <x v="0"/>
    <x v="1"/>
    <x v="3"/>
    <n v="0.30299999999999999"/>
    <x v="42"/>
    <x v="3"/>
    <n v="29"/>
    <n v="54"/>
    <n v="83"/>
  </r>
  <r>
    <n v="343"/>
    <x v="14"/>
    <x v="18"/>
    <x v="0"/>
    <s v="No"/>
    <x v="0"/>
    <x v="1"/>
    <x v="11"/>
    <n v="0.28789999999999999"/>
    <x v="49"/>
    <x v="2"/>
    <n v="15"/>
    <n v="69"/>
    <n v="84"/>
  </r>
  <r>
    <n v="344"/>
    <x v="14"/>
    <x v="19"/>
    <x v="0"/>
    <s v="No"/>
    <x v="0"/>
    <x v="1"/>
    <x v="3"/>
    <n v="0.30299999999999999"/>
    <x v="17"/>
    <x v="2"/>
    <n v="14"/>
    <n v="60"/>
    <n v="74"/>
  </r>
  <r>
    <n v="345"/>
    <x v="14"/>
    <x v="20"/>
    <x v="0"/>
    <s v="No"/>
    <x v="0"/>
    <x v="1"/>
    <x v="3"/>
    <n v="0.30299999999999999"/>
    <x v="17"/>
    <x v="2"/>
    <n v="6"/>
    <n v="35"/>
    <n v="41"/>
  </r>
  <r>
    <n v="346"/>
    <x v="14"/>
    <x v="21"/>
    <x v="0"/>
    <s v="No"/>
    <x v="0"/>
    <x v="1"/>
    <x v="3"/>
    <n v="0.30299999999999999"/>
    <x v="17"/>
    <x v="6"/>
    <n v="6"/>
    <n v="51"/>
    <n v="57"/>
  </r>
  <r>
    <n v="347"/>
    <x v="14"/>
    <x v="22"/>
    <x v="0"/>
    <s v="No"/>
    <x v="0"/>
    <x v="1"/>
    <x v="11"/>
    <n v="0.31819999999999998"/>
    <x v="16"/>
    <x v="14"/>
    <n v="0"/>
    <n v="26"/>
    <n v="26"/>
  </r>
  <r>
    <n v="348"/>
    <x v="14"/>
    <x v="23"/>
    <x v="0"/>
    <s v="No"/>
    <x v="0"/>
    <x v="0"/>
    <x v="11"/>
    <n v="0.28789999999999999"/>
    <x v="49"/>
    <x v="3"/>
    <n v="5"/>
    <n v="39"/>
    <n v="44"/>
  </r>
  <r>
    <n v="349"/>
    <x v="15"/>
    <x v="0"/>
    <x v="0"/>
    <s v="No"/>
    <x v="1"/>
    <x v="0"/>
    <x v="12"/>
    <n v="0.30299999999999999"/>
    <x v="34"/>
    <x v="0"/>
    <n v="6"/>
    <n v="33"/>
    <n v="39"/>
  </r>
  <r>
    <n v="350"/>
    <x v="15"/>
    <x v="1"/>
    <x v="0"/>
    <s v="No"/>
    <x v="1"/>
    <x v="0"/>
    <x v="12"/>
    <n v="0.2727"/>
    <x v="34"/>
    <x v="7"/>
    <n v="4"/>
    <n v="19"/>
    <n v="23"/>
  </r>
  <r>
    <n v="351"/>
    <x v="15"/>
    <x v="2"/>
    <x v="0"/>
    <s v="No"/>
    <x v="1"/>
    <x v="0"/>
    <x v="12"/>
    <n v="0.28789999999999999"/>
    <x v="34"/>
    <x v="1"/>
    <n v="3"/>
    <n v="13"/>
    <n v="16"/>
  </r>
  <r>
    <n v="352"/>
    <x v="15"/>
    <x v="3"/>
    <x v="0"/>
    <s v="No"/>
    <x v="1"/>
    <x v="0"/>
    <x v="1"/>
    <n v="0.2727"/>
    <x v="27"/>
    <x v="0"/>
    <n v="9"/>
    <n v="6"/>
    <n v="15"/>
  </r>
  <r>
    <n v="353"/>
    <x v="15"/>
    <x v="4"/>
    <x v="0"/>
    <s v="No"/>
    <x v="1"/>
    <x v="0"/>
    <x v="12"/>
    <n v="0.2576"/>
    <x v="34"/>
    <x v="8"/>
    <n v="0"/>
    <n v="1"/>
    <n v="1"/>
  </r>
  <r>
    <n v="354"/>
    <x v="15"/>
    <x v="5"/>
    <x v="0"/>
    <s v="No"/>
    <x v="1"/>
    <x v="1"/>
    <x v="12"/>
    <n v="0.2576"/>
    <x v="34"/>
    <x v="8"/>
    <n v="1"/>
    <n v="1"/>
    <n v="2"/>
  </r>
  <r>
    <n v="355"/>
    <x v="15"/>
    <x v="6"/>
    <x v="0"/>
    <s v="No"/>
    <x v="1"/>
    <x v="1"/>
    <x v="12"/>
    <n v="0.2576"/>
    <x v="34"/>
    <x v="8"/>
    <n v="0"/>
    <n v="1"/>
    <n v="1"/>
  </r>
  <r>
    <n v="356"/>
    <x v="15"/>
    <x v="7"/>
    <x v="0"/>
    <s v="No"/>
    <x v="1"/>
    <x v="1"/>
    <x v="0"/>
    <n v="0.21210000000000001"/>
    <x v="34"/>
    <x v="4"/>
    <n v="0"/>
    <n v="3"/>
    <n v="3"/>
  </r>
  <r>
    <n v="357"/>
    <x v="15"/>
    <x v="8"/>
    <x v="0"/>
    <s v="No"/>
    <x v="1"/>
    <x v="0"/>
    <x v="1"/>
    <n v="0.21210000000000001"/>
    <x v="28"/>
    <x v="3"/>
    <n v="0"/>
    <n v="18"/>
    <n v="18"/>
  </r>
  <r>
    <n v="358"/>
    <x v="15"/>
    <x v="9"/>
    <x v="0"/>
    <s v="No"/>
    <x v="1"/>
    <x v="0"/>
    <x v="1"/>
    <n v="0.21210000000000001"/>
    <x v="33"/>
    <x v="2"/>
    <n v="3"/>
    <n v="29"/>
    <n v="32"/>
  </r>
  <r>
    <n v="359"/>
    <x v="15"/>
    <x v="10"/>
    <x v="0"/>
    <s v="No"/>
    <x v="1"/>
    <x v="0"/>
    <x v="1"/>
    <n v="0.21210000000000001"/>
    <x v="33"/>
    <x v="3"/>
    <n v="8"/>
    <n v="71"/>
    <n v="79"/>
  </r>
  <r>
    <n v="360"/>
    <x v="15"/>
    <x v="11"/>
    <x v="0"/>
    <s v="No"/>
    <x v="1"/>
    <x v="0"/>
    <x v="0"/>
    <n v="0.2273"/>
    <x v="18"/>
    <x v="2"/>
    <n v="23"/>
    <n v="70"/>
    <n v="93"/>
  </r>
  <r>
    <n v="361"/>
    <x v="15"/>
    <x v="12"/>
    <x v="0"/>
    <s v="No"/>
    <x v="1"/>
    <x v="0"/>
    <x v="0"/>
    <n v="0.21210000000000001"/>
    <x v="48"/>
    <x v="3"/>
    <n v="29"/>
    <n v="75"/>
    <n v="104"/>
  </r>
  <r>
    <n v="362"/>
    <x v="15"/>
    <x v="13"/>
    <x v="0"/>
    <s v="No"/>
    <x v="1"/>
    <x v="0"/>
    <x v="12"/>
    <n v="0.2273"/>
    <x v="23"/>
    <x v="4"/>
    <n v="23"/>
    <n v="95"/>
    <n v="118"/>
  </r>
  <r>
    <n v="363"/>
    <x v="15"/>
    <x v="14"/>
    <x v="0"/>
    <s v="No"/>
    <x v="1"/>
    <x v="0"/>
    <x v="17"/>
    <n v="0.2727"/>
    <x v="42"/>
    <x v="2"/>
    <n v="22"/>
    <n v="69"/>
    <n v="91"/>
  </r>
  <r>
    <n v="364"/>
    <x v="15"/>
    <x v="15"/>
    <x v="0"/>
    <s v="No"/>
    <x v="1"/>
    <x v="0"/>
    <x v="12"/>
    <n v="0.2424"/>
    <x v="41"/>
    <x v="2"/>
    <n v="35"/>
    <n v="78"/>
    <n v="113"/>
  </r>
  <r>
    <n v="365"/>
    <x v="15"/>
    <x v="16"/>
    <x v="0"/>
    <s v="No"/>
    <x v="1"/>
    <x v="0"/>
    <x v="0"/>
    <n v="0.2273"/>
    <x v="41"/>
    <x v="6"/>
    <n v="22"/>
    <n v="77"/>
    <n v="99"/>
  </r>
  <r>
    <n v="366"/>
    <x v="15"/>
    <x v="17"/>
    <x v="0"/>
    <s v="No"/>
    <x v="1"/>
    <x v="0"/>
    <x v="1"/>
    <n v="0.21210000000000001"/>
    <x v="38"/>
    <x v="2"/>
    <n v="23"/>
    <n v="82"/>
    <n v="105"/>
  </r>
  <r>
    <n v="367"/>
    <x v="15"/>
    <x v="18"/>
    <x v="0"/>
    <s v="No"/>
    <x v="1"/>
    <x v="0"/>
    <x v="2"/>
    <n v="0.21210000000000001"/>
    <x v="22"/>
    <x v="8"/>
    <n v="11"/>
    <n v="56"/>
    <n v="67"/>
  </r>
  <r>
    <n v="368"/>
    <x v="15"/>
    <x v="19"/>
    <x v="0"/>
    <s v="No"/>
    <x v="1"/>
    <x v="0"/>
    <x v="15"/>
    <n v="0.19700000000000001"/>
    <x v="19"/>
    <x v="7"/>
    <n v="14"/>
    <n v="47"/>
    <n v="61"/>
  </r>
  <r>
    <n v="369"/>
    <x v="15"/>
    <x v="20"/>
    <x v="0"/>
    <s v="No"/>
    <x v="1"/>
    <x v="0"/>
    <x v="15"/>
    <n v="0.19700000000000001"/>
    <x v="19"/>
    <x v="8"/>
    <n v="7"/>
    <n v="50"/>
    <n v="57"/>
  </r>
  <r>
    <n v="370"/>
    <x v="15"/>
    <x v="21"/>
    <x v="0"/>
    <s v="No"/>
    <x v="1"/>
    <x v="0"/>
    <x v="15"/>
    <n v="0.19700000000000001"/>
    <x v="33"/>
    <x v="8"/>
    <n v="6"/>
    <n v="22"/>
    <n v="28"/>
  </r>
  <r>
    <n v="371"/>
    <x v="15"/>
    <x v="22"/>
    <x v="0"/>
    <s v="No"/>
    <x v="1"/>
    <x v="1"/>
    <x v="2"/>
    <n v="0.21210000000000001"/>
    <x v="36"/>
    <x v="7"/>
    <n v="2"/>
    <n v="19"/>
    <n v="21"/>
  </r>
  <r>
    <n v="372"/>
    <x v="15"/>
    <x v="23"/>
    <x v="0"/>
    <s v="No"/>
    <x v="1"/>
    <x v="1"/>
    <x v="2"/>
    <n v="0.2273"/>
    <x v="22"/>
    <x v="14"/>
    <n v="0"/>
    <n v="18"/>
    <n v="18"/>
  </r>
  <r>
    <n v="373"/>
    <x v="16"/>
    <x v="0"/>
    <x v="0"/>
    <s v="Yes"/>
    <x v="2"/>
    <x v="1"/>
    <x v="2"/>
    <n v="0.19700000000000001"/>
    <x v="19"/>
    <x v="6"/>
    <n v="1"/>
    <n v="16"/>
    <n v="17"/>
  </r>
  <r>
    <n v="374"/>
    <x v="16"/>
    <x v="1"/>
    <x v="0"/>
    <s v="Yes"/>
    <x v="2"/>
    <x v="1"/>
    <x v="2"/>
    <n v="0.19700000000000001"/>
    <x v="18"/>
    <x v="5"/>
    <n v="1"/>
    <n v="15"/>
    <n v="16"/>
  </r>
  <r>
    <n v="375"/>
    <x v="16"/>
    <x v="2"/>
    <x v="0"/>
    <s v="Yes"/>
    <x v="2"/>
    <x v="1"/>
    <x v="15"/>
    <n v="0.16669999999999999"/>
    <x v="21"/>
    <x v="2"/>
    <n v="0"/>
    <n v="8"/>
    <n v="8"/>
  </r>
  <r>
    <n v="376"/>
    <x v="16"/>
    <x v="3"/>
    <x v="0"/>
    <s v="Yes"/>
    <x v="2"/>
    <x v="1"/>
    <x v="15"/>
    <n v="0.18179999999999999"/>
    <x v="21"/>
    <x v="5"/>
    <n v="0"/>
    <n v="2"/>
    <n v="2"/>
  </r>
  <r>
    <n v="377"/>
    <x v="16"/>
    <x v="4"/>
    <x v="0"/>
    <s v="Yes"/>
    <x v="2"/>
    <x v="1"/>
    <x v="15"/>
    <n v="0.19700000000000001"/>
    <x v="21"/>
    <x v="7"/>
    <n v="1"/>
    <n v="2"/>
    <n v="3"/>
  </r>
  <r>
    <n v="378"/>
    <x v="16"/>
    <x v="5"/>
    <x v="0"/>
    <s v="Yes"/>
    <x v="2"/>
    <x v="1"/>
    <x v="15"/>
    <n v="0.19700000000000001"/>
    <x v="21"/>
    <x v="8"/>
    <n v="0"/>
    <n v="1"/>
    <n v="1"/>
  </r>
  <r>
    <n v="379"/>
    <x v="16"/>
    <x v="6"/>
    <x v="0"/>
    <s v="Yes"/>
    <x v="2"/>
    <x v="1"/>
    <x v="15"/>
    <n v="0.18179999999999999"/>
    <x v="21"/>
    <x v="5"/>
    <n v="0"/>
    <n v="5"/>
    <n v="5"/>
  </r>
  <r>
    <n v="380"/>
    <x v="16"/>
    <x v="7"/>
    <x v="0"/>
    <s v="Yes"/>
    <x v="2"/>
    <x v="1"/>
    <x v="13"/>
    <n v="0.18179999999999999"/>
    <x v="20"/>
    <x v="7"/>
    <n v="4"/>
    <n v="9"/>
    <n v="13"/>
  </r>
  <r>
    <n v="381"/>
    <x v="16"/>
    <x v="8"/>
    <x v="0"/>
    <s v="Yes"/>
    <x v="2"/>
    <x v="1"/>
    <x v="13"/>
    <n v="0.1515"/>
    <x v="19"/>
    <x v="6"/>
    <n v="3"/>
    <n v="30"/>
    <n v="33"/>
  </r>
  <r>
    <n v="382"/>
    <x v="16"/>
    <x v="9"/>
    <x v="0"/>
    <s v="Yes"/>
    <x v="2"/>
    <x v="1"/>
    <x v="13"/>
    <n v="0.1515"/>
    <x v="19"/>
    <x v="6"/>
    <n v="8"/>
    <n v="39"/>
    <n v="47"/>
  </r>
  <r>
    <n v="383"/>
    <x v="16"/>
    <x v="10"/>
    <x v="0"/>
    <s v="Yes"/>
    <x v="2"/>
    <x v="1"/>
    <x v="13"/>
    <n v="0.1515"/>
    <x v="20"/>
    <x v="2"/>
    <n v="7"/>
    <n v="50"/>
    <n v="57"/>
  </r>
  <r>
    <n v="384"/>
    <x v="16"/>
    <x v="11"/>
    <x v="0"/>
    <s v="Yes"/>
    <x v="2"/>
    <x v="1"/>
    <x v="13"/>
    <n v="0.1515"/>
    <x v="28"/>
    <x v="5"/>
    <n v="9"/>
    <n v="55"/>
    <n v="64"/>
  </r>
  <r>
    <n v="385"/>
    <x v="16"/>
    <x v="12"/>
    <x v="0"/>
    <s v="Yes"/>
    <x v="2"/>
    <x v="1"/>
    <x v="15"/>
    <n v="0.19700000000000001"/>
    <x v="19"/>
    <x v="7"/>
    <n v="10"/>
    <n v="70"/>
    <n v="80"/>
  </r>
  <r>
    <n v="386"/>
    <x v="16"/>
    <x v="13"/>
    <x v="0"/>
    <s v="Yes"/>
    <x v="2"/>
    <x v="1"/>
    <x v="15"/>
    <n v="0.19700000000000001"/>
    <x v="19"/>
    <x v="7"/>
    <n v="13"/>
    <n v="80"/>
    <n v="93"/>
  </r>
  <r>
    <n v="387"/>
    <x v="16"/>
    <x v="14"/>
    <x v="0"/>
    <s v="Yes"/>
    <x v="2"/>
    <x v="1"/>
    <x v="15"/>
    <n v="0.21210000000000001"/>
    <x v="21"/>
    <x v="14"/>
    <n v="12"/>
    <n v="74"/>
    <n v="86"/>
  </r>
  <r>
    <n v="388"/>
    <x v="16"/>
    <x v="15"/>
    <x v="0"/>
    <s v="Yes"/>
    <x v="2"/>
    <x v="1"/>
    <x v="2"/>
    <n v="0.21210000000000001"/>
    <x v="19"/>
    <x v="8"/>
    <n v="21"/>
    <n v="72"/>
    <n v="93"/>
  </r>
  <r>
    <n v="389"/>
    <x v="16"/>
    <x v="16"/>
    <x v="0"/>
    <s v="Yes"/>
    <x v="2"/>
    <x v="1"/>
    <x v="2"/>
    <n v="0.21210000000000001"/>
    <x v="19"/>
    <x v="8"/>
    <n v="6"/>
    <n v="76"/>
    <n v="82"/>
  </r>
  <r>
    <n v="390"/>
    <x v="16"/>
    <x v="17"/>
    <x v="0"/>
    <s v="Yes"/>
    <x v="2"/>
    <x v="0"/>
    <x v="2"/>
    <n v="0.19700000000000001"/>
    <x v="33"/>
    <x v="5"/>
    <n v="4"/>
    <n v="67"/>
    <n v="71"/>
  </r>
  <r>
    <n v="391"/>
    <x v="16"/>
    <x v="18"/>
    <x v="0"/>
    <s v="Yes"/>
    <x v="2"/>
    <x v="1"/>
    <x v="15"/>
    <n v="0.16669999999999999"/>
    <x v="28"/>
    <x v="2"/>
    <n v="7"/>
    <n v="85"/>
    <n v="92"/>
  </r>
  <r>
    <n v="392"/>
    <x v="16"/>
    <x v="19"/>
    <x v="0"/>
    <s v="Yes"/>
    <x v="2"/>
    <x v="2"/>
    <x v="15"/>
    <n v="0.18179999999999999"/>
    <x v="29"/>
    <x v="5"/>
    <n v="2"/>
    <n v="58"/>
    <n v="60"/>
  </r>
  <r>
    <n v="393"/>
    <x v="16"/>
    <x v="20"/>
    <x v="0"/>
    <s v="Yes"/>
    <x v="2"/>
    <x v="2"/>
    <x v="13"/>
    <n v="0.1515"/>
    <x v="1"/>
    <x v="5"/>
    <n v="4"/>
    <n v="29"/>
    <n v="33"/>
  </r>
  <r>
    <n v="394"/>
    <x v="16"/>
    <x v="21"/>
    <x v="0"/>
    <s v="Yes"/>
    <x v="2"/>
    <x v="2"/>
    <x v="13"/>
    <n v="0.1515"/>
    <x v="1"/>
    <x v="5"/>
    <n v="3"/>
    <n v="24"/>
    <n v="27"/>
  </r>
  <r>
    <n v="395"/>
    <x v="16"/>
    <x v="22"/>
    <x v="0"/>
    <s v="Yes"/>
    <x v="2"/>
    <x v="2"/>
    <x v="14"/>
    <n v="0.1212"/>
    <x v="43"/>
    <x v="2"/>
    <n v="0"/>
    <n v="13"/>
    <n v="13"/>
  </r>
  <r>
    <n v="396"/>
    <x v="16"/>
    <x v="23"/>
    <x v="0"/>
    <s v="Yes"/>
    <x v="2"/>
    <x v="2"/>
    <x v="13"/>
    <n v="0.13639999999999999"/>
    <x v="3"/>
    <x v="3"/>
    <n v="1"/>
    <n v="3"/>
    <n v="4"/>
  </r>
  <r>
    <n v="397"/>
    <x v="17"/>
    <x v="12"/>
    <x v="0"/>
    <s v="No"/>
    <x v="3"/>
    <x v="1"/>
    <x v="2"/>
    <n v="0.18179999999999999"/>
    <x v="3"/>
    <x v="9"/>
    <n v="0"/>
    <n v="3"/>
    <n v="3"/>
  </r>
  <r>
    <n v="398"/>
    <x v="17"/>
    <x v="13"/>
    <x v="0"/>
    <s v="No"/>
    <x v="3"/>
    <x v="1"/>
    <x v="2"/>
    <n v="0.19700000000000001"/>
    <x v="3"/>
    <x v="6"/>
    <n v="0"/>
    <n v="22"/>
    <n v="22"/>
  </r>
  <r>
    <n v="399"/>
    <x v="17"/>
    <x v="14"/>
    <x v="0"/>
    <s v="No"/>
    <x v="3"/>
    <x v="1"/>
    <x v="1"/>
    <n v="0.2273"/>
    <x v="1"/>
    <x v="8"/>
    <n v="2"/>
    <n v="26"/>
    <n v="28"/>
  </r>
  <r>
    <n v="400"/>
    <x v="17"/>
    <x v="15"/>
    <x v="0"/>
    <s v="No"/>
    <x v="3"/>
    <x v="1"/>
    <x v="1"/>
    <n v="0.2273"/>
    <x v="9"/>
    <x v="8"/>
    <n v="3"/>
    <n v="32"/>
    <n v="35"/>
  </r>
  <r>
    <n v="401"/>
    <x v="17"/>
    <x v="16"/>
    <x v="0"/>
    <s v="No"/>
    <x v="3"/>
    <x v="1"/>
    <x v="1"/>
    <n v="0.2273"/>
    <x v="9"/>
    <x v="5"/>
    <n v="0"/>
    <n v="61"/>
    <n v="61"/>
  </r>
  <r>
    <n v="402"/>
    <x v="17"/>
    <x v="17"/>
    <x v="0"/>
    <s v="No"/>
    <x v="3"/>
    <x v="1"/>
    <x v="1"/>
    <n v="0.2273"/>
    <x v="7"/>
    <x v="5"/>
    <n v="1"/>
    <n v="124"/>
    <n v="125"/>
  </r>
  <r>
    <n v="403"/>
    <x v="17"/>
    <x v="18"/>
    <x v="0"/>
    <s v="No"/>
    <x v="3"/>
    <x v="1"/>
    <x v="1"/>
    <n v="0.2273"/>
    <x v="1"/>
    <x v="8"/>
    <n v="1"/>
    <n v="132"/>
    <n v="133"/>
  </r>
  <r>
    <n v="404"/>
    <x v="17"/>
    <x v="19"/>
    <x v="0"/>
    <s v="No"/>
    <x v="3"/>
    <x v="1"/>
    <x v="1"/>
    <n v="0.2273"/>
    <x v="1"/>
    <x v="7"/>
    <n v="1"/>
    <n v="98"/>
    <n v="99"/>
  </r>
  <r>
    <n v="405"/>
    <x v="17"/>
    <x v="20"/>
    <x v="0"/>
    <s v="No"/>
    <x v="3"/>
    <x v="1"/>
    <x v="1"/>
    <n v="0.2727"/>
    <x v="9"/>
    <x v="0"/>
    <n v="0"/>
    <n v="83"/>
    <n v="83"/>
  </r>
  <r>
    <n v="406"/>
    <x v="17"/>
    <x v="21"/>
    <x v="0"/>
    <s v="No"/>
    <x v="3"/>
    <x v="1"/>
    <x v="1"/>
    <n v="0.2424"/>
    <x v="43"/>
    <x v="14"/>
    <n v="0"/>
    <n v="41"/>
    <n v="41"/>
  </r>
  <r>
    <n v="407"/>
    <x v="17"/>
    <x v="22"/>
    <x v="0"/>
    <s v="No"/>
    <x v="3"/>
    <x v="1"/>
    <x v="1"/>
    <n v="0.2576"/>
    <x v="43"/>
    <x v="1"/>
    <n v="0"/>
    <n v="33"/>
    <n v="33"/>
  </r>
  <r>
    <n v="408"/>
    <x v="17"/>
    <x v="23"/>
    <x v="0"/>
    <s v="No"/>
    <x v="3"/>
    <x v="1"/>
    <x v="1"/>
    <n v="0.2727"/>
    <x v="43"/>
    <x v="0"/>
    <n v="1"/>
    <n v="19"/>
    <n v="20"/>
  </r>
  <r>
    <n v="409"/>
    <x v="18"/>
    <x v="0"/>
    <x v="0"/>
    <s v="No"/>
    <x v="4"/>
    <x v="1"/>
    <x v="1"/>
    <n v="0.2727"/>
    <x v="43"/>
    <x v="0"/>
    <n v="0"/>
    <n v="3"/>
    <n v="3"/>
  </r>
  <r>
    <n v="410"/>
    <x v="18"/>
    <x v="1"/>
    <x v="0"/>
    <s v="No"/>
    <x v="4"/>
    <x v="2"/>
    <x v="1"/>
    <n v="0.2273"/>
    <x v="43"/>
    <x v="7"/>
    <n v="1"/>
    <n v="6"/>
    <n v="7"/>
  </r>
  <r>
    <n v="411"/>
    <x v="18"/>
    <x v="2"/>
    <x v="0"/>
    <s v="No"/>
    <x v="4"/>
    <x v="2"/>
    <x v="1"/>
    <n v="0.2273"/>
    <x v="43"/>
    <x v="7"/>
    <n v="0"/>
    <n v="3"/>
    <n v="3"/>
  </r>
  <r>
    <n v="412"/>
    <x v="18"/>
    <x v="4"/>
    <x v="0"/>
    <s v="No"/>
    <x v="4"/>
    <x v="2"/>
    <x v="1"/>
    <n v="0.2273"/>
    <x v="43"/>
    <x v="7"/>
    <n v="1"/>
    <n v="1"/>
    <n v="2"/>
  </r>
  <r>
    <n v="413"/>
    <x v="18"/>
    <x v="5"/>
    <x v="0"/>
    <s v="No"/>
    <x v="4"/>
    <x v="1"/>
    <x v="1"/>
    <n v="0.2576"/>
    <x v="43"/>
    <x v="1"/>
    <n v="0"/>
    <n v="7"/>
    <n v="7"/>
  </r>
  <r>
    <n v="414"/>
    <x v="18"/>
    <x v="6"/>
    <x v="0"/>
    <s v="No"/>
    <x v="4"/>
    <x v="1"/>
    <x v="1"/>
    <n v="0.2576"/>
    <x v="43"/>
    <x v="1"/>
    <n v="0"/>
    <n v="32"/>
    <n v="32"/>
  </r>
  <r>
    <n v="415"/>
    <x v="18"/>
    <x v="7"/>
    <x v="0"/>
    <s v="No"/>
    <x v="4"/>
    <x v="1"/>
    <x v="0"/>
    <n v="0.2576"/>
    <x v="50"/>
    <x v="14"/>
    <n v="1"/>
    <n v="89"/>
    <n v="90"/>
  </r>
  <r>
    <n v="416"/>
    <x v="18"/>
    <x v="8"/>
    <x v="0"/>
    <s v="No"/>
    <x v="4"/>
    <x v="1"/>
    <x v="0"/>
    <n v="0.2576"/>
    <x v="43"/>
    <x v="14"/>
    <n v="1"/>
    <n v="196"/>
    <n v="197"/>
  </r>
  <r>
    <n v="417"/>
    <x v="18"/>
    <x v="9"/>
    <x v="0"/>
    <s v="No"/>
    <x v="4"/>
    <x v="1"/>
    <x v="0"/>
    <n v="0.2576"/>
    <x v="43"/>
    <x v="14"/>
    <n v="2"/>
    <n v="107"/>
    <n v="109"/>
  </r>
  <r>
    <n v="418"/>
    <x v="18"/>
    <x v="10"/>
    <x v="0"/>
    <s v="No"/>
    <x v="4"/>
    <x v="1"/>
    <x v="12"/>
    <n v="0.2727"/>
    <x v="43"/>
    <x v="7"/>
    <n v="1"/>
    <n v="46"/>
    <n v="47"/>
  </r>
  <r>
    <n v="419"/>
    <x v="18"/>
    <x v="11"/>
    <x v="0"/>
    <s v="No"/>
    <x v="4"/>
    <x v="1"/>
    <x v="17"/>
    <n v="0.30299999999999999"/>
    <x v="9"/>
    <x v="1"/>
    <n v="5"/>
    <n v="47"/>
    <n v="52"/>
  </r>
  <r>
    <n v="420"/>
    <x v="18"/>
    <x v="12"/>
    <x v="0"/>
    <s v="No"/>
    <x v="4"/>
    <x v="1"/>
    <x v="11"/>
    <n v="0.31819999999999998"/>
    <x v="0"/>
    <x v="1"/>
    <n v="5"/>
    <n v="65"/>
    <n v="70"/>
  </r>
  <r>
    <n v="421"/>
    <x v="18"/>
    <x v="13"/>
    <x v="0"/>
    <s v="No"/>
    <x v="4"/>
    <x v="0"/>
    <x v="9"/>
    <n v="0.40910000000000002"/>
    <x v="51"/>
    <x v="3"/>
    <n v="11"/>
    <n v="67"/>
    <n v="78"/>
  </r>
  <r>
    <n v="422"/>
    <x v="18"/>
    <x v="14"/>
    <x v="0"/>
    <s v="No"/>
    <x v="4"/>
    <x v="0"/>
    <x v="9"/>
    <n v="0.40910000000000002"/>
    <x v="52"/>
    <x v="2"/>
    <n v="7"/>
    <n v="68"/>
    <n v="75"/>
  </r>
  <r>
    <n v="423"/>
    <x v="18"/>
    <x v="15"/>
    <x v="0"/>
    <s v="No"/>
    <x v="4"/>
    <x v="0"/>
    <x v="9"/>
    <n v="0.40910000000000002"/>
    <x v="47"/>
    <x v="3"/>
    <n v="4"/>
    <n v="78"/>
    <n v="82"/>
  </r>
  <r>
    <n v="424"/>
    <x v="18"/>
    <x v="16"/>
    <x v="0"/>
    <s v="No"/>
    <x v="4"/>
    <x v="0"/>
    <x v="4"/>
    <n v="0.39389999999999997"/>
    <x v="52"/>
    <x v="13"/>
    <n v="10"/>
    <n v="94"/>
    <n v="104"/>
  </r>
  <r>
    <n v="425"/>
    <x v="18"/>
    <x v="17"/>
    <x v="0"/>
    <s v="No"/>
    <x v="4"/>
    <x v="0"/>
    <x v="5"/>
    <n v="0.33329999999999999"/>
    <x v="14"/>
    <x v="9"/>
    <n v="7"/>
    <n v="190"/>
    <n v="197"/>
  </r>
  <r>
    <n v="426"/>
    <x v="18"/>
    <x v="18"/>
    <x v="0"/>
    <s v="No"/>
    <x v="4"/>
    <x v="0"/>
    <x v="10"/>
    <n v="0.31819999999999998"/>
    <x v="53"/>
    <x v="3"/>
    <n v="5"/>
    <n v="156"/>
    <n v="161"/>
  </r>
  <r>
    <n v="427"/>
    <x v="18"/>
    <x v="19"/>
    <x v="0"/>
    <s v="No"/>
    <x v="4"/>
    <x v="0"/>
    <x v="3"/>
    <n v="0.28789999999999999"/>
    <x v="14"/>
    <x v="12"/>
    <n v="4"/>
    <n v="108"/>
    <n v="112"/>
  </r>
  <r>
    <n v="428"/>
    <x v="18"/>
    <x v="20"/>
    <x v="0"/>
    <s v="No"/>
    <x v="4"/>
    <x v="0"/>
    <x v="3"/>
    <n v="0.30299999999999999"/>
    <x v="36"/>
    <x v="4"/>
    <n v="2"/>
    <n v="74"/>
    <n v="76"/>
  </r>
  <r>
    <n v="429"/>
    <x v="18"/>
    <x v="21"/>
    <x v="0"/>
    <s v="No"/>
    <x v="4"/>
    <x v="0"/>
    <x v="3"/>
    <n v="0.28789999999999999"/>
    <x v="36"/>
    <x v="12"/>
    <n v="4"/>
    <n v="55"/>
    <n v="59"/>
  </r>
  <r>
    <n v="430"/>
    <x v="18"/>
    <x v="22"/>
    <x v="0"/>
    <s v="No"/>
    <x v="4"/>
    <x v="0"/>
    <x v="11"/>
    <n v="0.30299999999999999"/>
    <x v="35"/>
    <x v="8"/>
    <n v="6"/>
    <n v="53"/>
    <n v="59"/>
  </r>
  <r>
    <n v="431"/>
    <x v="18"/>
    <x v="23"/>
    <x v="0"/>
    <s v="No"/>
    <x v="4"/>
    <x v="0"/>
    <x v="11"/>
    <n v="0.2727"/>
    <x v="35"/>
    <x v="17"/>
    <n v="1"/>
    <n v="27"/>
    <n v="28"/>
  </r>
  <r>
    <n v="432"/>
    <x v="19"/>
    <x v="0"/>
    <x v="0"/>
    <s v="No"/>
    <x v="5"/>
    <x v="0"/>
    <x v="12"/>
    <n v="0.2273"/>
    <x v="34"/>
    <x v="13"/>
    <n v="5"/>
    <n v="8"/>
    <n v="13"/>
  </r>
  <r>
    <n v="433"/>
    <x v="19"/>
    <x v="1"/>
    <x v="0"/>
    <s v="No"/>
    <x v="5"/>
    <x v="0"/>
    <x v="12"/>
    <n v="0.2727"/>
    <x v="34"/>
    <x v="0"/>
    <n v="2"/>
    <n v="3"/>
    <n v="5"/>
  </r>
  <r>
    <n v="434"/>
    <x v="19"/>
    <x v="2"/>
    <x v="0"/>
    <s v="No"/>
    <x v="5"/>
    <x v="0"/>
    <x v="12"/>
    <n v="0.2727"/>
    <x v="34"/>
    <x v="0"/>
    <n v="0"/>
    <n v="2"/>
    <n v="2"/>
  </r>
  <r>
    <n v="435"/>
    <x v="19"/>
    <x v="3"/>
    <x v="0"/>
    <s v="No"/>
    <x v="5"/>
    <x v="0"/>
    <x v="12"/>
    <n v="0.2576"/>
    <x v="34"/>
    <x v="8"/>
    <n v="0"/>
    <n v="1"/>
    <n v="1"/>
  </r>
  <r>
    <n v="436"/>
    <x v="19"/>
    <x v="4"/>
    <x v="0"/>
    <s v="No"/>
    <x v="5"/>
    <x v="0"/>
    <x v="12"/>
    <n v="0.2576"/>
    <x v="34"/>
    <x v="8"/>
    <n v="0"/>
    <n v="1"/>
    <n v="1"/>
  </r>
  <r>
    <n v="437"/>
    <x v="19"/>
    <x v="5"/>
    <x v="0"/>
    <s v="No"/>
    <x v="5"/>
    <x v="0"/>
    <x v="0"/>
    <n v="0.2273"/>
    <x v="54"/>
    <x v="6"/>
    <n v="0"/>
    <n v="6"/>
    <n v="6"/>
  </r>
  <r>
    <n v="438"/>
    <x v="19"/>
    <x v="6"/>
    <x v="0"/>
    <s v="No"/>
    <x v="5"/>
    <x v="0"/>
    <x v="1"/>
    <n v="0.21210000000000001"/>
    <x v="54"/>
    <x v="6"/>
    <n v="0"/>
    <n v="35"/>
    <n v="35"/>
  </r>
  <r>
    <n v="439"/>
    <x v="19"/>
    <x v="7"/>
    <x v="0"/>
    <s v="No"/>
    <x v="5"/>
    <x v="0"/>
    <x v="1"/>
    <n v="0.21210000000000001"/>
    <x v="28"/>
    <x v="6"/>
    <n v="1"/>
    <n v="100"/>
    <n v="101"/>
  </r>
  <r>
    <n v="440"/>
    <x v="19"/>
    <x v="8"/>
    <x v="0"/>
    <s v="No"/>
    <x v="5"/>
    <x v="0"/>
    <x v="1"/>
    <n v="0.21210000000000001"/>
    <x v="28"/>
    <x v="3"/>
    <n v="2"/>
    <n v="247"/>
    <n v="249"/>
  </r>
  <r>
    <n v="441"/>
    <x v="19"/>
    <x v="9"/>
    <x v="0"/>
    <s v="No"/>
    <x v="5"/>
    <x v="1"/>
    <x v="0"/>
    <n v="0.2273"/>
    <x v="35"/>
    <x v="6"/>
    <n v="3"/>
    <n v="140"/>
    <n v="143"/>
  </r>
  <r>
    <n v="442"/>
    <x v="19"/>
    <x v="10"/>
    <x v="0"/>
    <s v="No"/>
    <x v="5"/>
    <x v="0"/>
    <x v="12"/>
    <n v="0.2273"/>
    <x v="37"/>
    <x v="4"/>
    <n v="1"/>
    <n v="56"/>
    <n v="57"/>
  </r>
  <r>
    <n v="443"/>
    <x v="19"/>
    <x v="11"/>
    <x v="0"/>
    <s v="No"/>
    <x v="5"/>
    <x v="1"/>
    <x v="17"/>
    <n v="0.2727"/>
    <x v="49"/>
    <x v="8"/>
    <n v="5"/>
    <n v="63"/>
    <n v="68"/>
  </r>
  <r>
    <n v="444"/>
    <x v="19"/>
    <x v="12"/>
    <x v="0"/>
    <s v="No"/>
    <x v="5"/>
    <x v="1"/>
    <x v="11"/>
    <n v="0.33329999999999999"/>
    <x v="16"/>
    <x v="0"/>
    <n v="7"/>
    <n v="77"/>
    <n v="84"/>
  </r>
  <r>
    <n v="445"/>
    <x v="19"/>
    <x v="13"/>
    <x v="0"/>
    <s v="No"/>
    <x v="5"/>
    <x v="1"/>
    <x v="17"/>
    <n v="0.28789999999999999"/>
    <x v="49"/>
    <x v="14"/>
    <n v="12"/>
    <n v="86"/>
    <n v="98"/>
  </r>
  <r>
    <n v="446"/>
    <x v="19"/>
    <x v="14"/>
    <x v="0"/>
    <s v="No"/>
    <x v="5"/>
    <x v="1"/>
    <x v="11"/>
    <n v="0.30299999999999999"/>
    <x v="49"/>
    <x v="7"/>
    <n v="6"/>
    <n v="75"/>
    <n v="81"/>
  </r>
  <r>
    <n v="447"/>
    <x v="19"/>
    <x v="15"/>
    <x v="0"/>
    <s v="No"/>
    <x v="5"/>
    <x v="1"/>
    <x v="3"/>
    <n v="0.31819999999999998"/>
    <x v="49"/>
    <x v="5"/>
    <n v="8"/>
    <n v="62"/>
    <n v="70"/>
  </r>
  <r>
    <n v="448"/>
    <x v="19"/>
    <x v="16"/>
    <x v="0"/>
    <s v="No"/>
    <x v="5"/>
    <x v="1"/>
    <x v="11"/>
    <n v="0.30299999999999999"/>
    <x v="36"/>
    <x v="7"/>
    <n v="8"/>
    <n v="83"/>
    <n v="91"/>
  </r>
  <r>
    <n v="449"/>
    <x v="19"/>
    <x v="17"/>
    <x v="0"/>
    <s v="No"/>
    <x v="5"/>
    <x v="1"/>
    <x v="11"/>
    <n v="0.31819999999999998"/>
    <x v="36"/>
    <x v="14"/>
    <n v="8"/>
    <n v="207"/>
    <n v="215"/>
  </r>
  <r>
    <n v="450"/>
    <x v="19"/>
    <x v="18"/>
    <x v="0"/>
    <s v="No"/>
    <x v="5"/>
    <x v="1"/>
    <x v="12"/>
    <n v="0.2576"/>
    <x v="34"/>
    <x v="5"/>
    <n v="1"/>
    <n v="184"/>
    <n v="185"/>
  </r>
  <r>
    <n v="451"/>
    <x v="19"/>
    <x v="19"/>
    <x v="0"/>
    <s v="No"/>
    <x v="5"/>
    <x v="0"/>
    <x v="12"/>
    <n v="0.2273"/>
    <x v="34"/>
    <x v="9"/>
    <n v="6"/>
    <n v="146"/>
    <n v="152"/>
  </r>
  <r>
    <n v="452"/>
    <x v="19"/>
    <x v="20"/>
    <x v="0"/>
    <s v="No"/>
    <x v="5"/>
    <x v="1"/>
    <x v="12"/>
    <n v="0.2424"/>
    <x v="54"/>
    <x v="3"/>
    <n v="2"/>
    <n v="124"/>
    <n v="126"/>
  </r>
  <r>
    <n v="453"/>
    <x v="19"/>
    <x v="21"/>
    <x v="0"/>
    <s v="No"/>
    <x v="5"/>
    <x v="1"/>
    <x v="0"/>
    <n v="0.2273"/>
    <x v="54"/>
    <x v="2"/>
    <n v="3"/>
    <n v="54"/>
    <n v="57"/>
  </r>
  <r>
    <n v="454"/>
    <x v="19"/>
    <x v="22"/>
    <x v="0"/>
    <s v="No"/>
    <x v="5"/>
    <x v="1"/>
    <x v="0"/>
    <n v="0.21210000000000001"/>
    <x v="55"/>
    <x v="3"/>
    <n v="0"/>
    <n v="56"/>
    <n v="56"/>
  </r>
  <r>
    <n v="455"/>
    <x v="19"/>
    <x v="23"/>
    <x v="0"/>
    <s v="No"/>
    <x v="5"/>
    <x v="1"/>
    <x v="0"/>
    <n v="0.21210000000000001"/>
    <x v="55"/>
    <x v="9"/>
    <n v="3"/>
    <n v="28"/>
    <n v="31"/>
  </r>
  <r>
    <n v="456"/>
    <x v="20"/>
    <x v="0"/>
    <x v="0"/>
    <s v="No"/>
    <x v="6"/>
    <x v="1"/>
    <x v="0"/>
    <n v="0.2273"/>
    <x v="56"/>
    <x v="2"/>
    <n v="1"/>
    <n v="20"/>
    <n v="21"/>
  </r>
  <r>
    <n v="457"/>
    <x v="20"/>
    <x v="1"/>
    <x v="0"/>
    <s v="No"/>
    <x v="6"/>
    <x v="1"/>
    <x v="0"/>
    <n v="0.2273"/>
    <x v="56"/>
    <x v="2"/>
    <n v="0"/>
    <n v="6"/>
    <n v="6"/>
  </r>
  <r>
    <n v="458"/>
    <x v="20"/>
    <x v="2"/>
    <x v="0"/>
    <s v="No"/>
    <x v="6"/>
    <x v="2"/>
    <x v="0"/>
    <n v="0.2424"/>
    <x v="2"/>
    <x v="8"/>
    <n v="0"/>
    <n v="2"/>
    <n v="2"/>
  </r>
  <r>
    <n v="459"/>
    <x v="20"/>
    <x v="3"/>
    <x v="0"/>
    <s v="No"/>
    <x v="6"/>
    <x v="2"/>
    <x v="1"/>
    <n v="0.21210000000000001"/>
    <x v="1"/>
    <x v="4"/>
    <n v="0"/>
    <n v="1"/>
    <n v="1"/>
  </r>
  <r>
    <n v="460"/>
    <x v="20"/>
    <x v="4"/>
    <x v="0"/>
    <s v="No"/>
    <x v="6"/>
    <x v="1"/>
    <x v="1"/>
    <n v="0.2576"/>
    <x v="9"/>
    <x v="1"/>
    <n v="0"/>
    <n v="1"/>
    <n v="1"/>
  </r>
  <r>
    <n v="461"/>
    <x v="20"/>
    <x v="5"/>
    <x v="0"/>
    <s v="No"/>
    <x v="6"/>
    <x v="0"/>
    <x v="0"/>
    <n v="0.19700000000000001"/>
    <x v="54"/>
    <x v="12"/>
    <n v="1"/>
    <n v="4"/>
    <n v="5"/>
  </r>
  <r>
    <n v="462"/>
    <x v="20"/>
    <x v="6"/>
    <x v="0"/>
    <s v="No"/>
    <x v="6"/>
    <x v="0"/>
    <x v="1"/>
    <n v="0.21210000000000001"/>
    <x v="28"/>
    <x v="2"/>
    <n v="0"/>
    <n v="27"/>
    <n v="27"/>
  </r>
  <r>
    <n v="463"/>
    <x v="20"/>
    <x v="7"/>
    <x v="0"/>
    <s v="No"/>
    <x v="6"/>
    <x v="0"/>
    <x v="2"/>
    <n v="0.18179999999999999"/>
    <x v="33"/>
    <x v="3"/>
    <n v="2"/>
    <n v="66"/>
    <n v="68"/>
  </r>
  <r>
    <n v="464"/>
    <x v="20"/>
    <x v="8"/>
    <x v="0"/>
    <s v="No"/>
    <x v="6"/>
    <x v="0"/>
    <x v="2"/>
    <n v="0.18179999999999999"/>
    <x v="19"/>
    <x v="9"/>
    <n v="7"/>
    <n v="210"/>
    <n v="217"/>
  </r>
  <r>
    <n v="465"/>
    <x v="20"/>
    <x v="9"/>
    <x v="0"/>
    <s v="No"/>
    <x v="6"/>
    <x v="0"/>
    <x v="2"/>
    <n v="0.18179999999999999"/>
    <x v="33"/>
    <x v="11"/>
    <n v="7"/>
    <n v="159"/>
    <n v="166"/>
  </r>
  <r>
    <n v="466"/>
    <x v="20"/>
    <x v="10"/>
    <x v="0"/>
    <s v="No"/>
    <x v="6"/>
    <x v="0"/>
    <x v="2"/>
    <n v="0.16669999999999999"/>
    <x v="19"/>
    <x v="17"/>
    <n v="6"/>
    <n v="57"/>
    <n v="63"/>
  </r>
  <r>
    <n v="467"/>
    <x v="20"/>
    <x v="11"/>
    <x v="0"/>
    <s v="No"/>
    <x v="6"/>
    <x v="0"/>
    <x v="1"/>
    <n v="0.18179999999999999"/>
    <x v="48"/>
    <x v="17"/>
    <n v="6"/>
    <n v="53"/>
    <n v="59"/>
  </r>
  <r>
    <n v="468"/>
    <x v="20"/>
    <x v="12"/>
    <x v="0"/>
    <s v="No"/>
    <x v="6"/>
    <x v="0"/>
    <x v="1"/>
    <n v="0.18179999999999999"/>
    <x v="57"/>
    <x v="19"/>
    <n v="11"/>
    <n v="67"/>
    <n v="78"/>
  </r>
  <r>
    <n v="469"/>
    <x v="20"/>
    <x v="13"/>
    <x v="0"/>
    <s v="No"/>
    <x v="6"/>
    <x v="0"/>
    <x v="2"/>
    <n v="0.1515"/>
    <x v="58"/>
    <x v="19"/>
    <n v="8"/>
    <n v="65"/>
    <n v="73"/>
  </r>
  <r>
    <n v="470"/>
    <x v="20"/>
    <x v="14"/>
    <x v="0"/>
    <s v="No"/>
    <x v="6"/>
    <x v="0"/>
    <x v="2"/>
    <n v="0.1515"/>
    <x v="59"/>
    <x v="18"/>
    <n v="6"/>
    <n v="56"/>
    <n v="62"/>
  </r>
  <r>
    <n v="471"/>
    <x v="20"/>
    <x v="15"/>
    <x v="0"/>
    <s v="No"/>
    <x v="6"/>
    <x v="0"/>
    <x v="13"/>
    <n v="0.1212"/>
    <x v="60"/>
    <x v="10"/>
    <n v="4"/>
    <n v="61"/>
    <n v="65"/>
  </r>
  <r>
    <n v="472"/>
    <x v="20"/>
    <x v="16"/>
    <x v="0"/>
    <s v="No"/>
    <x v="6"/>
    <x v="0"/>
    <x v="13"/>
    <n v="0.13639999999999999"/>
    <x v="60"/>
    <x v="11"/>
    <n v="0"/>
    <n v="97"/>
    <n v="97"/>
  </r>
  <r>
    <n v="473"/>
    <x v="20"/>
    <x v="17"/>
    <x v="0"/>
    <s v="No"/>
    <x v="6"/>
    <x v="0"/>
    <x v="14"/>
    <n v="0.1212"/>
    <x v="40"/>
    <x v="11"/>
    <n v="10"/>
    <n v="151"/>
    <n v="161"/>
  </r>
  <r>
    <n v="474"/>
    <x v="20"/>
    <x v="18"/>
    <x v="0"/>
    <s v="No"/>
    <x v="6"/>
    <x v="0"/>
    <x v="16"/>
    <n v="0.1212"/>
    <x v="24"/>
    <x v="2"/>
    <n v="1"/>
    <n v="119"/>
    <n v="120"/>
  </r>
  <r>
    <n v="475"/>
    <x v="20"/>
    <x v="19"/>
    <x v="0"/>
    <s v="No"/>
    <x v="6"/>
    <x v="0"/>
    <x v="16"/>
    <n v="0.1061"/>
    <x v="24"/>
    <x v="9"/>
    <n v="3"/>
    <n v="93"/>
    <n v="96"/>
  </r>
  <r>
    <n v="476"/>
    <x v="20"/>
    <x v="20"/>
    <x v="0"/>
    <s v="No"/>
    <x v="6"/>
    <x v="0"/>
    <x v="18"/>
    <n v="7.5800000000000006E-2"/>
    <x v="39"/>
    <x v="12"/>
    <n v="1"/>
    <n v="52"/>
    <n v="53"/>
  </r>
  <r>
    <n v="477"/>
    <x v="20"/>
    <x v="21"/>
    <x v="0"/>
    <s v="No"/>
    <x v="6"/>
    <x v="0"/>
    <x v="19"/>
    <n v="7.5800000000000006E-2"/>
    <x v="41"/>
    <x v="3"/>
    <n v="0"/>
    <n v="41"/>
    <n v="41"/>
  </r>
  <r>
    <n v="478"/>
    <x v="20"/>
    <x v="22"/>
    <x v="0"/>
    <s v="No"/>
    <x v="6"/>
    <x v="0"/>
    <x v="20"/>
    <n v="3.0300000000000001E-2"/>
    <x v="48"/>
    <x v="13"/>
    <n v="1"/>
    <n v="33"/>
    <n v="34"/>
  </r>
  <r>
    <n v="479"/>
    <x v="20"/>
    <x v="23"/>
    <x v="0"/>
    <s v="No"/>
    <x v="6"/>
    <x v="0"/>
    <x v="20"/>
    <n v="4.5499999999999999E-2"/>
    <x v="41"/>
    <x v="9"/>
    <n v="0"/>
    <n v="27"/>
    <n v="27"/>
  </r>
  <r>
    <n v="480"/>
    <x v="21"/>
    <x v="0"/>
    <x v="0"/>
    <s v="No"/>
    <x v="0"/>
    <x v="0"/>
    <x v="21"/>
    <n v="3.0300000000000001E-2"/>
    <x v="49"/>
    <x v="2"/>
    <n v="0"/>
    <n v="13"/>
    <n v="13"/>
  </r>
  <r>
    <n v="481"/>
    <x v="21"/>
    <x v="1"/>
    <x v="0"/>
    <s v="No"/>
    <x v="0"/>
    <x v="1"/>
    <x v="21"/>
    <n v="0"/>
    <x v="48"/>
    <x v="13"/>
    <n v="3"/>
    <n v="9"/>
    <n v="12"/>
  </r>
  <r>
    <n v="482"/>
    <x v="21"/>
    <x v="2"/>
    <x v="0"/>
    <s v="No"/>
    <x v="0"/>
    <x v="1"/>
    <x v="21"/>
    <n v="3.0300000000000001E-2"/>
    <x v="48"/>
    <x v="2"/>
    <n v="0"/>
    <n v="11"/>
    <n v="11"/>
  </r>
  <r>
    <n v="483"/>
    <x v="21"/>
    <x v="3"/>
    <x v="0"/>
    <s v="No"/>
    <x v="0"/>
    <x v="1"/>
    <x v="21"/>
    <n v="3.0300000000000001E-2"/>
    <x v="48"/>
    <x v="3"/>
    <n v="1"/>
    <n v="6"/>
    <n v="7"/>
  </r>
  <r>
    <n v="484"/>
    <x v="21"/>
    <x v="4"/>
    <x v="0"/>
    <s v="No"/>
    <x v="0"/>
    <x v="1"/>
    <x v="22"/>
    <n v="1.52E-2"/>
    <x v="37"/>
    <x v="4"/>
    <n v="0"/>
    <n v="3"/>
    <n v="3"/>
  </r>
  <r>
    <n v="485"/>
    <x v="21"/>
    <x v="6"/>
    <x v="0"/>
    <s v="No"/>
    <x v="0"/>
    <x v="1"/>
    <x v="22"/>
    <n v="3.0300000000000001E-2"/>
    <x v="18"/>
    <x v="6"/>
    <n v="0"/>
    <n v="2"/>
    <n v="2"/>
  </r>
  <r>
    <n v="486"/>
    <x v="21"/>
    <x v="7"/>
    <x v="0"/>
    <s v="No"/>
    <x v="0"/>
    <x v="0"/>
    <x v="22"/>
    <n v="1.52E-2"/>
    <x v="18"/>
    <x v="3"/>
    <n v="0"/>
    <n v="8"/>
    <n v="8"/>
  </r>
  <r>
    <n v="487"/>
    <x v="21"/>
    <x v="8"/>
    <x v="0"/>
    <s v="No"/>
    <x v="0"/>
    <x v="0"/>
    <x v="22"/>
    <n v="0"/>
    <x v="18"/>
    <x v="9"/>
    <n v="1"/>
    <n v="26"/>
    <n v="27"/>
  </r>
  <r>
    <n v="488"/>
    <x v="21"/>
    <x v="9"/>
    <x v="0"/>
    <s v="No"/>
    <x v="0"/>
    <x v="0"/>
    <x v="21"/>
    <n v="3.0300000000000001E-2"/>
    <x v="48"/>
    <x v="2"/>
    <n v="3"/>
    <n v="37"/>
    <n v="40"/>
  </r>
  <r>
    <n v="489"/>
    <x v="21"/>
    <x v="10"/>
    <x v="0"/>
    <s v="No"/>
    <x v="0"/>
    <x v="1"/>
    <x v="21"/>
    <n v="6.0600000000000001E-2"/>
    <x v="48"/>
    <x v="8"/>
    <n v="3"/>
    <n v="50"/>
    <n v="53"/>
  </r>
  <r>
    <n v="490"/>
    <x v="21"/>
    <x v="11"/>
    <x v="0"/>
    <s v="No"/>
    <x v="0"/>
    <x v="1"/>
    <x v="20"/>
    <n v="7.5800000000000006E-2"/>
    <x v="41"/>
    <x v="7"/>
    <n v="4"/>
    <n v="59"/>
    <n v="63"/>
  </r>
  <r>
    <n v="491"/>
    <x v="21"/>
    <x v="12"/>
    <x v="0"/>
    <s v="No"/>
    <x v="0"/>
    <x v="1"/>
    <x v="20"/>
    <n v="0.1061"/>
    <x v="41"/>
    <x v="14"/>
    <n v="10"/>
    <n v="60"/>
    <n v="70"/>
  </r>
  <r>
    <n v="492"/>
    <x v="21"/>
    <x v="13"/>
    <x v="0"/>
    <s v="No"/>
    <x v="0"/>
    <x v="0"/>
    <x v="19"/>
    <n v="0.16669999999999999"/>
    <x v="23"/>
    <x v="0"/>
    <n v="12"/>
    <n v="72"/>
    <n v="84"/>
  </r>
  <r>
    <n v="493"/>
    <x v="21"/>
    <x v="14"/>
    <x v="0"/>
    <s v="No"/>
    <x v="0"/>
    <x v="0"/>
    <x v="18"/>
    <n v="0.13639999999999999"/>
    <x v="39"/>
    <x v="14"/>
    <n v="11"/>
    <n v="64"/>
    <n v="75"/>
  </r>
  <r>
    <n v="494"/>
    <x v="21"/>
    <x v="15"/>
    <x v="0"/>
    <s v="No"/>
    <x v="0"/>
    <x v="0"/>
    <x v="16"/>
    <n v="0.1515"/>
    <x v="40"/>
    <x v="0"/>
    <n v="10"/>
    <n v="93"/>
    <n v="103"/>
  </r>
  <r>
    <n v="495"/>
    <x v="21"/>
    <x v="16"/>
    <x v="0"/>
    <s v="No"/>
    <x v="0"/>
    <x v="0"/>
    <x v="16"/>
    <n v="0.13639999999999999"/>
    <x v="40"/>
    <x v="5"/>
    <n v="11"/>
    <n v="72"/>
    <n v="83"/>
  </r>
  <r>
    <n v="496"/>
    <x v="21"/>
    <x v="17"/>
    <x v="0"/>
    <s v="No"/>
    <x v="0"/>
    <x v="0"/>
    <x v="16"/>
    <n v="0.19700000000000001"/>
    <x v="40"/>
    <x v="0"/>
    <n v="8"/>
    <n v="59"/>
    <n v="67"/>
  </r>
  <r>
    <n v="497"/>
    <x v="21"/>
    <x v="18"/>
    <x v="0"/>
    <s v="No"/>
    <x v="0"/>
    <x v="0"/>
    <x v="19"/>
    <n v="9.0899999999999995E-2"/>
    <x v="23"/>
    <x v="5"/>
    <n v="0"/>
    <n v="54"/>
    <n v="54"/>
  </r>
  <r>
    <n v="498"/>
    <x v="21"/>
    <x v="19"/>
    <x v="0"/>
    <s v="No"/>
    <x v="0"/>
    <x v="0"/>
    <x v="19"/>
    <n v="0.1061"/>
    <x v="23"/>
    <x v="7"/>
    <n v="6"/>
    <n v="53"/>
    <n v="59"/>
  </r>
  <r>
    <n v="499"/>
    <x v="21"/>
    <x v="20"/>
    <x v="0"/>
    <s v="No"/>
    <x v="0"/>
    <x v="0"/>
    <x v="20"/>
    <n v="7.5800000000000006E-2"/>
    <x v="49"/>
    <x v="8"/>
    <n v="1"/>
    <n v="44"/>
    <n v="45"/>
  </r>
  <r>
    <n v="500"/>
    <x v="21"/>
    <x v="21"/>
    <x v="0"/>
    <s v="No"/>
    <x v="0"/>
    <x v="0"/>
    <x v="20"/>
    <n v="0.1061"/>
    <x v="48"/>
    <x v="1"/>
    <n v="0"/>
    <n v="39"/>
    <n v="39"/>
  </r>
  <r>
    <n v="501"/>
    <x v="21"/>
    <x v="22"/>
    <x v="0"/>
    <s v="No"/>
    <x v="0"/>
    <x v="0"/>
    <x v="20"/>
    <n v="0.1515"/>
    <x v="36"/>
    <x v="0"/>
    <n v="7"/>
    <n v="23"/>
    <n v="30"/>
  </r>
  <r>
    <n v="502"/>
    <x v="21"/>
    <x v="23"/>
    <x v="0"/>
    <s v="No"/>
    <x v="0"/>
    <x v="0"/>
    <x v="21"/>
    <n v="7.5800000000000006E-2"/>
    <x v="14"/>
    <x v="14"/>
    <n v="2"/>
    <n v="31"/>
    <n v="33"/>
  </r>
  <r>
    <n v="503"/>
    <x v="22"/>
    <x v="0"/>
    <x v="0"/>
    <s v="No"/>
    <x v="1"/>
    <x v="0"/>
    <x v="21"/>
    <n v="7.5800000000000006E-2"/>
    <x v="14"/>
    <x v="14"/>
    <n v="2"/>
    <n v="20"/>
    <n v="22"/>
  </r>
  <r>
    <n v="504"/>
    <x v="22"/>
    <x v="1"/>
    <x v="0"/>
    <s v="No"/>
    <x v="1"/>
    <x v="0"/>
    <x v="21"/>
    <n v="7.5800000000000006E-2"/>
    <x v="14"/>
    <x v="14"/>
    <n v="1"/>
    <n v="12"/>
    <n v="13"/>
  </r>
  <r>
    <n v="505"/>
    <x v="22"/>
    <x v="2"/>
    <x v="0"/>
    <s v="No"/>
    <x v="1"/>
    <x v="0"/>
    <x v="22"/>
    <n v="6.0600000000000001E-2"/>
    <x v="51"/>
    <x v="7"/>
    <n v="3"/>
    <n v="15"/>
    <n v="18"/>
  </r>
  <r>
    <n v="506"/>
    <x v="22"/>
    <x v="3"/>
    <x v="0"/>
    <s v="No"/>
    <x v="1"/>
    <x v="0"/>
    <x v="22"/>
    <n v="6.0600000000000001E-2"/>
    <x v="51"/>
    <x v="7"/>
    <n v="1"/>
    <n v="4"/>
    <n v="5"/>
  </r>
  <r>
    <n v="507"/>
    <x v="22"/>
    <x v="5"/>
    <x v="0"/>
    <s v="No"/>
    <x v="1"/>
    <x v="1"/>
    <x v="21"/>
    <n v="7.5800000000000006E-2"/>
    <x v="14"/>
    <x v="14"/>
    <n v="0"/>
    <n v="3"/>
    <n v="3"/>
  </r>
  <r>
    <n v="508"/>
    <x v="22"/>
    <x v="6"/>
    <x v="0"/>
    <s v="No"/>
    <x v="1"/>
    <x v="1"/>
    <x v="21"/>
    <n v="7.5800000000000006E-2"/>
    <x v="14"/>
    <x v="14"/>
    <n v="0"/>
    <n v="1"/>
    <n v="1"/>
  </r>
  <r>
    <n v="509"/>
    <x v="22"/>
    <x v="7"/>
    <x v="0"/>
    <s v="No"/>
    <x v="1"/>
    <x v="0"/>
    <x v="19"/>
    <n v="0.1061"/>
    <x v="52"/>
    <x v="8"/>
    <n v="1"/>
    <n v="1"/>
    <n v="2"/>
  </r>
  <r>
    <n v="510"/>
    <x v="22"/>
    <x v="8"/>
    <x v="0"/>
    <s v="No"/>
    <x v="1"/>
    <x v="0"/>
    <x v="20"/>
    <n v="7.5800000000000006E-2"/>
    <x v="51"/>
    <x v="8"/>
    <n v="2"/>
    <n v="17"/>
    <n v="19"/>
  </r>
  <r>
    <n v="511"/>
    <x v="22"/>
    <x v="9"/>
    <x v="0"/>
    <s v="No"/>
    <x v="1"/>
    <x v="0"/>
    <x v="18"/>
    <n v="7.5800000000000006E-2"/>
    <x v="47"/>
    <x v="11"/>
    <n v="3"/>
    <n v="25"/>
    <n v="28"/>
  </r>
  <r>
    <n v="512"/>
    <x v="22"/>
    <x v="10"/>
    <x v="0"/>
    <s v="No"/>
    <x v="1"/>
    <x v="0"/>
    <x v="14"/>
    <n v="0.1061"/>
    <x v="15"/>
    <x v="13"/>
    <n v="7"/>
    <n v="51"/>
    <n v="58"/>
  </r>
  <r>
    <n v="513"/>
    <x v="22"/>
    <x v="11"/>
    <x v="0"/>
    <s v="No"/>
    <x v="1"/>
    <x v="0"/>
    <x v="14"/>
    <n v="0.13639999999999999"/>
    <x v="21"/>
    <x v="6"/>
    <n v="22"/>
    <n v="77"/>
    <n v="99"/>
  </r>
  <r>
    <n v="514"/>
    <x v="22"/>
    <x v="12"/>
    <x v="0"/>
    <s v="No"/>
    <x v="1"/>
    <x v="0"/>
    <x v="13"/>
    <n v="0.1212"/>
    <x v="38"/>
    <x v="17"/>
    <n v="24"/>
    <n v="92"/>
    <n v="116"/>
  </r>
  <r>
    <n v="515"/>
    <x v="22"/>
    <x v="13"/>
    <x v="0"/>
    <s v="No"/>
    <x v="1"/>
    <x v="0"/>
    <x v="14"/>
    <n v="0.1061"/>
    <x v="39"/>
    <x v="13"/>
    <n v="12"/>
    <n v="75"/>
    <n v="87"/>
  </r>
  <r>
    <n v="516"/>
    <x v="22"/>
    <x v="14"/>
    <x v="0"/>
    <s v="No"/>
    <x v="1"/>
    <x v="0"/>
    <x v="13"/>
    <n v="0.13639999999999999"/>
    <x v="40"/>
    <x v="11"/>
    <n v="17"/>
    <n v="93"/>
    <n v="110"/>
  </r>
  <r>
    <n v="517"/>
    <x v="22"/>
    <x v="15"/>
    <x v="0"/>
    <s v="No"/>
    <x v="1"/>
    <x v="0"/>
    <x v="13"/>
    <n v="0.13639999999999999"/>
    <x v="40"/>
    <x v="11"/>
    <n v="13"/>
    <n v="64"/>
    <n v="77"/>
  </r>
  <r>
    <n v="518"/>
    <x v="22"/>
    <x v="16"/>
    <x v="0"/>
    <s v="No"/>
    <x v="1"/>
    <x v="0"/>
    <x v="13"/>
    <n v="0.13639999999999999"/>
    <x v="60"/>
    <x v="9"/>
    <n v="9"/>
    <n v="56"/>
    <n v="65"/>
  </r>
  <r>
    <n v="519"/>
    <x v="22"/>
    <x v="17"/>
    <x v="0"/>
    <s v="No"/>
    <x v="1"/>
    <x v="0"/>
    <x v="14"/>
    <n v="0.1061"/>
    <x v="60"/>
    <x v="13"/>
    <n v="5"/>
    <n v="50"/>
    <n v="55"/>
  </r>
  <r>
    <n v="520"/>
    <x v="22"/>
    <x v="18"/>
    <x v="0"/>
    <s v="No"/>
    <x v="1"/>
    <x v="0"/>
    <x v="16"/>
    <n v="0.1212"/>
    <x v="24"/>
    <x v="2"/>
    <n v="5"/>
    <n v="44"/>
    <n v="49"/>
  </r>
  <r>
    <n v="521"/>
    <x v="22"/>
    <x v="19"/>
    <x v="0"/>
    <s v="No"/>
    <x v="1"/>
    <x v="0"/>
    <x v="16"/>
    <n v="0.1212"/>
    <x v="24"/>
    <x v="3"/>
    <n v="5"/>
    <n v="45"/>
    <n v="50"/>
  </r>
  <r>
    <n v="522"/>
    <x v="22"/>
    <x v="20"/>
    <x v="0"/>
    <s v="No"/>
    <x v="1"/>
    <x v="0"/>
    <x v="18"/>
    <n v="0.1061"/>
    <x v="42"/>
    <x v="2"/>
    <n v="4"/>
    <n v="31"/>
    <n v="35"/>
  </r>
  <r>
    <n v="523"/>
    <x v="22"/>
    <x v="21"/>
    <x v="0"/>
    <s v="No"/>
    <x v="1"/>
    <x v="0"/>
    <x v="18"/>
    <n v="0.1061"/>
    <x v="42"/>
    <x v="5"/>
    <n v="5"/>
    <n v="20"/>
    <n v="25"/>
  </r>
  <r>
    <n v="524"/>
    <x v="22"/>
    <x v="22"/>
    <x v="0"/>
    <s v="No"/>
    <x v="1"/>
    <x v="0"/>
    <x v="19"/>
    <n v="9.0899999999999995E-2"/>
    <x v="41"/>
    <x v="5"/>
    <n v="5"/>
    <n v="23"/>
    <n v="28"/>
  </r>
  <r>
    <n v="525"/>
    <x v="22"/>
    <x v="23"/>
    <x v="0"/>
    <s v="No"/>
    <x v="1"/>
    <x v="0"/>
    <x v="20"/>
    <n v="6.0600000000000001E-2"/>
    <x v="48"/>
    <x v="6"/>
    <n v="4"/>
    <n v="17"/>
    <n v="21"/>
  </r>
  <r>
    <n v="526"/>
    <x v="23"/>
    <x v="0"/>
    <x v="0"/>
    <s v="No"/>
    <x v="2"/>
    <x v="0"/>
    <x v="20"/>
    <n v="6.0600000000000001E-2"/>
    <x v="48"/>
    <x v="5"/>
    <n v="0"/>
    <n v="7"/>
    <n v="7"/>
  </r>
  <r>
    <n v="527"/>
    <x v="23"/>
    <x v="1"/>
    <x v="0"/>
    <s v="No"/>
    <x v="2"/>
    <x v="0"/>
    <x v="21"/>
    <n v="4.5499999999999999E-2"/>
    <x v="49"/>
    <x v="5"/>
    <n v="0"/>
    <n v="1"/>
    <n v="1"/>
  </r>
  <r>
    <n v="528"/>
    <x v="23"/>
    <x v="3"/>
    <x v="0"/>
    <s v="No"/>
    <x v="2"/>
    <x v="0"/>
    <x v="21"/>
    <n v="3.0300000000000001E-2"/>
    <x v="49"/>
    <x v="2"/>
    <n v="0"/>
    <n v="1"/>
    <n v="1"/>
  </r>
  <r>
    <n v="529"/>
    <x v="23"/>
    <x v="4"/>
    <x v="0"/>
    <s v="No"/>
    <x v="2"/>
    <x v="0"/>
    <x v="22"/>
    <n v="6.0600000000000001E-2"/>
    <x v="37"/>
    <x v="7"/>
    <n v="0"/>
    <n v="1"/>
    <n v="1"/>
  </r>
  <r>
    <n v="530"/>
    <x v="23"/>
    <x v="5"/>
    <x v="0"/>
    <s v="No"/>
    <x v="2"/>
    <x v="0"/>
    <x v="22"/>
    <n v="6.0600000000000001E-2"/>
    <x v="37"/>
    <x v="7"/>
    <n v="0"/>
    <n v="5"/>
    <n v="5"/>
  </r>
  <r>
    <n v="531"/>
    <x v="23"/>
    <x v="6"/>
    <x v="0"/>
    <s v="No"/>
    <x v="2"/>
    <x v="0"/>
    <x v="22"/>
    <n v="7.5800000000000006E-2"/>
    <x v="37"/>
    <x v="1"/>
    <n v="0"/>
    <n v="15"/>
    <n v="15"/>
  </r>
  <r>
    <n v="532"/>
    <x v="23"/>
    <x v="7"/>
    <x v="0"/>
    <s v="No"/>
    <x v="2"/>
    <x v="0"/>
    <x v="22"/>
    <n v="0.1212"/>
    <x v="37"/>
    <x v="0"/>
    <n v="5"/>
    <n v="79"/>
    <n v="84"/>
  </r>
  <r>
    <n v="533"/>
    <x v="23"/>
    <x v="8"/>
    <x v="0"/>
    <s v="No"/>
    <x v="2"/>
    <x v="0"/>
    <x v="21"/>
    <n v="0.13639999999999999"/>
    <x v="36"/>
    <x v="0"/>
    <n v="6"/>
    <n v="171"/>
    <n v="177"/>
  </r>
  <r>
    <n v="534"/>
    <x v="23"/>
    <x v="9"/>
    <x v="0"/>
    <s v="No"/>
    <x v="2"/>
    <x v="0"/>
    <x v="20"/>
    <n v="0.1515"/>
    <x v="48"/>
    <x v="0"/>
    <n v="4"/>
    <n v="98"/>
    <n v="102"/>
  </r>
  <r>
    <n v="535"/>
    <x v="23"/>
    <x v="10"/>
    <x v="0"/>
    <s v="No"/>
    <x v="2"/>
    <x v="0"/>
    <x v="18"/>
    <n v="0.13639999999999999"/>
    <x v="16"/>
    <x v="0"/>
    <n v="6"/>
    <n v="34"/>
    <n v="40"/>
  </r>
  <r>
    <n v="536"/>
    <x v="23"/>
    <x v="11"/>
    <x v="0"/>
    <s v="No"/>
    <x v="2"/>
    <x v="0"/>
    <x v="18"/>
    <n v="0.1212"/>
    <x v="15"/>
    <x v="7"/>
    <n v="3"/>
    <n v="43"/>
    <n v="46"/>
  </r>
  <r>
    <n v="537"/>
    <x v="23"/>
    <x v="12"/>
    <x v="0"/>
    <s v="No"/>
    <x v="2"/>
    <x v="1"/>
    <x v="16"/>
    <n v="0.13639999999999999"/>
    <x v="16"/>
    <x v="5"/>
    <n v="11"/>
    <n v="52"/>
    <n v="63"/>
  </r>
  <r>
    <n v="538"/>
    <x v="23"/>
    <x v="13"/>
    <x v="0"/>
    <s v="No"/>
    <x v="2"/>
    <x v="1"/>
    <x v="14"/>
    <n v="0.13639999999999999"/>
    <x v="21"/>
    <x v="6"/>
    <n v="6"/>
    <n v="54"/>
    <n v="60"/>
  </r>
  <r>
    <n v="539"/>
    <x v="23"/>
    <x v="14"/>
    <x v="0"/>
    <s v="No"/>
    <x v="2"/>
    <x v="1"/>
    <x v="14"/>
    <n v="0.13639999999999999"/>
    <x v="15"/>
    <x v="6"/>
    <n v="2"/>
    <n v="43"/>
    <n v="45"/>
  </r>
  <r>
    <n v="540"/>
    <x v="23"/>
    <x v="15"/>
    <x v="0"/>
    <s v="No"/>
    <x v="2"/>
    <x v="0"/>
    <x v="13"/>
    <n v="0.16669999999999999"/>
    <x v="22"/>
    <x v="8"/>
    <n v="7"/>
    <n v="50"/>
    <n v="57"/>
  </r>
  <r>
    <n v="541"/>
    <x v="23"/>
    <x v="16"/>
    <x v="0"/>
    <s v="No"/>
    <x v="2"/>
    <x v="0"/>
    <x v="13"/>
    <n v="0.1515"/>
    <x v="19"/>
    <x v="2"/>
    <n v="4"/>
    <n v="66"/>
    <n v="70"/>
  </r>
  <r>
    <n v="542"/>
    <x v="23"/>
    <x v="17"/>
    <x v="0"/>
    <s v="No"/>
    <x v="2"/>
    <x v="0"/>
    <x v="14"/>
    <n v="0.1212"/>
    <x v="20"/>
    <x v="2"/>
    <n v="6"/>
    <n v="178"/>
    <n v="184"/>
  </r>
  <r>
    <n v="543"/>
    <x v="23"/>
    <x v="18"/>
    <x v="0"/>
    <s v="No"/>
    <x v="2"/>
    <x v="0"/>
    <x v="14"/>
    <n v="0.13639999999999999"/>
    <x v="29"/>
    <x v="5"/>
    <n v="8"/>
    <n v="145"/>
    <n v="153"/>
  </r>
  <r>
    <n v="544"/>
    <x v="23"/>
    <x v="19"/>
    <x v="0"/>
    <s v="No"/>
    <x v="2"/>
    <x v="0"/>
    <x v="14"/>
    <n v="0.1515"/>
    <x v="47"/>
    <x v="8"/>
    <n v="5"/>
    <n v="101"/>
    <n v="106"/>
  </r>
  <r>
    <n v="545"/>
    <x v="23"/>
    <x v="20"/>
    <x v="0"/>
    <s v="No"/>
    <x v="2"/>
    <x v="0"/>
    <x v="14"/>
    <n v="0.13639999999999999"/>
    <x v="29"/>
    <x v="5"/>
    <n v="1"/>
    <n v="80"/>
    <n v="81"/>
  </r>
  <r>
    <n v="546"/>
    <x v="23"/>
    <x v="21"/>
    <x v="0"/>
    <s v="No"/>
    <x v="2"/>
    <x v="0"/>
    <x v="14"/>
    <n v="0.1515"/>
    <x v="30"/>
    <x v="8"/>
    <n v="6"/>
    <n v="53"/>
    <n v="59"/>
  </r>
  <r>
    <n v="547"/>
    <x v="23"/>
    <x v="22"/>
    <x v="0"/>
    <s v="No"/>
    <x v="2"/>
    <x v="1"/>
    <x v="14"/>
    <n v="0.13639999999999999"/>
    <x v="30"/>
    <x v="6"/>
    <n v="3"/>
    <n v="32"/>
    <n v="35"/>
  </r>
  <r>
    <n v="548"/>
    <x v="23"/>
    <x v="23"/>
    <x v="0"/>
    <s v="No"/>
    <x v="2"/>
    <x v="1"/>
    <x v="13"/>
    <n v="0.1515"/>
    <x v="26"/>
    <x v="2"/>
    <n v="3"/>
    <n v="21"/>
    <n v="24"/>
  </r>
  <r>
    <n v="549"/>
    <x v="24"/>
    <x v="0"/>
    <x v="0"/>
    <s v="No"/>
    <x v="3"/>
    <x v="1"/>
    <x v="13"/>
    <n v="0.13639999999999999"/>
    <x v="27"/>
    <x v="3"/>
    <n v="3"/>
    <n v="6"/>
    <n v="9"/>
  </r>
  <r>
    <n v="550"/>
    <x v="24"/>
    <x v="1"/>
    <x v="0"/>
    <s v="No"/>
    <x v="3"/>
    <x v="1"/>
    <x v="13"/>
    <n v="0.16669999999999999"/>
    <x v="27"/>
    <x v="8"/>
    <n v="0"/>
    <n v="5"/>
    <n v="5"/>
  </r>
  <r>
    <n v="551"/>
    <x v="24"/>
    <x v="2"/>
    <x v="0"/>
    <s v="No"/>
    <x v="3"/>
    <x v="0"/>
    <x v="13"/>
    <n v="0.1515"/>
    <x v="27"/>
    <x v="6"/>
    <n v="0"/>
    <n v="2"/>
    <n v="2"/>
  </r>
  <r>
    <n v="552"/>
    <x v="24"/>
    <x v="4"/>
    <x v="0"/>
    <s v="No"/>
    <x v="3"/>
    <x v="0"/>
    <x v="14"/>
    <n v="0.16669999999999999"/>
    <x v="32"/>
    <x v="14"/>
    <n v="0"/>
    <n v="1"/>
    <n v="1"/>
  </r>
  <r>
    <n v="553"/>
    <x v="24"/>
    <x v="5"/>
    <x v="0"/>
    <s v="No"/>
    <x v="3"/>
    <x v="0"/>
    <x v="14"/>
    <n v="0.13639999999999999"/>
    <x v="32"/>
    <x v="6"/>
    <n v="0"/>
    <n v="9"/>
    <n v="9"/>
  </r>
  <r>
    <n v="554"/>
    <x v="24"/>
    <x v="6"/>
    <x v="0"/>
    <s v="No"/>
    <x v="3"/>
    <x v="0"/>
    <x v="13"/>
    <n v="0.18179999999999999"/>
    <x v="32"/>
    <x v="14"/>
    <n v="1"/>
    <n v="35"/>
    <n v="36"/>
  </r>
  <r>
    <n v="555"/>
    <x v="24"/>
    <x v="7"/>
    <x v="0"/>
    <s v="No"/>
    <x v="3"/>
    <x v="0"/>
    <x v="13"/>
    <n v="0.1515"/>
    <x v="32"/>
    <x v="6"/>
    <n v="5"/>
    <n v="103"/>
    <n v="108"/>
  </r>
  <r>
    <n v="556"/>
    <x v="24"/>
    <x v="8"/>
    <x v="0"/>
    <s v="No"/>
    <x v="3"/>
    <x v="1"/>
    <x v="13"/>
    <n v="0.18179999999999999"/>
    <x v="32"/>
    <x v="7"/>
    <n v="5"/>
    <n v="233"/>
    <n v="238"/>
  </r>
  <r>
    <n v="557"/>
    <x v="24"/>
    <x v="9"/>
    <x v="0"/>
    <s v="No"/>
    <x v="3"/>
    <x v="1"/>
    <x v="2"/>
    <n v="0.2273"/>
    <x v="26"/>
    <x v="1"/>
    <n v="10"/>
    <n v="134"/>
    <n v="144"/>
  </r>
  <r>
    <n v="558"/>
    <x v="24"/>
    <x v="10"/>
    <x v="0"/>
    <s v="No"/>
    <x v="3"/>
    <x v="1"/>
    <x v="1"/>
    <n v="0.2424"/>
    <x v="54"/>
    <x v="14"/>
    <n v="6"/>
    <n v="49"/>
    <n v="55"/>
  </r>
  <r>
    <n v="559"/>
    <x v="24"/>
    <x v="11"/>
    <x v="0"/>
    <s v="No"/>
    <x v="3"/>
    <x v="1"/>
    <x v="0"/>
    <n v="0.2424"/>
    <x v="54"/>
    <x v="7"/>
    <n v="6"/>
    <n v="55"/>
    <n v="61"/>
  </r>
  <r>
    <n v="560"/>
    <x v="24"/>
    <x v="12"/>
    <x v="0"/>
    <s v="No"/>
    <x v="3"/>
    <x v="1"/>
    <x v="12"/>
    <n v="0.28789999999999999"/>
    <x v="34"/>
    <x v="1"/>
    <n v="21"/>
    <n v="85"/>
    <n v="106"/>
  </r>
  <r>
    <n v="561"/>
    <x v="24"/>
    <x v="13"/>
    <x v="0"/>
    <s v="No"/>
    <x v="3"/>
    <x v="1"/>
    <x v="12"/>
    <n v="0.2727"/>
    <x v="34"/>
    <x v="7"/>
    <n v="21"/>
    <n v="72"/>
    <n v="93"/>
  </r>
  <r>
    <n v="562"/>
    <x v="24"/>
    <x v="14"/>
    <x v="0"/>
    <s v="No"/>
    <x v="3"/>
    <x v="1"/>
    <x v="11"/>
    <n v="0.33329999999999999"/>
    <x v="49"/>
    <x v="0"/>
    <n v="11"/>
    <n v="57"/>
    <n v="68"/>
  </r>
  <r>
    <n v="563"/>
    <x v="24"/>
    <x v="15"/>
    <x v="0"/>
    <s v="No"/>
    <x v="3"/>
    <x v="1"/>
    <x v="3"/>
    <n v="0.34849999999999998"/>
    <x v="16"/>
    <x v="0"/>
    <n v="21"/>
    <n v="63"/>
    <n v="84"/>
  </r>
  <r>
    <n v="564"/>
    <x v="24"/>
    <x v="16"/>
    <x v="0"/>
    <s v="No"/>
    <x v="3"/>
    <x v="1"/>
    <x v="3"/>
    <n v="0.34849999999999998"/>
    <x v="16"/>
    <x v="0"/>
    <n v="14"/>
    <n v="102"/>
    <n v="116"/>
  </r>
  <r>
    <n v="565"/>
    <x v="24"/>
    <x v="17"/>
    <x v="0"/>
    <s v="No"/>
    <x v="3"/>
    <x v="0"/>
    <x v="11"/>
    <n v="0.33329999999999999"/>
    <x v="49"/>
    <x v="0"/>
    <n v="14"/>
    <n v="208"/>
    <n v="222"/>
  </r>
  <r>
    <n v="566"/>
    <x v="24"/>
    <x v="18"/>
    <x v="0"/>
    <s v="No"/>
    <x v="3"/>
    <x v="1"/>
    <x v="11"/>
    <n v="0.31819999999999998"/>
    <x v="36"/>
    <x v="1"/>
    <n v="7"/>
    <n v="218"/>
    <n v="225"/>
  </r>
  <r>
    <n v="567"/>
    <x v="24"/>
    <x v="19"/>
    <x v="0"/>
    <s v="No"/>
    <x v="3"/>
    <x v="1"/>
    <x v="12"/>
    <n v="0.2576"/>
    <x v="55"/>
    <x v="8"/>
    <n v="13"/>
    <n v="133"/>
    <n v="146"/>
  </r>
  <r>
    <n v="568"/>
    <x v="24"/>
    <x v="20"/>
    <x v="0"/>
    <s v="No"/>
    <x v="3"/>
    <x v="0"/>
    <x v="0"/>
    <n v="0.2273"/>
    <x v="55"/>
    <x v="5"/>
    <n v="16"/>
    <n v="103"/>
    <n v="119"/>
  </r>
  <r>
    <n v="569"/>
    <x v="24"/>
    <x v="21"/>
    <x v="0"/>
    <s v="No"/>
    <x v="3"/>
    <x v="0"/>
    <x v="0"/>
    <n v="0.2273"/>
    <x v="55"/>
    <x v="5"/>
    <n v="5"/>
    <n v="40"/>
    <n v="45"/>
  </r>
  <r>
    <n v="570"/>
    <x v="24"/>
    <x v="22"/>
    <x v="0"/>
    <s v="No"/>
    <x v="3"/>
    <x v="0"/>
    <x v="1"/>
    <n v="0.2273"/>
    <x v="26"/>
    <x v="8"/>
    <n v="4"/>
    <n v="49"/>
    <n v="53"/>
  </r>
  <r>
    <n v="571"/>
    <x v="24"/>
    <x v="23"/>
    <x v="0"/>
    <s v="No"/>
    <x v="3"/>
    <x v="1"/>
    <x v="1"/>
    <n v="0.2273"/>
    <x v="26"/>
    <x v="8"/>
    <n v="3"/>
    <n v="37"/>
    <n v="40"/>
  </r>
  <r>
    <n v="572"/>
    <x v="25"/>
    <x v="0"/>
    <x v="0"/>
    <s v="No"/>
    <x v="4"/>
    <x v="1"/>
    <x v="1"/>
    <n v="0.2273"/>
    <x v="27"/>
    <x v="7"/>
    <n v="3"/>
    <n v="14"/>
    <n v="17"/>
  </r>
  <r>
    <n v="573"/>
    <x v="25"/>
    <x v="1"/>
    <x v="0"/>
    <s v="No"/>
    <x v="4"/>
    <x v="1"/>
    <x v="0"/>
    <n v="0.2424"/>
    <x v="55"/>
    <x v="7"/>
    <n v="0"/>
    <n v="5"/>
    <n v="5"/>
  </r>
  <r>
    <n v="574"/>
    <x v="25"/>
    <x v="2"/>
    <x v="0"/>
    <s v="No"/>
    <x v="4"/>
    <x v="2"/>
    <x v="1"/>
    <n v="0.2273"/>
    <x v="27"/>
    <x v="5"/>
    <n v="3"/>
    <n v="7"/>
    <n v="10"/>
  </r>
  <r>
    <n v="575"/>
    <x v="25"/>
    <x v="5"/>
    <x v="0"/>
    <s v="No"/>
    <x v="4"/>
    <x v="2"/>
    <x v="2"/>
    <n v="0.18179999999999999"/>
    <x v="3"/>
    <x v="3"/>
    <n v="0"/>
    <n v="1"/>
    <n v="1"/>
  </r>
  <r>
    <n v="576"/>
    <x v="25"/>
    <x v="6"/>
    <x v="0"/>
    <s v="No"/>
    <x v="4"/>
    <x v="2"/>
    <x v="2"/>
    <n v="0.18179999999999999"/>
    <x v="3"/>
    <x v="3"/>
    <n v="0"/>
    <n v="8"/>
    <n v="8"/>
  </r>
  <r>
    <n v="577"/>
    <x v="25"/>
    <x v="7"/>
    <x v="0"/>
    <s v="No"/>
    <x v="4"/>
    <x v="2"/>
    <x v="1"/>
    <n v="0.21210000000000001"/>
    <x v="9"/>
    <x v="4"/>
    <n v="1"/>
    <n v="29"/>
    <n v="30"/>
  </r>
  <r>
    <n v="578"/>
    <x v="25"/>
    <x v="8"/>
    <x v="0"/>
    <s v="No"/>
    <x v="4"/>
    <x v="2"/>
    <x v="1"/>
    <n v="0.21210000000000001"/>
    <x v="9"/>
    <x v="4"/>
    <n v="3"/>
    <n v="69"/>
    <n v="72"/>
  </r>
  <r>
    <n v="579"/>
    <x v="25"/>
    <x v="9"/>
    <x v="0"/>
    <s v="No"/>
    <x v="4"/>
    <x v="2"/>
    <x v="1"/>
    <n v="0.21210000000000001"/>
    <x v="9"/>
    <x v="4"/>
    <n v="3"/>
    <n v="55"/>
    <n v="58"/>
  </r>
  <r>
    <n v="580"/>
    <x v="25"/>
    <x v="10"/>
    <x v="0"/>
    <s v="No"/>
    <x v="4"/>
    <x v="2"/>
    <x v="1"/>
    <n v="0.21210000000000001"/>
    <x v="43"/>
    <x v="3"/>
    <n v="2"/>
    <n v="26"/>
    <n v="28"/>
  </r>
  <r>
    <n v="581"/>
    <x v="25"/>
    <x v="11"/>
    <x v="0"/>
    <s v="No"/>
    <x v="4"/>
    <x v="2"/>
    <x v="1"/>
    <n v="0.19700000000000001"/>
    <x v="43"/>
    <x v="9"/>
    <n v="6"/>
    <n v="35"/>
    <n v="41"/>
  </r>
  <r>
    <n v="582"/>
    <x v="25"/>
    <x v="12"/>
    <x v="0"/>
    <s v="No"/>
    <x v="4"/>
    <x v="2"/>
    <x v="1"/>
    <n v="0.19700000000000001"/>
    <x v="43"/>
    <x v="9"/>
    <n v="7"/>
    <n v="41"/>
    <n v="48"/>
  </r>
  <r>
    <n v="583"/>
    <x v="25"/>
    <x v="13"/>
    <x v="0"/>
    <s v="No"/>
    <x v="4"/>
    <x v="2"/>
    <x v="1"/>
    <n v="0.19700000000000001"/>
    <x v="43"/>
    <x v="9"/>
    <n v="4"/>
    <n v="43"/>
    <n v="47"/>
  </r>
  <r>
    <n v="584"/>
    <x v="25"/>
    <x v="14"/>
    <x v="0"/>
    <s v="No"/>
    <x v="4"/>
    <x v="2"/>
    <x v="1"/>
    <n v="0.19700000000000001"/>
    <x v="43"/>
    <x v="11"/>
    <n v="0"/>
    <n v="36"/>
    <n v="36"/>
  </r>
  <r>
    <n v="585"/>
    <x v="25"/>
    <x v="15"/>
    <x v="0"/>
    <s v="No"/>
    <x v="4"/>
    <x v="2"/>
    <x v="1"/>
    <n v="0.18179999999999999"/>
    <x v="43"/>
    <x v="17"/>
    <n v="1"/>
    <n v="42"/>
    <n v="43"/>
  </r>
  <r>
    <n v="586"/>
    <x v="25"/>
    <x v="16"/>
    <x v="0"/>
    <s v="No"/>
    <x v="4"/>
    <x v="3"/>
    <x v="1"/>
    <n v="0.19700000000000001"/>
    <x v="43"/>
    <x v="9"/>
    <n v="1"/>
    <n v="35"/>
    <n v="36"/>
  </r>
  <r>
    <n v="587"/>
    <x v="25"/>
    <x v="17"/>
    <x v="0"/>
    <s v="No"/>
    <x v="4"/>
    <x v="2"/>
    <x v="2"/>
    <n v="0.18179999999999999"/>
    <x v="43"/>
    <x v="11"/>
    <n v="0"/>
    <n v="26"/>
    <n v="26"/>
  </r>
  <r>
    <n v="588"/>
    <x v="26"/>
    <x v="16"/>
    <x v="0"/>
    <s v="No"/>
    <x v="5"/>
    <x v="0"/>
    <x v="1"/>
    <n v="0.2273"/>
    <x v="28"/>
    <x v="5"/>
    <n v="1"/>
    <n v="23"/>
    <n v="24"/>
  </r>
  <r>
    <n v="589"/>
    <x v="26"/>
    <x v="17"/>
    <x v="0"/>
    <s v="No"/>
    <x v="5"/>
    <x v="0"/>
    <x v="1"/>
    <n v="0.2424"/>
    <x v="28"/>
    <x v="14"/>
    <n v="2"/>
    <n v="82"/>
    <n v="84"/>
  </r>
  <r>
    <n v="590"/>
    <x v="26"/>
    <x v="18"/>
    <x v="0"/>
    <s v="No"/>
    <x v="5"/>
    <x v="0"/>
    <x v="2"/>
    <n v="0.2273"/>
    <x v="27"/>
    <x v="1"/>
    <n v="3"/>
    <n v="101"/>
    <n v="104"/>
  </r>
  <r>
    <n v="591"/>
    <x v="26"/>
    <x v="19"/>
    <x v="0"/>
    <s v="No"/>
    <x v="5"/>
    <x v="0"/>
    <x v="2"/>
    <n v="0.2273"/>
    <x v="27"/>
    <x v="1"/>
    <n v="3"/>
    <n v="76"/>
    <n v="79"/>
  </r>
  <r>
    <n v="592"/>
    <x v="26"/>
    <x v="20"/>
    <x v="0"/>
    <s v="No"/>
    <x v="5"/>
    <x v="0"/>
    <x v="15"/>
    <n v="0.21210000000000001"/>
    <x v="32"/>
    <x v="1"/>
    <n v="4"/>
    <n v="55"/>
    <n v="59"/>
  </r>
  <r>
    <n v="593"/>
    <x v="26"/>
    <x v="21"/>
    <x v="0"/>
    <s v="No"/>
    <x v="5"/>
    <x v="0"/>
    <x v="15"/>
    <n v="0.21210000000000001"/>
    <x v="32"/>
    <x v="1"/>
    <n v="2"/>
    <n v="36"/>
    <n v="38"/>
  </r>
  <r>
    <n v="594"/>
    <x v="26"/>
    <x v="22"/>
    <x v="0"/>
    <s v="No"/>
    <x v="5"/>
    <x v="0"/>
    <x v="15"/>
    <n v="0.21210000000000001"/>
    <x v="32"/>
    <x v="1"/>
    <n v="0"/>
    <n v="27"/>
    <n v="27"/>
  </r>
  <r>
    <n v="595"/>
    <x v="26"/>
    <x v="23"/>
    <x v="0"/>
    <s v="No"/>
    <x v="5"/>
    <x v="0"/>
    <x v="15"/>
    <n v="0.19700000000000001"/>
    <x v="1"/>
    <x v="8"/>
    <n v="0"/>
    <n v="16"/>
    <n v="16"/>
  </r>
  <r>
    <n v="596"/>
    <x v="27"/>
    <x v="0"/>
    <x v="0"/>
    <s v="No"/>
    <x v="6"/>
    <x v="1"/>
    <x v="2"/>
    <n v="0.21210000000000001"/>
    <x v="2"/>
    <x v="7"/>
    <n v="0"/>
    <n v="9"/>
    <n v="9"/>
  </r>
  <r>
    <n v="597"/>
    <x v="27"/>
    <x v="1"/>
    <x v="0"/>
    <s v="No"/>
    <x v="6"/>
    <x v="1"/>
    <x v="2"/>
    <n v="0.21210000000000001"/>
    <x v="2"/>
    <x v="7"/>
    <n v="1"/>
    <n v="2"/>
    <n v="3"/>
  </r>
  <r>
    <n v="598"/>
    <x v="27"/>
    <x v="2"/>
    <x v="0"/>
    <s v="No"/>
    <x v="6"/>
    <x v="1"/>
    <x v="2"/>
    <n v="0.21210000000000001"/>
    <x v="2"/>
    <x v="8"/>
    <n v="0"/>
    <n v="2"/>
    <n v="2"/>
  </r>
  <r>
    <n v="599"/>
    <x v="27"/>
    <x v="3"/>
    <x v="0"/>
    <s v="No"/>
    <x v="6"/>
    <x v="1"/>
    <x v="2"/>
    <n v="0.2273"/>
    <x v="2"/>
    <x v="14"/>
    <n v="1"/>
    <n v="0"/>
    <n v="1"/>
  </r>
  <r>
    <n v="600"/>
    <x v="27"/>
    <x v="5"/>
    <x v="0"/>
    <s v="No"/>
    <x v="6"/>
    <x v="1"/>
    <x v="15"/>
    <n v="0.21210000000000001"/>
    <x v="1"/>
    <x v="14"/>
    <n v="0"/>
    <n v="4"/>
    <n v="4"/>
  </r>
  <r>
    <n v="601"/>
    <x v="27"/>
    <x v="6"/>
    <x v="0"/>
    <s v="No"/>
    <x v="6"/>
    <x v="1"/>
    <x v="15"/>
    <n v="0.19700000000000001"/>
    <x v="1"/>
    <x v="7"/>
    <n v="0"/>
    <n v="16"/>
    <n v="16"/>
  </r>
  <r>
    <n v="602"/>
    <x v="27"/>
    <x v="7"/>
    <x v="0"/>
    <s v="No"/>
    <x v="6"/>
    <x v="1"/>
    <x v="13"/>
    <n v="0.19700000000000001"/>
    <x v="3"/>
    <x v="1"/>
    <n v="2"/>
    <n v="58"/>
    <n v="60"/>
  </r>
  <r>
    <n v="603"/>
    <x v="27"/>
    <x v="8"/>
    <x v="0"/>
    <s v="No"/>
    <x v="6"/>
    <x v="1"/>
    <x v="13"/>
    <n v="0.19700000000000001"/>
    <x v="3"/>
    <x v="1"/>
    <n v="2"/>
    <n v="155"/>
    <n v="157"/>
  </r>
  <r>
    <n v="604"/>
    <x v="27"/>
    <x v="9"/>
    <x v="0"/>
    <s v="No"/>
    <x v="6"/>
    <x v="2"/>
    <x v="15"/>
    <n v="0.21210000000000001"/>
    <x v="3"/>
    <x v="1"/>
    <n v="6"/>
    <n v="95"/>
    <n v="101"/>
  </r>
  <r>
    <n v="605"/>
    <x v="27"/>
    <x v="10"/>
    <x v="0"/>
    <s v="No"/>
    <x v="6"/>
    <x v="2"/>
    <x v="15"/>
    <n v="0.21210000000000001"/>
    <x v="3"/>
    <x v="14"/>
    <n v="0"/>
    <n v="49"/>
    <n v="49"/>
  </r>
  <r>
    <n v="606"/>
    <x v="27"/>
    <x v="11"/>
    <x v="0"/>
    <s v="No"/>
    <x v="6"/>
    <x v="2"/>
    <x v="15"/>
    <n v="0.21210000000000001"/>
    <x v="43"/>
    <x v="14"/>
    <n v="0"/>
    <n v="30"/>
    <n v="30"/>
  </r>
  <r>
    <n v="607"/>
    <x v="27"/>
    <x v="12"/>
    <x v="0"/>
    <s v="No"/>
    <x v="6"/>
    <x v="2"/>
    <x v="15"/>
    <n v="0.21210000000000001"/>
    <x v="43"/>
    <x v="14"/>
    <n v="1"/>
    <n v="28"/>
    <n v="29"/>
  </r>
  <r>
    <n v="608"/>
    <x v="27"/>
    <x v="13"/>
    <x v="0"/>
    <s v="No"/>
    <x v="6"/>
    <x v="2"/>
    <x v="15"/>
    <n v="0.21210000000000001"/>
    <x v="43"/>
    <x v="14"/>
    <n v="0"/>
    <n v="31"/>
    <n v="31"/>
  </r>
  <r>
    <n v="609"/>
    <x v="27"/>
    <x v="14"/>
    <x v="0"/>
    <s v="No"/>
    <x v="6"/>
    <x v="2"/>
    <x v="1"/>
    <n v="0.2727"/>
    <x v="1"/>
    <x v="0"/>
    <n v="2"/>
    <n v="36"/>
    <n v="38"/>
  </r>
  <r>
    <n v="610"/>
    <x v="27"/>
    <x v="15"/>
    <x v="0"/>
    <s v="No"/>
    <x v="6"/>
    <x v="1"/>
    <x v="2"/>
    <n v="0.2576"/>
    <x v="3"/>
    <x v="0"/>
    <n v="1"/>
    <n v="40"/>
    <n v="41"/>
  </r>
  <r>
    <n v="611"/>
    <x v="27"/>
    <x v="16"/>
    <x v="0"/>
    <s v="No"/>
    <x v="0"/>
    <x v="0"/>
    <x v="1"/>
    <n v="0.2727"/>
    <x v="1"/>
    <x v="0"/>
    <n v="10"/>
    <n v="70"/>
    <n v="80"/>
  </r>
  <r>
    <n v="612"/>
    <x v="27"/>
    <x v="17"/>
    <x v="0"/>
    <s v="No"/>
    <x v="0"/>
    <x v="0"/>
    <x v="0"/>
    <n v="0.2424"/>
    <x v="2"/>
    <x v="7"/>
    <n v="2"/>
    <n v="147"/>
    <n v="149"/>
  </r>
  <r>
    <n v="613"/>
    <x v="27"/>
    <x v="18"/>
    <x v="0"/>
    <s v="No"/>
    <x v="0"/>
    <x v="0"/>
    <x v="0"/>
    <n v="0.2273"/>
    <x v="2"/>
    <x v="5"/>
    <n v="2"/>
    <n v="107"/>
    <n v="109"/>
  </r>
  <r>
    <n v="614"/>
    <x v="27"/>
    <x v="19"/>
    <x v="0"/>
    <s v="No"/>
    <x v="0"/>
    <x v="1"/>
    <x v="0"/>
    <n v="0.2424"/>
    <x v="2"/>
    <x v="7"/>
    <n v="5"/>
    <n v="84"/>
    <n v="89"/>
  </r>
  <r>
    <n v="615"/>
    <x v="27"/>
    <x v="20"/>
    <x v="0"/>
    <s v="No"/>
    <x v="0"/>
    <x v="1"/>
    <x v="0"/>
    <n v="0.2273"/>
    <x v="56"/>
    <x v="5"/>
    <n v="1"/>
    <n v="61"/>
    <n v="62"/>
  </r>
  <r>
    <n v="616"/>
    <x v="27"/>
    <x v="21"/>
    <x v="0"/>
    <s v="No"/>
    <x v="0"/>
    <x v="1"/>
    <x v="1"/>
    <n v="0.2273"/>
    <x v="2"/>
    <x v="7"/>
    <n v="1"/>
    <n v="57"/>
    <n v="58"/>
  </r>
  <r>
    <n v="617"/>
    <x v="27"/>
    <x v="22"/>
    <x v="0"/>
    <s v="No"/>
    <x v="0"/>
    <x v="0"/>
    <x v="0"/>
    <n v="0.21210000000000001"/>
    <x v="55"/>
    <x v="11"/>
    <n v="0"/>
    <n v="26"/>
    <n v="26"/>
  </r>
  <r>
    <n v="618"/>
    <x v="27"/>
    <x v="23"/>
    <x v="0"/>
    <s v="No"/>
    <x v="0"/>
    <x v="0"/>
    <x v="0"/>
    <n v="0.2273"/>
    <x v="54"/>
    <x v="6"/>
    <n v="1"/>
    <n v="22"/>
    <n v="23"/>
  </r>
  <r>
    <n v="619"/>
    <x v="28"/>
    <x v="0"/>
    <x v="0"/>
    <s v="No"/>
    <x v="1"/>
    <x v="0"/>
    <x v="1"/>
    <n v="0.19700000000000001"/>
    <x v="26"/>
    <x v="11"/>
    <n v="2"/>
    <n v="26"/>
    <n v="28"/>
  </r>
  <r>
    <n v="620"/>
    <x v="28"/>
    <x v="1"/>
    <x v="0"/>
    <s v="No"/>
    <x v="1"/>
    <x v="0"/>
    <x v="1"/>
    <n v="0.2273"/>
    <x v="26"/>
    <x v="5"/>
    <n v="0"/>
    <n v="20"/>
    <n v="20"/>
  </r>
  <r>
    <n v="621"/>
    <x v="28"/>
    <x v="2"/>
    <x v="0"/>
    <s v="No"/>
    <x v="1"/>
    <x v="0"/>
    <x v="1"/>
    <n v="0.2273"/>
    <x v="26"/>
    <x v="8"/>
    <n v="0"/>
    <n v="15"/>
    <n v="15"/>
  </r>
  <r>
    <n v="622"/>
    <x v="28"/>
    <x v="3"/>
    <x v="0"/>
    <s v="No"/>
    <x v="1"/>
    <x v="0"/>
    <x v="2"/>
    <n v="0.21210000000000001"/>
    <x v="26"/>
    <x v="7"/>
    <n v="3"/>
    <n v="5"/>
    <n v="8"/>
  </r>
  <r>
    <n v="623"/>
    <x v="28"/>
    <x v="4"/>
    <x v="0"/>
    <s v="No"/>
    <x v="1"/>
    <x v="0"/>
    <x v="13"/>
    <n v="0.18179999999999999"/>
    <x v="27"/>
    <x v="14"/>
    <n v="1"/>
    <n v="2"/>
    <n v="3"/>
  </r>
  <r>
    <n v="624"/>
    <x v="28"/>
    <x v="6"/>
    <x v="0"/>
    <s v="No"/>
    <x v="1"/>
    <x v="0"/>
    <x v="13"/>
    <n v="0.18179999999999999"/>
    <x v="26"/>
    <x v="7"/>
    <n v="0"/>
    <n v="2"/>
    <n v="2"/>
  </r>
  <r>
    <n v="625"/>
    <x v="28"/>
    <x v="7"/>
    <x v="0"/>
    <s v="No"/>
    <x v="1"/>
    <x v="0"/>
    <x v="13"/>
    <n v="0.18179999999999999"/>
    <x v="29"/>
    <x v="14"/>
    <n v="1"/>
    <n v="4"/>
    <n v="5"/>
  </r>
  <r>
    <n v="626"/>
    <x v="28"/>
    <x v="8"/>
    <x v="0"/>
    <s v="No"/>
    <x v="1"/>
    <x v="0"/>
    <x v="15"/>
    <n v="0.19700000000000001"/>
    <x v="28"/>
    <x v="8"/>
    <n v="3"/>
    <n v="31"/>
    <n v="34"/>
  </r>
  <r>
    <n v="627"/>
    <x v="28"/>
    <x v="9"/>
    <x v="0"/>
    <s v="No"/>
    <x v="1"/>
    <x v="0"/>
    <x v="15"/>
    <n v="0.21210000000000001"/>
    <x v="29"/>
    <x v="1"/>
    <n v="0"/>
    <n v="34"/>
    <n v="34"/>
  </r>
  <r>
    <n v="628"/>
    <x v="28"/>
    <x v="10"/>
    <x v="0"/>
    <s v="No"/>
    <x v="1"/>
    <x v="1"/>
    <x v="15"/>
    <n v="0.21210000000000001"/>
    <x v="26"/>
    <x v="14"/>
    <n v="4"/>
    <n v="51"/>
    <n v="55"/>
  </r>
  <r>
    <n v="629"/>
    <x v="28"/>
    <x v="11"/>
    <x v="0"/>
    <s v="No"/>
    <x v="1"/>
    <x v="1"/>
    <x v="15"/>
    <n v="0.19700000000000001"/>
    <x v="26"/>
    <x v="7"/>
    <n v="4"/>
    <n v="60"/>
    <n v="64"/>
  </r>
  <r>
    <n v="630"/>
    <x v="28"/>
    <x v="12"/>
    <x v="0"/>
    <s v="No"/>
    <x v="1"/>
    <x v="1"/>
    <x v="2"/>
    <n v="0.19700000000000001"/>
    <x v="29"/>
    <x v="5"/>
    <n v="12"/>
    <n v="66"/>
    <n v="78"/>
  </r>
  <r>
    <n v="631"/>
    <x v="28"/>
    <x v="13"/>
    <x v="0"/>
    <s v="No"/>
    <x v="1"/>
    <x v="1"/>
    <x v="1"/>
    <n v="0.2273"/>
    <x v="28"/>
    <x v="8"/>
    <n v="9"/>
    <n v="56"/>
    <n v="65"/>
  </r>
  <r>
    <n v="632"/>
    <x v="28"/>
    <x v="14"/>
    <x v="0"/>
    <s v="No"/>
    <x v="1"/>
    <x v="1"/>
    <x v="1"/>
    <n v="0.2273"/>
    <x v="54"/>
    <x v="7"/>
    <n v="10"/>
    <n v="89"/>
    <n v="99"/>
  </r>
  <r>
    <n v="633"/>
    <x v="28"/>
    <x v="15"/>
    <x v="0"/>
    <s v="No"/>
    <x v="1"/>
    <x v="0"/>
    <x v="1"/>
    <n v="0.21210000000000001"/>
    <x v="27"/>
    <x v="2"/>
    <n v="22"/>
    <n v="98"/>
    <n v="120"/>
  </r>
  <r>
    <n v="634"/>
    <x v="28"/>
    <x v="16"/>
    <x v="0"/>
    <s v="No"/>
    <x v="1"/>
    <x v="0"/>
    <x v="0"/>
    <n v="0.2424"/>
    <x v="54"/>
    <x v="8"/>
    <n v="19"/>
    <n v="88"/>
    <n v="107"/>
  </r>
  <r>
    <n v="635"/>
    <x v="28"/>
    <x v="17"/>
    <x v="0"/>
    <s v="No"/>
    <x v="1"/>
    <x v="0"/>
    <x v="0"/>
    <n v="0.28789999999999999"/>
    <x v="54"/>
    <x v="0"/>
    <n v="9"/>
    <n v="82"/>
    <n v="91"/>
  </r>
  <r>
    <n v="636"/>
    <x v="28"/>
    <x v="18"/>
    <x v="0"/>
    <s v="No"/>
    <x v="1"/>
    <x v="0"/>
    <x v="1"/>
    <n v="0.2273"/>
    <x v="27"/>
    <x v="7"/>
    <n v="9"/>
    <n v="59"/>
    <n v="68"/>
  </r>
  <r>
    <n v="637"/>
    <x v="28"/>
    <x v="19"/>
    <x v="0"/>
    <s v="No"/>
    <x v="1"/>
    <x v="1"/>
    <x v="1"/>
    <n v="0.21210000000000001"/>
    <x v="27"/>
    <x v="2"/>
    <n v="6"/>
    <n v="52"/>
    <n v="58"/>
  </r>
  <r>
    <n v="638"/>
    <x v="28"/>
    <x v="20"/>
    <x v="0"/>
    <s v="No"/>
    <x v="1"/>
    <x v="0"/>
    <x v="15"/>
    <n v="0.21210000000000001"/>
    <x v="32"/>
    <x v="1"/>
    <n v="1"/>
    <n v="42"/>
    <n v="43"/>
  </r>
  <r>
    <n v="639"/>
    <x v="28"/>
    <x v="21"/>
    <x v="0"/>
    <s v="No"/>
    <x v="1"/>
    <x v="0"/>
    <x v="15"/>
    <n v="0.21210000000000001"/>
    <x v="32"/>
    <x v="1"/>
    <n v="1"/>
    <n v="35"/>
    <n v="36"/>
  </r>
  <r>
    <n v="640"/>
    <x v="28"/>
    <x v="22"/>
    <x v="0"/>
    <s v="No"/>
    <x v="1"/>
    <x v="0"/>
    <x v="13"/>
    <n v="0.19700000000000001"/>
    <x v="1"/>
    <x v="1"/>
    <n v="4"/>
    <n v="28"/>
    <n v="32"/>
  </r>
  <r>
    <n v="641"/>
    <x v="28"/>
    <x v="23"/>
    <x v="0"/>
    <s v="No"/>
    <x v="1"/>
    <x v="0"/>
    <x v="13"/>
    <n v="0.19700000000000001"/>
    <x v="1"/>
    <x v="1"/>
    <n v="3"/>
    <n v="30"/>
    <n v="33"/>
  </r>
  <r>
    <n v="642"/>
    <x v="29"/>
    <x v="0"/>
    <x v="0"/>
    <s v="No"/>
    <x v="2"/>
    <x v="0"/>
    <x v="13"/>
    <n v="0.18179999999999999"/>
    <x v="1"/>
    <x v="14"/>
    <n v="0"/>
    <n v="33"/>
    <n v="33"/>
  </r>
  <r>
    <n v="643"/>
    <x v="29"/>
    <x v="1"/>
    <x v="0"/>
    <s v="No"/>
    <x v="2"/>
    <x v="0"/>
    <x v="14"/>
    <n v="0.21210000000000001"/>
    <x v="1"/>
    <x v="0"/>
    <n v="7"/>
    <n v="22"/>
    <n v="29"/>
  </r>
  <r>
    <n v="644"/>
    <x v="29"/>
    <x v="2"/>
    <x v="0"/>
    <s v="No"/>
    <x v="2"/>
    <x v="0"/>
    <x v="13"/>
    <n v="0.2273"/>
    <x v="1"/>
    <x v="0"/>
    <n v="1"/>
    <n v="10"/>
    <n v="11"/>
  </r>
  <r>
    <n v="645"/>
    <x v="29"/>
    <x v="3"/>
    <x v="0"/>
    <s v="No"/>
    <x v="2"/>
    <x v="0"/>
    <x v="14"/>
    <n v="0.21210000000000001"/>
    <x v="43"/>
    <x v="0"/>
    <n v="1"/>
    <n v="7"/>
    <n v="8"/>
  </r>
  <r>
    <n v="646"/>
    <x v="29"/>
    <x v="4"/>
    <x v="0"/>
    <s v="No"/>
    <x v="2"/>
    <x v="0"/>
    <x v="14"/>
    <n v="0.21210000000000001"/>
    <x v="43"/>
    <x v="0"/>
    <n v="0"/>
    <n v="1"/>
    <n v="1"/>
  </r>
  <r>
    <n v="647"/>
    <x v="29"/>
    <x v="5"/>
    <x v="0"/>
    <s v="No"/>
    <x v="2"/>
    <x v="0"/>
    <x v="14"/>
    <n v="0.21210000000000001"/>
    <x v="3"/>
    <x v="0"/>
    <n v="0"/>
    <n v="3"/>
    <n v="3"/>
  </r>
  <r>
    <n v="648"/>
    <x v="29"/>
    <x v="7"/>
    <x v="0"/>
    <s v="No"/>
    <x v="2"/>
    <x v="0"/>
    <x v="14"/>
    <n v="0.21210000000000001"/>
    <x v="3"/>
    <x v="0"/>
    <n v="0"/>
    <n v="3"/>
    <n v="3"/>
  </r>
  <r>
    <n v="649"/>
    <x v="29"/>
    <x v="8"/>
    <x v="0"/>
    <s v="No"/>
    <x v="2"/>
    <x v="1"/>
    <x v="14"/>
    <n v="0.21210000000000001"/>
    <x v="3"/>
    <x v="0"/>
    <n v="1"/>
    <n v="11"/>
    <n v="12"/>
  </r>
  <r>
    <n v="650"/>
    <x v="29"/>
    <x v="9"/>
    <x v="0"/>
    <s v="No"/>
    <x v="2"/>
    <x v="1"/>
    <x v="13"/>
    <n v="0.2273"/>
    <x v="1"/>
    <x v="0"/>
    <n v="4"/>
    <n v="34"/>
    <n v="38"/>
  </r>
  <r>
    <n v="651"/>
    <x v="29"/>
    <x v="10"/>
    <x v="0"/>
    <s v="No"/>
    <x v="2"/>
    <x v="1"/>
    <x v="15"/>
    <n v="0.2424"/>
    <x v="1"/>
    <x v="0"/>
    <n v="7"/>
    <n v="57"/>
    <n v="64"/>
  </r>
  <r>
    <n v="652"/>
    <x v="29"/>
    <x v="11"/>
    <x v="0"/>
    <s v="No"/>
    <x v="2"/>
    <x v="0"/>
    <x v="1"/>
    <n v="0.2727"/>
    <x v="2"/>
    <x v="0"/>
    <n v="9"/>
    <n v="50"/>
    <n v="59"/>
  </r>
  <r>
    <n v="653"/>
    <x v="29"/>
    <x v="12"/>
    <x v="0"/>
    <s v="No"/>
    <x v="2"/>
    <x v="0"/>
    <x v="11"/>
    <n v="0.31819999999999998"/>
    <x v="35"/>
    <x v="14"/>
    <n v="10"/>
    <n v="87"/>
    <n v="97"/>
  </r>
  <r>
    <n v="654"/>
    <x v="29"/>
    <x v="13"/>
    <x v="0"/>
    <s v="No"/>
    <x v="2"/>
    <x v="0"/>
    <x v="17"/>
    <n v="0.28789999999999999"/>
    <x v="53"/>
    <x v="14"/>
    <n v="13"/>
    <n v="71"/>
    <n v="84"/>
  </r>
  <r>
    <n v="655"/>
    <x v="29"/>
    <x v="14"/>
    <x v="0"/>
    <s v="No"/>
    <x v="2"/>
    <x v="0"/>
    <x v="17"/>
    <n v="0.30299999999999999"/>
    <x v="53"/>
    <x v="1"/>
    <n v="18"/>
    <n v="104"/>
    <n v="122"/>
  </r>
  <r>
    <n v="656"/>
    <x v="29"/>
    <x v="15"/>
    <x v="0"/>
    <s v="No"/>
    <x v="2"/>
    <x v="0"/>
    <x v="11"/>
    <n v="0.33329999999999999"/>
    <x v="34"/>
    <x v="0"/>
    <n v="14"/>
    <n v="95"/>
    <n v="109"/>
  </r>
  <r>
    <n v="657"/>
    <x v="29"/>
    <x v="16"/>
    <x v="0"/>
    <s v="No"/>
    <x v="2"/>
    <x v="0"/>
    <x v="11"/>
    <n v="0.33329999999999999"/>
    <x v="34"/>
    <x v="0"/>
    <n v="19"/>
    <n v="104"/>
    <n v="123"/>
  </r>
  <r>
    <n v="658"/>
    <x v="29"/>
    <x v="17"/>
    <x v="0"/>
    <s v="No"/>
    <x v="2"/>
    <x v="0"/>
    <x v="11"/>
    <n v="0.28789999999999999"/>
    <x v="34"/>
    <x v="5"/>
    <n v="6"/>
    <n v="71"/>
    <n v="77"/>
  </r>
  <r>
    <n v="659"/>
    <x v="29"/>
    <x v="18"/>
    <x v="0"/>
    <s v="No"/>
    <x v="2"/>
    <x v="0"/>
    <x v="12"/>
    <n v="0.2576"/>
    <x v="55"/>
    <x v="8"/>
    <n v="8"/>
    <n v="57"/>
    <n v="65"/>
  </r>
  <r>
    <n v="660"/>
    <x v="29"/>
    <x v="19"/>
    <x v="0"/>
    <s v="No"/>
    <x v="2"/>
    <x v="0"/>
    <x v="12"/>
    <n v="0.2576"/>
    <x v="55"/>
    <x v="5"/>
    <n v="9"/>
    <n v="46"/>
    <n v="55"/>
  </r>
  <r>
    <n v="661"/>
    <x v="29"/>
    <x v="20"/>
    <x v="0"/>
    <s v="No"/>
    <x v="2"/>
    <x v="1"/>
    <x v="12"/>
    <n v="0.2727"/>
    <x v="55"/>
    <x v="14"/>
    <n v="3"/>
    <n v="30"/>
    <n v="33"/>
  </r>
  <r>
    <n v="662"/>
    <x v="29"/>
    <x v="21"/>
    <x v="0"/>
    <s v="No"/>
    <x v="2"/>
    <x v="1"/>
    <x v="0"/>
    <n v="0.2424"/>
    <x v="56"/>
    <x v="8"/>
    <n v="3"/>
    <n v="25"/>
    <n v="28"/>
  </r>
  <r>
    <n v="663"/>
    <x v="29"/>
    <x v="22"/>
    <x v="0"/>
    <s v="No"/>
    <x v="2"/>
    <x v="1"/>
    <x v="0"/>
    <n v="0.2273"/>
    <x v="56"/>
    <x v="5"/>
    <n v="2"/>
    <n v="19"/>
    <n v="21"/>
  </r>
  <r>
    <n v="664"/>
    <x v="29"/>
    <x v="23"/>
    <x v="0"/>
    <s v="No"/>
    <x v="2"/>
    <x v="1"/>
    <x v="0"/>
    <n v="0.21210000000000001"/>
    <x v="55"/>
    <x v="3"/>
    <n v="5"/>
    <n v="16"/>
    <n v="21"/>
  </r>
  <r>
    <n v="665"/>
    <x v="30"/>
    <x v="0"/>
    <x v="0"/>
    <s v="No"/>
    <x v="3"/>
    <x v="1"/>
    <x v="0"/>
    <n v="0.2273"/>
    <x v="55"/>
    <x v="6"/>
    <n v="1"/>
    <n v="6"/>
    <n v="7"/>
  </r>
  <r>
    <n v="666"/>
    <x v="30"/>
    <x v="1"/>
    <x v="0"/>
    <s v="No"/>
    <x v="3"/>
    <x v="0"/>
    <x v="1"/>
    <n v="0.21210000000000001"/>
    <x v="26"/>
    <x v="2"/>
    <n v="2"/>
    <n v="5"/>
    <n v="7"/>
  </r>
  <r>
    <n v="667"/>
    <x v="30"/>
    <x v="2"/>
    <x v="0"/>
    <s v="No"/>
    <x v="3"/>
    <x v="0"/>
    <x v="1"/>
    <n v="0.2273"/>
    <x v="26"/>
    <x v="5"/>
    <n v="0"/>
    <n v="1"/>
    <n v="1"/>
  </r>
  <r>
    <n v="668"/>
    <x v="30"/>
    <x v="3"/>
    <x v="0"/>
    <s v="No"/>
    <x v="3"/>
    <x v="0"/>
    <x v="1"/>
    <n v="0.2273"/>
    <x v="26"/>
    <x v="5"/>
    <n v="0"/>
    <n v="2"/>
    <n v="2"/>
  </r>
  <r>
    <n v="669"/>
    <x v="30"/>
    <x v="4"/>
    <x v="0"/>
    <s v="No"/>
    <x v="3"/>
    <x v="0"/>
    <x v="2"/>
    <n v="0.19700000000000001"/>
    <x v="29"/>
    <x v="6"/>
    <n v="0"/>
    <n v="2"/>
    <n v="2"/>
  </r>
  <r>
    <n v="670"/>
    <x v="30"/>
    <x v="5"/>
    <x v="0"/>
    <s v="No"/>
    <x v="3"/>
    <x v="0"/>
    <x v="15"/>
    <n v="0.16669999999999999"/>
    <x v="26"/>
    <x v="3"/>
    <n v="0"/>
    <n v="8"/>
    <n v="8"/>
  </r>
  <r>
    <n v="671"/>
    <x v="30"/>
    <x v="6"/>
    <x v="0"/>
    <s v="No"/>
    <x v="3"/>
    <x v="0"/>
    <x v="13"/>
    <n v="0.13639999999999999"/>
    <x v="27"/>
    <x v="9"/>
    <n v="0"/>
    <n v="37"/>
    <n v="37"/>
  </r>
  <r>
    <n v="672"/>
    <x v="30"/>
    <x v="7"/>
    <x v="0"/>
    <s v="No"/>
    <x v="3"/>
    <x v="1"/>
    <x v="13"/>
    <n v="0.13639999999999999"/>
    <x v="26"/>
    <x v="3"/>
    <n v="1"/>
    <n v="71"/>
    <n v="72"/>
  </r>
  <r>
    <n v="673"/>
    <x v="30"/>
    <x v="8"/>
    <x v="0"/>
    <s v="No"/>
    <x v="3"/>
    <x v="1"/>
    <x v="13"/>
    <n v="0.13639999999999999"/>
    <x v="29"/>
    <x v="3"/>
    <n v="3"/>
    <n v="182"/>
    <n v="185"/>
  </r>
  <r>
    <n v="674"/>
    <x v="30"/>
    <x v="9"/>
    <x v="0"/>
    <s v="No"/>
    <x v="3"/>
    <x v="1"/>
    <x v="13"/>
    <n v="0.13639999999999999"/>
    <x v="29"/>
    <x v="4"/>
    <n v="0"/>
    <n v="112"/>
    <n v="112"/>
  </r>
  <r>
    <n v="675"/>
    <x v="30"/>
    <x v="10"/>
    <x v="0"/>
    <s v="No"/>
    <x v="3"/>
    <x v="1"/>
    <x v="13"/>
    <n v="0.1515"/>
    <x v="29"/>
    <x v="5"/>
    <n v="1"/>
    <n v="68"/>
    <n v="69"/>
  </r>
  <r>
    <n v="676"/>
    <x v="30"/>
    <x v="11"/>
    <x v="0"/>
    <s v="No"/>
    <x v="3"/>
    <x v="1"/>
    <x v="13"/>
    <n v="0.1515"/>
    <x v="29"/>
    <x v="5"/>
    <n v="2"/>
    <n v="46"/>
    <n v="48"/>
  </r>
  <r>
    <n v="677"/>
    <x v="30"/>
    <x v="12"/>
    <x v="0"/>
    <s v="No"/>
    <x v="3"/>
    <x v="1"/>
    <x v="15"/>
    <n v="0.21210000000000001"/>
    <x v="28"/>
    <x v="14"/>
    <n v="6"/>
    <n v="62"/>
    <n v="68"/>
  </r>
  <r>
    <n v="678"/>
    <x v="30"/>
    <x v="13"/>
    <x v="0"/>
    <s v="No"/>
    <x v="3"/>
    <x v="1"/>
    <x v="13"/>
    <n v="0.2273"/>
    <x v="29"/>
    <x v="0"/>
    <n v="2"/>
    <n v="52"/>
    <n v="54"/>
  </r>
  <r>
    <n v="679"/>
    <x v="30"/>
    <x v="14"/>
    <x v="0"/>
    <s v="No"/>
    <x v="3"/>
    <x v="1"/>
    <x v="15"/>
    <n v="0.19700000000000001"/>
    <x v="28"/>
    <x v="7"/>
    <n v="1"/>
    <n v="85"/>
    <n v="86"/>
  </r>
  <r>
    <n v="680"/>
    <x v="30"/>
    <x v="15"/>
    <x v="0"/>
    <s v="No"/>
    <x v="3"/>
    <x v="1"/>
    <x v="13"/>
    <n v="0.18179999999999999"/>
    <x v="29"/>
    <x v="7"/>
    <n v="3"/>
    <n v="41"/>
    <n v="44"/>
  </r>
  <r>
    <n v="681"/>
    <x v="30"/>
    <x v="16"/>
    <x v="0"/>
    <s v="No"/>
    <x v="3"/>
    <x v="1"/>
    <x v="13"/>
    <n v="0.18179999999999999"/>
    <x v="34"/>
    <x v="5"/>
    <n v="3"/>
    <n v="83"/>
    <n v="86"/>
  </r>
  <r>
    <n v="682"/>
    <x v="30"/>
    <x v="17"/>
    <x v="0"/>
    <s v="No"/>
    <x v="3"/>
    <x v="1"/>
    <x v="13"/>
    <n v="0.1515"/>
    <x v="29"/>
    <x v="5"/>
    <n v="6"/>
    <n v="155"/>
    <n v="161"/>
  </r>
  <r>
    <n v="683"/>
    <x v="30"/>
    <x v="18"/>
    <x v="0"/>
    <s v="No"/>
    <x v="3"/>
    <x v="1"/>
    <x v="13"/>
    <n v="0.1515"/>
    <x v="28"/>
    <x v="6"/>
    <n v="3"/>
    <n v="153"/>
    <n v="156"/>
  </r>
  <r>
    <n v="684"/>
    <x v="30"/>
    <x v="19"/>
    <x v="0"/>
    <s v="No"/>
    <x v="3"/>
    <x v="0"/>
    <x v="11"/>
    <n v="0.31819999999999998"/>
    <x v="53"/>
    <x v="14"/>
    <n v="3"/>
    <n v="108"/>
    <n v="111"/>
  </r>
  <r>
    <n v="685"/>
    <x v="30"/>
    <x v="20"/>
    <x v="0"/>
    <s v="No"/>
    <x v="3"/>
    <x v="2"/>
    <x v="13"/>
    <n v="0.16669999999999999"/>
    <x v="29"/>
    <x v="8"/>
    <n v="0"/>
    <n v="78"/>
    <n v="78"/>
  </r>
  <r>
    <n v="686"/>
    <x v="30"/>
    <x v="21"/>
    <x v="0"/>
    <s v="No"/>
    <x v="3"/>
    <x v="2"/>
    <x v="13"/>
    <n v="0.19700000000000001"/>
    <x v="29"/>
    <x v="1"/>
    <n v="3"/>
    <n v="53"/>
    <n v="56"/>
  </r>
  <r>
    <n v="687"/>
    <x v="30"/>
    <x v="22"/>
    <x v="0"/>
    <s v="No"/>
    <x v="3"/>
    <x v="1"/>
    <x v="13"/>
    <n v="0.18179999999999999"/>
    <x v="29"/>
    <x v="14"/>
    <n v="0"/>
    <n v="34"/>
    <n v="34"/>
  </r>
  <r>
    <n v="688"/>
    <x v="30"/>
    <x v="23"/>
    <x v="0"/>
    <s v="No"/>
    <x v="3"/>
    <x v="1"/>
    <x v="13"/>
    <n v="0.19700000000000001"/>
    <x v="26"/>
    <x v="1"/>
    <n v="2"/>
    <n v="15"/>
    <n v="17"/>
  </r>
  <r>
    <n v="689"/>
    <x v="31"/>
    <x v="0"/>
    <x v="0"/>
    <s v="No"/>
    <x v="4"/>
    <x v="1"/>
    <x v="13"/>
    <n v="0.18179999999999999"/>
    <x v="26"/>
    <x v="14"/>
    <n v="2"/>
    <n v="6"/>
    <n v="8"/>
  </r>
  <r>
    <n v="690"/>
    <x v="31"/>
    <x v="1"/>
    <x v="0"/>
    <s v="No"/>
    <x v="4"/>
    <x v="1"/>
    <x v="13"/>
    <n v="0.18179999999999999"/>
    <x v="27"/>
    <x v="14"/>
    <n v="0"/>
    <n v="3"/>
    <n v="3"/>
  </r>
  <r>
    <n v="691"/>
    <x v="31"/>
    <x v="2"/>
    <x v="0"/>
    <s v="No"/>
    <x v="4"/>
    <x v="1"/>
    <x v="13"/>
    <n v="0.2273"/>
    <x v="27"/>
    <x v="0"/>
    <n v="0"/>
    <n v="2"/>
    <n v="2"/>
  </r>
  <r>
    <n v="692"/>
    <x v="31"/>
    <x v="3"/>
    <x v="0"/>
    <s v="No"/>
    <x v="4"/>
    <x v="1"/>
    <x v="13"/>
    <n v="0.2273"/>
    <x v="27"/>
    <x v="0"/>
    <n v="0"/>
    <n v="2"/>
    <n v="2"/>
  </r>
  <r>
    <n v="693"/>
    <x v="31"/>
    <x v="5"/>
    <x v="0"/>
    <s v="No"/>
    <x v="4"/>
    <x v="2"/>
    <x v="14"/>
    <n v="0.21210000000000001"/>
    <x v="43"/>
    <x v="0"/>
    <n v="0"/>
    <n v="3"/>
    <n v="3"/>
  </r>
  <r>
    <n v="694"/>
    <x v="31"/>
    <x v="6"/>
    <x v="0"/>
    <s v="No"/>
    <x v="4"/>
    <x v="2"/>
    <x v="14"/>
    <n v="0.21210000000000001"/>
    <x v="43"/>
    <x v="0"/>
    <n v="0"/>
    <n v="22"/>
    <n v="22"/>
  </r>
  <r>
    <n v="695"/>
    <x v="31"/>
    <x v="7"/>
    <x v="0"/>
    <s v="No"/>
    <x v="4"/>
    <x v="2"/>
    <x v="13"/>
    <n v="0.2273"/>
    <x v="43"/>
    <x v="0"/>
    <n v="0"/>
    <n v="52"/>
    <n v="52"/>
  </r>
  <r>
    <n v="696"/>
    <x v="31"/>
    <x v="8"/>
    <x v="0"/>
    <s v="No"/>
    <x v="4"/>
    <x v="2"/>
    <x v="13"/>
    <n v="0.2273"/>
    <x v="43"/>
    <x v="0"/>
    <n v="3"/>
    <n v="132"/>
    <n v="135"/>
  </r>
  <r>
    <n v="697"/>
    <x v="31"/>
    <x v="9"/>
    <x v="0"/>
    <s v="No"/>
    <x v="4"/>
    <x v="1"/>
    <x v="13"/>
    <n v="0.2273"/>
    <x v="43"/>
    <x v="0"/>
    <n v="2"/>
    <n v="114"/>
    <n v="116"/>
  </r>
  <r>
    <n v="698"/>
    <x v="31"/>
    <x v="10"/>
    <x v="0"/>
    <s v="No"/>
    <x v="4"/>
    <x v="1"/>
    <x v="13"/>
    <n v="0.2273"/>
    <x v="43"/>
    <x v="0"/>
    <n v="0"/>
    <n v="47"/>
    <n v="47"/>
  </r>
  <r>
    <n v="699"/>
    <x v="31"/>
    <x v="11"/>
    <x v="0"/>
    <s v="No"/>
    <x v="4"/>
    <x v="1"/>
    <x v="15"/>
    <n v="0.2424"/>
    <x v="3"/>
    <x v="0"/>
    <n v="2"/>
    <n v="49"/>
    <n v="51"/>
  </r>
  <r>
    <n v="700"/>
    <x v="31"/>
    <x v="12"/>
    <x v="0"/>
    <s v="No"/>
    <x v="4"/>
    <x v="1"/>
    <x v="2"/>
    <n v="0.2576"/>
    <x v="3"/>
    <x v="0"/>
    <n v="2"/>
    <n v="53"/>
    <n v="55"/>
  </r>
  <r>
    <n v="701"/>
    <x v="31"/>
    <x v="13"/>
    <x v="0"/>
    <s v="No"/>
    <x v="4"/>
    <x v="1"/>
    <x v="2"/>
    <n v="0.2576"/>
    <x v="3"/>
    <x v="0"/>
    <n v="3"/>
    <n v="49"/>
    <n v="52"/>
  </r>
  <r>
    <n v="702"/>
    <x v="31"/>
    <x v="14"/>
    <x v="0"/>
    <s v="No"/>
    <x v="4"/>
    <x v="1"/>
    <x v="1"/>
    <n v="0.2576"/>
    <x v="1"/>
    <x v="1"/>
    <n v="5"/>
    <n v="49"/>
    <n v="54"/>
  </r>
  <r>
    <n v="703"/>
    <x v="31"/>
    <x v="15"/>
    <x v="0"/>
    <s v="No"/>
    <x v="4"/>
    <x v="1"/>
    <x v="0"/>
    <n v="0.28789999999999999"/>
    <x v="2"/>
    <x v="0"/>
    <n v="7"/>
    <n v="45"/>
    <n v="52"/>
  </r>
  <r>
    <n v="704"/>
    <x v="31"/>
    <x v="16"/>
    <x v="0"/>
    <s v="No"/>
    <x v="4"/>
    <x v="1"/>
    <x v="0"/>
    <n v="0.2424"/>
    <x v="2"/>
    <x v="7"/>
    <n v="3"/>
    <n v="61"/>
    <n v="64"/>
  </r>
  <r>
    <n v="705"/>
    <x v="31"/>
    <x v="17"/>
    <x v="0"/>
    <s v="No"/>
    <x v="4"/>
    <x v="1"/>
    <x v="0"/>
    <n v="0.28789999999999999"/>
    <x v="2"/>
    <x v="0"/>
    <n v="4"/>
    <n v="172"/>
    <n v="176"/>
  </r>
  <r>
    <n v="706"/>
    <x v="31"/>
    <x v="18"/>
    <x v="0"/>
    <s v="No"/>
    <x v="4"/>
    <x v="1"/>
    <x v="0"/>
    <n v="0.2576"/>
    <x v="0"/>
    <x v="14"/>
    <n v="3"/>
    <n v="165"/>
    <n v="168"/>
  </r>
  <r>
    <n v="707"/>
    <x v="31"/>
    <x v="19"/>
    <x v="0"/>
    <s v="No"/>
    <x v="4"/>
    <x v="1"/>
    <x v="0"/>
    <n v="0.2424"/>
    <x v="0"/>
    <x v="7"/>
    <n v="3"/>
    <n v="105"/>
    <n v="108"/>
  </r>
  <r>
    <n v="708"/>
    <x v="31"/>
    <x v="20"/>
    <x v="0"/>
    <s v="No"/>
    <x v="4"/>
    <x v="1"/>
    <x v="1"/>
    <n v="0.2273"/>
    <x v="9"/>
    <x v="7"/>
    <n v="5"/>
    <n v="69"/>
    <n v="74"/>
  </r>
  <r>
    <n v="709"/>
    <x v="31"/>
    <x v="21"/>
    <x v="0"/>
    <s v="No"/>
    <x v="4"/>
    <x v="1"/>
    <x v="1"/>
    <n v="0.2273"/>
    <x v="9"/>
    <x v="7"/>
    <n v="0"/>
    <n v="64"/>
    <n v="64"/>
  </r>
  <r>
    <n v="710"/>
    <x v="31"/>
    <x v="22"/>
    <x v="0"/>
    <s v="No"/>
    <x v="4"/>
    <x v="1"/>
    <x v="1"/>
    <n v="0.2576"/>
    <x v="9"/>
    <x v="1"/>
    <n v="2"/>
    <n v="34"/>
    <n v="36"/>
  </r>
  <r>
    <n v="711"/>
    <x v="31"/>
    <x v="23"/>
    <x v="0"/>
    <s v="No"/>
    <x v="4"/>
    <x v="2"/>
    <x v="2"/>
    <n v="0.19700000000000001"/>
    <x v="43"/>
    <x v="5"/>
    <n v="1"/>
    <n v="15"/>
    <n v="16"/>
  </r>
  <r>
    <n v="712"/>
    <x v="32"/>
    <x v="0"/>
    <x v="0"/>
    <s v="No"/>
    <x v="5"/>
    <x v="2"/>
    <x v="1"/>
    <n v="0.2424"/>
    <x v="43"/>
    <x v="14"/>
    <n v="0"/>
    <n v="2"/>
    <n v="2"/>
  </r>
  <r>
    <n v="713"/>
    <x v="32"/>
    <x v="1"/>
    <x v="0"/>
    <s v="No"/>
    <x v="5"/>
    <x v="2"/>
    <x v="1"/>
    <n v="0.2273"/>
    <x v="43"/>
    <x v="5"/>
    <n v="0"/>
    <n v="3"/>
    <n v="3"/>
  </r>
  <r>
    <n v="714"/>
    <x v="32"/>
    <x v="2"/>
    <x v="0"/>
    <s v="No"/>
    <x v="5"/>
    <x v="2"/>
    <x v="1"/>
    <n v="0.2273"/>
    <x v="43"/>
    <x v="7"/>
    <n v="4"/>
    <n v="0"/>
    <n v="4"/>
  </r>
  <r>
    <n v="715"/>
    <x v="32"/>
    <x v="3"/>
    <x v="0"/>
    <s v="No"/>
    <x v="5"/>
    <x v="2"/>
    <x v="1"/>
    <n v="0.2273"/>
    <x v="43"/>
    <x v="7"/>
    <n v="0"/>
    <n v="1"/>
    <n v="1"/>
  </r>
  <r>
    <n v="716"/>
    <x v="32"/>
    <x v="4"/>
    <x v="0"/>
    <s v="No"/>
    <x v="5"/>
    <x v="2"/>
    <x v="1"/>
    <n v="0.21210000000000001"/>
    <x v="43"/>
    <x v="3"/>
    <n v="0"/>
    <n v="1"/>
    <n v="1"/>
  </r>
  <r>
    <n v="717"/>
    <x v="32"/>
    <x v="5"/>
    <x v="0"/>
    <s v="No"/>
    <x v="5"/>
    <x v="2"/>
    <x v="1"/>
    <n v="0.2424"/>
    <x v="43"/>
    <x v="14"/>
    <n v="0"/>
    <n v="3"/>
    <n v="3"/>
  </r>
  <r>
    <n v="718"/>
    <x v="32"/>
    <x v="6"/>
    <x v="0"/>
    <s v="No"/>
    <x v="5"/>
    <x v="2"/>
    <x v="1"/>
    <n v="0.2424"/>
    <x v="43"/>
    <x v="14"/>
    <n v="1"/>
    <n v="17"/>
    <n v="18"/>
  </r>
  <r>
    <n v="719"/>
    <x v="32"/>
    <x v="7"/>
    <x v="0"/>
    <s v="No"/>
    <x v="5"/>
    <x v="2"/>
    <x v="1"/>
    <n v="0.21210000000000001"/>
    <x v="43"/>
    <x v="6"/>
    <n v="1"/>
    <n v="48"/>
    <n v="49"/>
  </r>
  <r>
    <n v="720"/>
    <x v="32"/>
    <x v="8"/>
    <x v="0"/>
    <s v="No"/>
    <x v="5"/>
    <x v="2"/>
    <x v="1"/>
    <n v="0.21210000000000001"/>
    <x v="43"/>
    <x v="6"/>
    <n v="1"/>
    <n v="154"/>
    <n v="155"/>
  </r>
  <r>
    <n v="721"/>
    <x v="32"/>
    <x v="9"/>
    <x v="0"/>
    <s v="No"/>
    <x v="5"/>
    <x v="1"/>
    <x v="0"/>
    <n v="0.2576"/>
    <x v="43"/>
    <x v="1"/>
    <n v="4"/>
    <n v="119"/>
    <n v="123"/>
  </r>
  <r>
    <n v="722"/>
    <x v="32"/>
    <x v="10"/>
    <x v="0"/>
    <s v="No"/>
    <x v="5"/>
    <x v="1"/>
    <x v="1"/>
    <n v="0.2727"/>
    <x v="11"/>
    <x v="0"/>
    <n v="2"/>
    <n v="59"/>
    <n v="61"/>
  </r>
  <r>
    <n v="723"/>
    <x v="32"/>
    <x v="11"/>
    <x v="0"/>
    <s v="No"/>
    <x v="5"/>
    <x v="1"/>
    <x v="0"/>
    <n v="0.2273"/>
    <x v="43"/>
    <x v="5"/>
    <n v="5"/>
    <n v="47"/>
    <n v="52"/>
  </r>
  <r>
    <n v="724"/>
    <x v="32"/>
    <x v="12"/>
    <x v="0"/>
    <s v="No"/>
    <x v="5"/>
    <x v="1"/>
    <x v="0"/>
    <n v="0.2273"/>
    <x v="43"/>
    <x v="6"/>
    <n v="3"/>
    <n v="61"/>
    <n v="64"/>
  </r>
  <r>
    <n v="725"/>
    <x v="32"/>
    <x v="13"/>
    <x v="0"/>
    <s v="No"/>
    <x v="5"/>
    <x v="0"/>
    <x v="10"/>
    <n v="0.33329999999999999"/>
    <x v="43"/>
    <x v="8"/>
    <n v="1"/>
    <n v="74"/>
    <n v="75"/>
  </r>
  <r>
    <n v="726"/>
    <x v="32"/>
    <x v="14"/>
    <x v="0"/>
    <s v="No"/>
    <x v="5"/>
    <x v="0"/>
    <x v="4"/>
    <n v="0.39389999999999997"/>
    <x v="7"/>
    <x v="13"/>
    <n v="2"/>
    <n v="61"/>
    <n v="63"/>
  </r>
  <r>
    <n v="727"/>
    <x v="32"/>
    <x v="15"/>
    <x v="0"/>
    <s v="No"/>
    <x v="5"/>
    <x v="0"/>
    <x v="4"/>
    <n v="0.39389999999999997"/>
    <x v="4"/>
    <x v="9"/>
    <n v="10"/>
    <n v="66"/>
    <n v="76"/>
  </r>
  <r>
    <n v="728"/>
    <x v="32"/>
    <x v="16"/>
    <x v="0"/>
    <s v="No"/>
    <x v="5"/>
    <x v="0"/>
    <x v="5"/>
    <n v="0.33329999999999999"/>
    <x v="12"/>
    <x v="4"/>
    <n v="8"/>
    <n v="95"/>
    <n v="103"/>
  </r>
  <r>
    <n v="729"/>
    <x v="32"/>
    <x v="17"/>
    <x v="0"/>
    <s v="No"/>
    <x v="5"/>
    <x v="0"/>
    <x v="5"/>
    <n v="0.31819999999999998"/>
    <x v="45"/>
    <x v="18"/>
    <n v="7"/>
    <n v="183"/>
    <n v="190"/>
  </r>
  <r>
    <n v="730"/>
    <x v="32"/>
    <x v="18"/>
    <x v="0"/>
    <s v="No"/>
    <x v="5"/>
    <x v="0"/>
    <x v="10"/>
    <n v="0.28789999999999999"/>
    <x v="16"/>
    <x v="16"/>
    <n v="7"/>
    <n v="175"/>
    <n v="182"/>
  </r>
  <r>
    <n v="731"/>
    <x v="32"/>
    <x v="19"/>
    <x v="0"/>
    <s v="No"/>
    <x v="5"/>
    <x v="0"/>
    <x v="17"/>
    <n v="0.2424"/>
    <x v="49"/>
    <x v="15"/>
    <n v="3"/>
    <n v="88"/>
    <n v="91"/>
  </r>
  <r>
    <n v="732"/>
    <x v="32"/>
    <x v="20"/>
    <x v="0"/>
    <s v="No"/>
    <x v="5"/>
    <x v="0"/>
    <x v="0"/>
    <n v="0.19700000000000001"/>
    <x v="37"/>
    <x v="16"/>
    <n v="4"/>
    <n v="71"/>
    <n v="75"/>
  </r>
  <r>
    <n v="733"/>
    <x v="32"/>
    <x v="21"/>
    <x v="0"/>
    <s v="No"/>
    <x v="5"/>
    <x v="0"/>
    <x v="1"/>
    <n v="0.19700000000000001"/>
    <x v="19"/>
    <x v="9"/>
    <n v="1"/>
    <n v="62"/>
    <n v="63"/>
  </r>
  <r>
    <n v="734"/>
    <x v="32"/>
    <x v="22"/>
    <x v="0"/>
    <s v="No"/>
    <x v="5"/>
    <x v="0"/>
    <x v="1"/>
    <n v="0.21210000000000001"/>
    <x v="18"/>
    <x v="2"/>
    <n v="5"/>
    <n v="35"/>
    <n v="40"/>
  </r>
  <r>
    <n v="735"/>
    <x v="32"/>
    <x v="23"/>
    <x v="0"/>
    <s v="No"/>
    <x v="5"/>
    <x v="0"/>
    <x v="2"/>
    <n v="0.16669999999999999"/>
    <x v="18"/>
    <x v="10"/>
    <n v="3"/>
    <n v="29"/>
    <n v="32"/>
  </r>
  <r>
    <n v="736"/>
    <x v="33"/>
    <x v="0"/>
    <x v="0"/>
    <s v="No"/>
    <x v="6"/>
    <x v="0"/>
    <x v="2"/>
    <n v="0.16669999999999999"/>
    <x v="22"/>
    <x v="10"/>
    <n v="1"/>
    <n v="11"/>
    <n v="12"/>
  </r>
  <r>
    <n v="737"/>
    <x v="33"/>
    <x v="1"/>
    <x v="0"/>
    <s v="No"/>
    <x v="6"/>
    <x v="0"/>
    <x v="2"/>
    <n v="0.1515"/>
    <x v="18"/>
    <x v="18"/>
    <n v="0"/>
    <n v="5"/>
    <n v="5"/>
  </r>
  <r>
    <n v="738"/>
    <x v="33"/>
    <x v="2"/>
    <x v="0"/>
    <s v="No"/>
    <x v="6"/>
    <x v="0"/>
    <x v="15"/>
    <n v="0.16669999999999999"/>
    <x v="21"/>
    <x v="2"/>
    <n v="0"/>
    <n v="2"/>
    <n v="2"/>
  </r>
  <r>
    <n v="739"/>
    <x v="33"/>
    <x v="3"/>
    <x v="0"/>
    <s v="No"/>
    <x v="6"/>
    <x v="0"/>
    <x v="15"/>
    <n v="0.16669999999999999"/>
    <x v="21"/>
    <x v="2"/>
    <n v="0"/>
    <n v="1"/>
    <n v="1"/>
  </r>
  <r>
    <n v="740"/>
    <x v="33"/>
    <x v="5"/>
    <x v="0"/>
    <s v="No"/>
    <x v="6"/>
    <x v="0"/>
    <x v="13"/>
    <n v="0.13639999999999999"/>
    <x v="20"/>
    <x v="4"/>
    <n v="0"/>
    <n v="2"/>
    <n v="2"/>
  </r>
  <r>
    <n v="741"/>
    <x v="33"/>
    <x v="6"/>
    <x v="0"/>
    <s v="No"/>
    <x v="6"/>
    <x v="0"/>
    <x v="13"/>
    <n v="0.13639999999999999"/>
    <x v="21"/>
    <x v="11"/>
    <n v="0"/>
    <n v="39"/>
    <n v="39"/>
  </r>
  <r>
    <n v="742"/>
    <x v="33"/>
    <x v="7"/>
    <x v="0"/>
    <s v="No"/>
    <x v="6"/>
    <x v="0"/>
    <x v="14"/>
    <n v="0.1212"/>
    <x v="20"/>
    <x v="9"/>
    <n v="1"/>
    <n v="86"/>
    <n v="87"/>
  </r>
  <r>
    <n v="743"/>
    <x v="33"/>
    <x v="8"/>
    <x v="0"/>
    <s v="No"/>
    <x v="6"/>
    <x v="0"/>
    <x v="14"/>
    <n v="0.1212"/>
    <x v="20"/>
    <x v="11"/>
    <n v="4"/>
    <n v="184"/>
    <n v="188"/>
  </r>
  <r>
    <n v="744"/>
    <x v="33"/>
    <x v="9"/>
    <x v="0"/>
    <s v="No"/>
    <x v="6"/>
    <x v="0"/>
    <x v="13"/>
    <n v="0.13639999999999999"/>
    <x v="19"/>
    <x v="4"/>
    <n v="6"/>
    <n v="127"/>
    <n v="133"/>
  </r>
  <r>
    <n v="745"/>
    <x v="33"/>
    <x v="10"/>
    <x v="0"/>
    <s v="No"/>
    <x v="6"/>
    <x v="0"/>
    <x v="15"/>
    <n v="0.1515"/>
    <x v="21"/>
    <x v="9"/>
    <n v="2"/>
    <n v="50"/>
    <n v="52"/>
  </r>
  <r>
    <n v="746"/>
    <x v="33"/>
    <x v="11"/>
    <x v="0"/>
    <s v="No"/>
    <x v="6"/>
    <x v="0"/>
    <x v="15"/>
    <n v="0.13639999999999999"/>
    <x v="21"/>
    <x v="10"/>
    <n v="9"/>
    <n v="55"/>
    <n v="64"/>
  </r>
  <r>
    <n v="747"/>
    <x v="33"/>
    <x v="12"/>
    <x v="0"/>
    <s v="No"/>
    <x v="6"/>
    <x v="0"/>
    <x v="2"/>
    <n v="0.18179999999999999"/>
    <x v="22"/>
    <x v="11"/>
    <n v="2"/>
    <n v="67"/>
    <n v="69"/>
  </r>
  <r>
    <n v="748"/>
    <x v="33"/>
    <x v="13"/>
    <x v="0"/>
    <s v="No"/>
    <x v="6"/>
    <x v="0"/>
    <x v="2"/>
    <n v="0.16669999999999999"/>
    <x v="22"/>
    <x v="12"/>
    <n v="4"/>
    <n v="47"/>
    <n v="51"/>
  </r>
  <r>
    <n v="749"/>
    <x v="33"/>
    <x v="14"/>
    <x v="0"/>
    <s v="No"/>
    <x v="6"/>
    <x v="0"/>
    <x v="1"/>
    <n v="0.19700000000000001"/>
    <x v="38"/>
    <x v="13"/>
    <n v="4"/>
    <n v="43"/>
    <n v="47"/>
  </r>
  <r>
    <n v="750"/>
    <x v="33"/>
    <x v="15"/>
    <x v="0"/>
    <s v="No"/>
    <x v="6"/>
    <x v="0"/>
    <x v="1"/>
    <n v="0.19700000000000001"/>
    <x v="38"/>
    <x v="9"/>
    <n v="4"/>
    <n v="56"/>
    <n v="60"/>
  </r>
  <r>
    <n v="751"/>
    <x v="33"/>
    <x v="16"/>
    <x v="0"/>
    <s v="No"/>
    <x v="6"/>
    <x v="0"/>
    <x v="1"/>
    <n v="0.21210000000000001"/>
    <x v="38"/>
    <x v="2"/>
    <n v="5"/>
    <n v="73"/>
    <n v="78"/>
  </r>
  <r>
    <n v="752"/>
    <x v="33"/>
    <x v="17"/>
    <x v="0"/>
    <s v="No"/>
    <x v="6"/>
    <x v="0"/>
    <x v="2"/>
    <n v="0.19700000000000001"/>
    <x v="22"/>
    <x v="5"/>
    <n v="5"/>
    <n v="170"/>
    <n v="175"/>
  </r>
  <r>
    <n v="753"/>
    <x v="33"/>
    <x v="18"/>
    <x v="0"/>
    <s v="No"/>
    <x v="6"/>
    <x v="0"/>
    <x v="2"/>
    <n v="0.21210000000000001"/>
    <x v="22"/>
    <x v="8"/>
    <n v="2"/>
    <n v="145"/>
    <n v="147"/>
  </r>
  <r>
    <n v="754"/>
    <x v="33"/>
    <x v="19"/>
    <x v="0"/>
    <s v="No"/>
    <x v="6"/>
    <x v="0"/>
    <x v="2"/>
    <n v="0.2576"/>
    <x v="22"/>
    <x v="0"/>
    <n v="4"/>
    <n v="92"/>
    <n v="96"/>
  </r>
  <r>
    <n v="755"/>
    <x v="33"/>
    <x v="20"/>
    <x v="0"/>
    <s v="No"/>
    <x v="6"/>
    <x v="0"/>
    <x v="2"/>
    <n v="0.2273"/>
    <x v="19"/>
    <x v="1"/>
    <n v="1"/>
    <n v="108"/>
    <n v="109"/>
  </r>
  <r>
    <n v="756"/>
    <x v="33"/>
    <x v="21"/>
    <x v="0"/>
    <s v="No"/>
    <x v="6"/>
    <x v="0"/>
    <x v="15"/>
    <n v="0.21210000000000001"/>
    <x v="28"/>
    <x v="14"/>
    <n v="1"/>
    <n v="53"/>
    <n v="54"/>
  </r>
  <r>
    <n v="757"/>
    <x v="33"/>
    <x v="22"/>
    <x v="0"/>
    <s v="No"/>
    <x v="6"/>
    <x v="0"/>
    <x v="15"/>
    <n v="0.21210000000000001"/>
    <x v="33"/>
    <x v="1"/>
    <n v="2"/>
    <n v="39"/>
    <n v="41"/>
  </r>
  <r>
    <n v="758"/>
    <x v="33"/>
    <x v="23"/>
    <x v="0"/>
    <s v="No"/>
    <x v="6"/>
    <x v="0"/>
    <x v="2"/>
    <n v="0.2273"/>
    <x v="19"/>
    <x v="14"/>
    <n v="4"/>
    <n v="34"/>
    <n v="38"/>
  </r>
  <r>
    <n v="759"/>
    <x v="34"/>
    <x v="0"/>
    <x v="0"/>
    <s v="No"/>
    <x v="0"/>
    <x v="1"/>
    <x v="2"/>
    <n v="0.2576"/>
    <x v="18"/>
    <x v="0"/>
    <n v="3"/>
    <n v="10"/>
    <n v="13"/>
  </r>
  <r>
    <n v="760"/>
    <x v="34"/>
    <x v="1"/>
    <x v="0"/>
    <s v="No"/>
    <x v="0"/>
    <x v="1"/>
    <x v="13"/>
    <n v="0.2273"/>
    <x v="29"/>
    <x v="0"/>
    <n v="0"/>
    <n v="7"/>
    <n v="7"/>
  </r>
  <r>
    <n v="761"/>
    <x v="34"/>
    <x v="2"/>
    <x v="0"/>
    <s v="No"/>
    <x v="0"/>
    <x v="1"/>
    <x v="14"/>
    <n v="0.16669999999999999"/>
    <x v="30"/>
    <x v="14"/>
    <n v="0"/>
    <n v="1"/>
    <n v="1"/>
  </r>
  <r>
    <n v="762"/>
    <x v="34"/>
    <x v="3"/>
    <x v="0"/>
    <s v="No"/>
    <x v="0"/>
    <x v="1"/>
    <x v="14"/>
    <n v="0.16669999999999999"/>
    <x v="30"/>
    <x v="14"/>
    <n v="0"/>
    <n v="1"/>
    <n v="1"/>
  </r>
  <r>
    <n v="763"/>
    <x v="34"/>
    <x v="5"/>
    <x v="0"/>
    <s v="No"/>
    <x v="0"/>
    <x v="1"/>
    <x v="14"/>
    <n v="0.1515"/>
    <x v="30"/>
    <x v="7"/>
    <n v="0"/>
    <n v="7"/>
    <n v="7"/>
  </r>
  <r>
    <n v="764"/>
    <x v="34"/>
    <x v="6"/>
    <x v="0"/>
    <s v="No"/>
    <x v="0"/>
    <x v="1"/>
    <x v="13"/>
    <n v="0.2273"/>
    <x v="28"/>
    <x v="0"/>
    <n v="2"/>
    <n v="26"/>
    <n v="28"/>
  </r>
  <r>
    <n v="765"/>
    <x v="34"/>
    <x v="7"/>
    <x v="0"/>
    <s v="No"/>
    <x v="0"/>
    <x v="0"/>
    <x v="14"/>
    <n v="0.21210000000000001"/>
    <x v="29"/>
    <x v="0"/>
    <n v="0"/>
    <n v="87"/>
    <n v="87"/>
  </r>
  <r>
    <n v="766"/>
    <x v="34"/>
    <x v="8"/>
    <x v="0"/>
    <s v="No"/>
    <x v="0"/>
    <x v="0"/>
    <x v="14"/>
    <n v="0.1515"/>
    <x v="32"/>
    <x v="7"/>
    <n v="3"/>
    <n v="217"/>
    <n v="220"/>
  </r>
  <r>
    <n v="767"/>
    <x v="34"/>
    <x v="9"/>
    <x v="0"/>
    <s v="No"/>
    <x v="0"/>
    <x v="1"/>
    <x v="13"/>
    <n v="0.18179999999999999"/>
    <x v="1"/>
    <x v="7"/>
    <n v="3"/>
    <n v="124"/>
    <n v="127"/>
  </r>
  <r>
    <n v="768"/>
    <x v="34"/>
    <x v="10"/>
    <x v="0"/>
    <s v="No"/>
    <x v="0"/>
    <x v="1"/>
    <x v="2"/>
    <n v="0.21210000000000001"/>
    <x v="33"/>
    <x v="7"/>
    <n v="5"/>
    <n v="46"/>
    <n v="51"/>
  </r>
  <r>
    <n v="769"/>
    <x v="34"/>
    <x v="11"/>
    <x v="0"/>
    <s v="No"/>
    <x v="0"/>
    <x v="0"/>
    <x v="1"/>
    <n v="0.2273"/>
    <x v="33"/>
    <x v="8"/>
    <n v="3"/>
    <n v="61"/>
    <n v="64"/>
  </r>
  <r>
    <n v="770"/>
    <x v="34"/>
    <x v="12"/>
    <x v="0"/>
    <s v="No"/>
    <x v="0"/>
    <x v="1"/>
    <x v="0"/>
    <n v="0.2424"/>
    <x v="37"/>
    <x v="8"/>
    <n v="8"/>
    <n v="78"/>
    <n v="86"/>
  </r>
  <r>
    <n v="771"/>
    <x v="34"/>
    <x v="13"/>
    <x v="0"/>
    <s v="No"/>
    <x v="0"/>
    <x v="1"/>
    <x v="12"/>
    <n v="0.2576"/>
    <x v="20"/>
    <x v="6"/>
    <n v="9"/>
    <n v="73"/>
    <n v="82"/>
  </r>
  <r>
    <n v="772"/>
    <x v="34"/>
    <x v="14"/>
    <x v="0"/>
    <s v="No"/>
    <x v="0"/>
    <x v="1"/>
    <x v="17"/>
    <n v="0.2727"/>
    <x v="49"/>
    <x v="8"/>
    <n v="15"/>
    <n v="76"/>
    <n v="91"/>
  </r>
  <r>
    <n v="773"/>
    <x v="34"/>
    <x v="15"/>
    <x v="0"/>
    <s v="No"/>
    <x v="0"/>
    <x v="1"/>
    <x v="17"/>
    <n v="0.2727"/>
    <x v="37"/>
    <x v="2"/>
    <n v="9"/>
    <n v="81"/>
    <n v="90"/>
  </r>
  <r>
    <n v="774"/>
    <x v="34"/>
    <x v="16"/>
    <x v="0"/>
    <s v="No"/>
    <x v="0"/>
    <x v="1"/>
    <x v="11"/>
    <n v="0.28789999999999999"/>
    <x v="16"/>
    <x v="6"/>
    <n v="8"/>
    <n v="91"/>
    <n v="99"/>
  </r>
  <r>
    <n v="775"/>
    <x v="34"/>
    <x v="17"/>
    <x v="0"/>
    <s v="No"/>
    <x v="0"/>
    <x v="1"/>
    <x v="12"/>
    <n v="0.2727"/>
    <x v="34"/>
    <x v="7"/>
    <n v="10"/>
    <n v="195"/>
    <n v="205"/>
  </r>
  <r>
    <n v="776"/>
    <x v="34"/>
    <x v="18"/>
    <x v="0"/>
    <s v="No"/>
    <x v="0"/>
    <x v="1"/>
    <x v="0"/>
    <n v="0.2576"/>
    <x v="54"/>
    <x v="14"/>
    <n v="3"/>
    <n v="152"/>
    <n v="155"/>
  </r>
  <r>
    <n v="777"/>
    <x v="34"/>
    <x v="19"/>
    <x v="0"/>
    <s v="No"/>
    <x v="0"/>
    <x v="1"/>
    <x v="0"/>
    <n v="0.2424"/>
    <x v="55"/>
    <x v="7"/>
    <n v="1"/>
    <n v="102"/>
    <n v="103"/>
  </r>
  <r>
    <n v="778"/>
    <x v="34"/>
    <x v="20"/>
    <x v="0"/>
    <s v="No"/>
    <x v="0"/>
    <x v="1"/>
    <x v="0"/>
    <n v="0.2424"/>
    <x v="55"/>
    <x v="8"/>
    <n v="2"/>
    <n v="69"/>
    <n v="71"/>
  </r>
  <r>
    <n v="779"/>
    <x v="34"/>
    <x v="21"/>
    <x v="0"/>
    <s v="No"/>
    <x v="0"/>
    <x v="1"/>
    <x v="0"/>
    <n v="0.2424"/>
    <x v="56"/>
    <x v="8"/>
    <n v="2"/>
    <n v="41"/>
    <n v="43"/>
  </r>
  <r>
    <n v="780"/>
    <x v="34"/>
    <x v="22"/>
    <x v="0"/>
    <s v="No"/>
    <x v="0"/>
    <x v="1"/>
    <x v="0"/>
    <n v="0.2424"/>
    <x v="55"/>
    <x v="8"/>
    <n v="1"/>
    <n v="45"/>
    <n v="46"/>
  </r>
  <r>
    <n v="781"/>
    <x v="34"/>
    <x v="23"/>
    <x v="0"/>
    <s v="No"/>
    <x v="0"/>
    <x v="1"/>
    <x v="0"/>
    <n v="0.2424"/>
    <x v="56"/>
    <x v="7"/>
    <n v="1"/>
    <n v="30"/>
    <n v="31"/>
  </r>
  <r>
    <n v="782"/>
    <x v="35"/>
    <x v="0"/>
    <x v="0"/>
    <s v="No"/>
    <x v="1"/>
    <x v="1"/>
    <x v="0"/>
    <n v="0.2424"/>
    <x v="56"/>
    <x v="8"/>
    <n v="3"/>
    <n v="36"/>
    <n v="39"/>
  </r>
  <r>
    <n v="783"/>
    <x v="35"/>
    <x v="1"/>
    <x v="0"/>
    <s v="No"/>
    <x v="1"/>
    <x v="1"/>
    <x v="0"/>
    <n v="0.2424"/>
    <x v="55"/>
    <x v="8"/>
    <n v="1"/>
    <n v="17"/>
    <n v="18"/>
  </r>
  <r>
    <n v="784"/>
    <x v="35"/>
    <x v="2"/>
    <x v="0"/>
    <s v="No"/>
    <x v="1"/>
    <x v="1"/>
    <x v="0"/>
    <n v="0.2424"/>
    <x v="2"/>
    <x v="8"/>
    <n v="5"/>
    <n v="12"/>
    <n v="17"/>
  </r>
  <r>
    <n v="785"/>
    <x v="35"/>
    <x v="3"/>
    <x v="0"/>
    <s v="No"/>
    <x v="1"/>
    <x v="1"/>
    <x v="0"/>
    <n v="0.2424"/>
    <x v="2"/>
    <x v="8"/>
    <n v="1"/>
    <n v="10"/>
    <n v="11"/>
  </r>
  <r>
    <n v="786"/>
    <x v="35"/>
    <x v="4"/>
    <x v="0"/>
    <s v="No"/>
    <x v="1"/>
    <x v="2"/>
    <x v="1"/>
    <n v="0.2273"/>
    <x v="43"/>
    <x v="7"/>
    <n v="0"/>
    <n v="8"/>
    <n v="8"/>
  </r>
  <r>
    <n v="787"/>
    <x v="35"/>
    <x v="5"/>
    <x v="0"/>
    <s v="No"/>
    <x v="1"/>
    <x v="2"/>
    <x v="2"/>
    <n v="0.2273"/>
    <x v="11"/>
    <x v="1"/>
    <n v="0"/>
    <n v="9"/>
    <n v="9"/>
  </r>
  <r>
    <n v="788"/>
    <x v="35"/>
    <x v="6"/>
    <x v="0"/>
    <s v="No"/>
    <x v="1"/>
    <x v="2"/>
    <x v="2"/>
    <n v="0.2576"/>
    <x v="11"/>
    <x v="0"/>
    <n v="0"/>
    <n v="4"/>
    <n v="4"/>
  </r>
  <r>
    <n v="789"/>
    <x v="35"/>
    <x v="7"/>
    <x v="0"/>
    <s v="No"/>
    <x v="1"/>
    <x v="2"/>
    <x v="1"/>
    <n v="0.2576"/>
    <x v="43"/>
    <x v="1"/>
    <n v="0"/>
    <n v="4"/>
    <n v="4"/>
  </r>
  <r>
    <n v="790"/>
    <x v="35"/>
    <x v="8"/>
    <x v="0"/>
    <s v="No"/>
    <x v="1"/>
    <x v="2"/>
    <x v="2"/>
    <n v="0.2273"/>
    <x v="11"/>
    <x v="1"/>
    <n v="0"/>
    <n v="10"/>
    <n v="10"/>
  </r>
  <r>
    <n v="791"/>
    <x v="35"/>
    <x v="9"/>
    <x v="0"/>
    <s v="No"/>
    <x v="1"/>
    <x v="2"/>
    <x v="2"/>
    <n v="0.2273"/>
    <x v="11"/>
    <x v="1"/>
    <n v="3"/>
    <n v="17"/>
    <n v="20"/>
  </r>
  <r>
    <n v="792"/>
    <x v="35"/>
    <x v="10"/>
    <x v="0"/>
    <s v="No"/>
    <x v="1"/>
    <x v="2"/>
    <x v="2"/>
    <n v="0.21210000000000001"/>
    <x v="11"/>
    <x v="7"/>
    <n v="3"/>
    <n v="31"/>
    <n v="34"/>
  </r>
  <r>
    <n v="793"/>
    <x v="35"/>
    <x v="11"/>
    <x v="0"/>
    <s v="No"/>
    <x v="1"/>
    <x v="2"/>
    <x v="1"/>
    <n v="0.2273"/>
    <x v="11"/>
    <x v="7"/>
    <n v="1"/>
    <n v="46"/>
    <n v="47"/>
  </r>
  <r>
    <n v="794"/>
    <x v="35"/>
    <x v="12"/>
    <x v="0"/>
    <s v="No"/>
    <x v="1"/>
    <x v="2"/>
    <x v="1"/>
    <n v="0.2273"/>
    <x v="11"/>
    <x v="8"/>
    <n v="10"/>
    <n v="42"/>
    <n v="52"/>
  </r>
  <r>
    <n v="795"/>
    <x v="35"/>
    <x v="13"/>
    <x v="0"/>
    <s v="No"/>
    <x v="1"/>
    <x v="2"/>
    <x v="1"/>
    <n v="0.2273"/>
    <x v="11"/>
    <x v="8"/>
    <n v="10"/>
    <n v="62"/>
    <n v="72"/>
  </r>
  <r>
    <n v="796"/>
    <x v="35"/>
    <x v="14"/>
    <x v="0"/>
    <s v="No"/>
    <x v="1"/>
    <x v="2"/>
    <x v="1"/>
    <n v="0.2727"/>
    <x v="11"/>
    <x v="0"/>
    <n v="5"/>
    <n v="50"/>
    <n v="55"/>
  </r>
  <r>
    <n v="797"/>
    <x v="35"/>
    <x v="15"/>
    <x v="0"/>
    <s v="No"/>
    <x v="1"/>
    <x v="2"/>
    <x v="1"/>
    <n v="0.2727"/>
    <x v="11"/>
    <x v="0"/>
    <n v="11"/>
    <n v="49"/>
    <n v="60"/>
  </r>
  <r>
    <n v="798"/>
    <x v="35"/>
    <x v="16"/>
    <x v="0"/>
    <s v="No"/>
    <x v="1"/>
    <x v="2"/>
    <x v="1"/>
    <n v="0.2273"/>
    <x v="11"/>
    <x v="7"/>
    <n v="8"/>
    <n v="63"/>
    <n v="71"/>
  </r>
  <r>
    <n v="799"/>
    <x v="35"/>
    <x v="17"/>
    <x v="0"/>
    <s v="No"/>
    <x v="1"/>
    <x v="1"/>
    <x v="0"/>
    <n v="0.21210000000000001"/>
    <x v="11"/>
    <x v="3"/>
    <n v="14"/>
    <n v="64"/>
    <n v="78"/>
  </r>
  <r>
    <n v="800"/>
    <x v="35"/>
    <x v="18"/>
    <x v="0"/>
    <s v="No"/>
    <x v="1"/>
    <x v="1"/>
    <x v="17"/>
    <n v="0.2424"/>
    <x v="43"/>
    <x v="10"/>
    <n v="2"/>
    <n v="81"/>
    <n v="83"/>
  </r>
  <r>
    <n v="801"/>
    <x v="35"/>
    <x v="19"/>
    <x v="0"/>
    <s v="No"/>
    <x v="1"/>
    <x v="1"/>
    <x v="17"/>
    <n v="0.2424"/>
    <x v="43"/>
    <x v="10"/>
    <n v="6"/>
    <n v="78"/>
    <n v="84"/>
  </r>
  <r>
    <n v="802"/>
    <x v="35"/>
    <x v="20"/>
    <x v="0"/>
    <s v="No"/>
    <x v="1"/>
    <x v="0"/>
    <x v="11"/>
    <n v="0.28789999999999999"/>
    <x v="9"/>
    <x v="2"/>
    <n v="5"/>
    <n v="64"/>
    <n v="69"/>
  </r>
  <r>
    <n v="803"/>
    <x v="35"/>
    <x v="21"/>
    <x v="0"/>
    <s v="No"/>
    <x v="1"/>
    <x v="0"/>
    <x v="12"/>
    <n v="0.2576"/>
    <x v="11"/>
    <x v="5"/>
    <n v="3"/>
    <n v="53"/>
    <n v="56"/>
  </r>
  <r>
    <n v="804"/>
    <x v="35"/>
    <x v="22"/>
    <x v="0"/>
    <s v="No"/>
    <x v="1"/>
    <x v="0"/>
    <x v="12"/>
    <n v="0.2727"/>
    <x v="43"/>
    <x v="7"/>
    <n v="2"/>
    <n v="43"/>
    <n v="45"/>
  </r>
  <r>
    <n v="805"/>
    <x v="35"/>
    <x v="23"/>
    <x v="0"/>
    <s v="No"/>
    <x v="1"/>
    <x v="0"/>
    <x v="12"/>
    <n v="0.2576"/>
    <x v="43"/>
    <x v="6"/>
    <n v="7"/>
    <n v="52"/>
    <n v="59"/>
  </r>
  <r>
    <n v="806"/>
    <x v="36"/>
    <x v="0"/>
    <x v="0"/>
    <s v="No"/>
    <x v="2"/>
    <x v="0"/>
    <x v="12"/>
    <n v="0.2576"/>
    <x v="56"/>
    <x v="5"/>
    <n v="2"/>
    <n v="37"/>
    <n v="39"/>
  </r>
  <r>
    <n v="807"/>
    <x v="36"/>
    <x v="1"/>
    <x v="0"/>
    <s v="No"/>
    <x v="2"/>
    <x v="0"/>
    <x v="12"/>
    <n v="0.2273"/>
    <x v="55"/>
    <x v="12"/>
    <n v="4"/>
    <n v="40"/>
    <n v="44"/>
  </r>
  <r>
    <n v="808"/>
    <x v="36"/>
    <x v="2"/>
    <x v="0"/>
    <s v="No"/>
    <x v="2"/>
    <x v="0"/>
    <x v="12"/>
    <n v="0.2273"/>
    <x v="54"/>
    <x v="9"/>
    <n v="0"/>
    <n v="20"/>
    <n v="20"/>
  </r>
  <r>
    <n v="809"/>
    <x v="36"/>
    <x v="3"/>
    <x v="0"/>
    <s v="No"/>
    <x v="2"/>
    <x v="0"/>
    <x v="12"/>
    <n v="0.28789999999999999"/>
    <x v="54"/>
    <x v="1"/>
    <n v="3"/>
    <n v="10"/>
    <n v="13"/>
  </r>
  <r>
    <n v="810"/>
    <x v="36"/>
    <x v="4"/>
    <x v="0"/>
    <s v="No"/>
    <x v="2"/>
    <x v="0"/>
    <x v="12"/>
    <n v="0.2273"/>
    <x v="54"/>
    <x v="11"/>
    <n v="0"/>
    <n v="2"/>
    <n v="2"/>
  </r>
  <r>
    <n v="811"/>
    <x v="36"/>
    <x v="5"/>
    <x v="0"/>
    <s v="No"/>
    <x v="2"/>
    <x v="0"/>
    <x v="12"/>
    <n v="0.2576"/>
    <x v="54"/>
    <x v="6"/>
    <n v="0"/>
    <n v="1"/>
    <n v="1"/>
  </r>
  <r>
    <n v="812"/>
    <x v="36"/>
    <x v="6"/>
    <x v="0"/>
    <s v="No"/>
    <x v="2"/>
    <x v="0"/>
    <x v="12"/>
    <n v="0.2576"/>
    <x v="54"/>
    <x v="6"/>
    <n v="0"/>
    <n v="1"/>
    <n v="1"/>
  </r>
  <r>
    <n v="813"/>
    <x v="36"/>
    <x v="7"/>
    <x v="0"/>
    <s v="No"/>
    <x v="2"/>
    <x v="0"/>
    <x v="0"/>
    <n v="0.2424"/>
    <x v="55"/>
    <x v="8"/>
    <n v="0"/>
    <n v="8"/>
    <n v="8"/>
  </r>
  <r>
    <n v="814"/>
    <x v="36"/>
    <x v="8"/>
    <x v="0"/>
    <s v="No"/>
    <x v="2"/>
    <x v="0"/>
    <x v="0"/>
    <n v="0.2576"/>
    <x v="55"/>
    <x v="14"/>
    <n v="2"/>
    <n v="21"/>
    <n v="23"/>
  </r>
  <r>
    <n v="815"/>
    <x v="36"/>
    <x v="9"/>
    <x v="0"/>
    <s v="No"/>
    <x v="2"/>
    <x v="0"/>
    <x v="17"/>
    <n v="0.28789999999999999"/>
    <x v="34"/>
    <x v="14"/>
    <n v="7"/>
    <n v="38"/>
    <n v="45"/>
  </r>
  <r>
    <n v="816"/>
    <x v="36"/>
    <x v="10"/>
    <x v="0"/>
    <s v="No"/>
    <x v="2"/>
    <x v="0"/>
    <x v="11"/>
    <n v="0.28789999999999999"/>
    <x v="35"/>
    <x v="2"/>
    <n v="15"/>
    <n v="74"/>
    <n v="89"/>
  </r>
  <r>
    <n v="817"/>
    <x v="36"/>
    <x v="11"/>
    <x v="0"/>
    <s v="No"/>
    <x v="2"/>
    <x v="0"/>
    <x v="3"/>
    <n v="0.30299999999999999"/>
    <x v="36"/>
    <x v="2"/>
    <n v="28"/>
    <n v="89"/>
    <n v="117"/>
  </r>
  <r>
    <n v="818"/>
    <x v="36"/>
    <x v="12"/>
    <x v="0"/>
    <s v="No"/>
    <x v="2"/>
    <x v="0"/>
    <x v="10"/>
    <n v="0.33329999999999999"/>
    <x v="15"/>
    <x v="0"/>
    <n v="48"/>
    <n v="126"/>
    <n v="174"/>
  </r>
  <r>
    <n v="819"/>
    <x v="36"/>
    <x v="13"/>
    <x v="0"/>
    <s v="No"/>
    <x v="2"/>
    <x v="0"/>
    <x v="10"/>
    <n v="0.36359999999999998"/>
    <x v="15"/>
    <x v="0"/>
    <n v="47"/>
    <n v="135"/>
    <n v="182"/>
  </r>
  <r>
    <n v="820"/>
    <x v="36"/>
    <x v="14"/>
    <x v="0"/>
    <s v="No"/>
    <x v="2"/>
    <x v="0"/>
    <x v="10"/>
    <n v="0.34849999999999998"/>
    <x v="15"/>
    <x v="1"/>
    <n v="47"/>
    <n v="114"/>
    <n v="161"/>
  </r>
  <r>
    <n v="821"/>
    <x v="36"/>
    <x v="15"/>
    <x v="0"/>
    <s v="No"/>
    <x v="2"/>
    <x v="0"/>
    <x v="10"/>
    <n v="0.34849999999999998"/>
    <x v="15"/>
    <x v="1"/>
    <n v="52"/>
    <n v="130"/>
    <n v="182"/>
  </r>
  <r>
    <n v="822"/>
    <x v="36"/>
    <x v="16"/>
    <x v="0"/>
    <s v="No"/>
    <x v="2"/>
    <x v="0"/>
    <x v="10"/>
    <n v="0.34849999999999998"/>
    <x v="36"/>
    <x v="14"/>
    <n v="42"/>
    <n v="115"/>
    <n v="157"/>
  </r>
  <r>
    <n v="823"/>
    <x v="36"/>
    <x v="17"/>
    <x v="0"/>
    <s v="No"/>
    <x v="2"/>
    <x v="0"/>
    <x v="10"/>
    <n v="0.36359999999999998"/>
    <x v="15"/>
    <x v="0"/>
    <n v="24"/>
    <n v="97"/>
    <n v="121"/>
  </r>
  <r>
    <n v="824"/>
    <x v="36"/>
    <x v="18"/>
    <x v="0"/>
    <s v="No"/>
    <x v="2"/>
    <x v="0"/>
    <x v="11"/>
    <n v="0.30299999999999999"/>
    <x v="34"/>
    <x v="8"/>
    <n v="13"/>
    <n v="65"/>
    <n v="78"/>
  </r>
  <r>
    <n v="825"/>
    <x v="36"/>
    <x v="19"/>
    <x v="0"/>
    <s v="No"/>
    <x v="2"/>
    <x v="0"/>
    <x v="17"/>
    <n v="0.28789999999999999"/>
    <x v="53"/>
    <x v="7"/>
    <n v="1"/>
    <n v="20"/>
    <n v="21"/>
  </r>
  <r>
    <n v="826"/>
    <x v="36"/>
    <x v="20"/>
    <x v="0"/>
    <s v="No"/>
    <x v="2"/>
    <x v="0"/>
    <x v="17"/>
    <n v="0.28789999999999999"/>
    <x v="53"/>
    <x v="14"/>
    <n v="5"/>
    <n v="21"/>
    <n v="26"/>
  </r>
  <r>
    <n v="827"/>
    <x v="36"/>
    <x v="21"/>
    <x v="0"/>
    <s v="No"/>
    <x v="2"/>
    <x v="0"/>
    <x v="12"/>
    <n v="0.30299999999999999"/>
    <x v="54"/>
    <x v="0"/>
    <n v="5"/>
    <n v="22"/>
    <n v="27"/>
  </r>
  <r>
    <n v="828"/>
    <x v="36"/>
    <x v="22"/>
    <x v="0"/>
    <s v="No"/>
    <x v="2"/>
    <x v="0"/>
    <x v="12"/>
    <n v="0.30299999999999999"/>
    <x v="54"/>
    <x v="0"/>
    <n v="5"/>
    <n v="57"/>
    <n v="62"/>
  </r>
  <r>
    <n v="829"/>
    <x v="36"/>
    <x v="23"/>
    <x v="0"/>
    <s v="No"/>
    <x v="2"/>
    <x v="0"/>
    <x v="0"/>
    <n v="0.28789999999999999"/>
    <x v="55"/>
    <x v="0"/>
    <n v="4"/>
    <n v="26"/>
    <n v="30"/>
  </r>
  <r>
    <n v="830"/>
    <x v="37"/>
    <x v="0"/>
    <x v="0"/>
    <s v="No"/>
    <x v="3"/>
    <x v="0"/>
    <x v="0"/>
    <n v="0.28789999999999999"/>
    <x v="55"/>
    <x v="0"/>
    <n v="1"/>
    <n v="14"/>
    <n v="15"/>
  </r>
  <r>
    <n v="831"/>
    <x v="37"/>
    <x v="1"/>
    <x v="0"/>
    <s v="No"/>
    <x v="3"/>
    <x v="0"/>
    <x v="1"/>
    <n v="0.2727"/>
    <x v="2"/>
    <x v="0"/>
    <n v="1"/>
    <n v="4"/>
    <n v="5"/>
  </r>
  <r>
    <n v="832"/>
    <x v="37"/>
    <x v="2"/>
    <x v="0"/>
    <s v="No"/>
    <x v="3"/>
    <x v="0"/>
    <x v="2"/>
    <n v="0.2576"/>
    <x v="1"/>
    <x v="0"/>
    <n v="0"/>
    <n v="3"/>
    <n v="3"/>
  </r>
  <r>
    <n v="833"/>
    <x v="37"/>
    <x v="3"/>
    <x v="0"/>
    <s v="No"/>
    <x v="3"/>
    <x v="0"/>
    <x v="2"/>
    <n v="0.2576"/>
    <x v="3"/>
    <x v="0"/>
    <n v="0"/>
    <n v="1"/>
    <n v="1"/>
  </r>
  <r>
    <n v="834"/>
    <x v="37"/>
    <x v="4"/>
    <x v="0"/>
    <s v="No"/>
    <x v="3"/>
    <x v="0"/>
    <x v="2"/>
    <n v="0.2576"/>
    <x v="3"/>
    <x v="0"/>
    <n v="1"/>
    <n v="1"/>
    <n v="2"/>
  </r>
  <r>
    <n v="835"/>
    <x v="37"/>
    <x v="5"/>
    <x v="0"/>
    <s v="No"/>
    <x v="3"/>
    <x v="0"/>
    <x v="2"/>
    <n v="0.2576"/>
    <x v="3"/>
    <x v="0"/>
    <n v="1"/>
    <n v="9"/>
    <n v="10"/>
  </r>
  <r>
    <n v="836"/>
    <x v="37"/>
    <x v="6"/>
    <x v="0"/>
    <s v="No"/>
    <x v="3"/>
    <x v="0"/>
    <x v="15"/>
    <n v="0.2424"/>
    <x v="43"/>
    <x v="0"/>
    <n v="1"/>
    <n v="29"/>
    <n v="30"/>
  </r>
  <r>
    <n v="837"/>
    <x v="37"/>
    <x v="7"/>
    <x v="0"/>
    <s v="No"/>
    <x v="3"/>
    <x v="0"/>
    <x v="15"/>
    <n v="0.2424"/>
    <x v="3"/>
    <x v="0"/>
    <n v="6"/>
    <n v="89"/>
    <n v="95"/>
  </r>
  <r>
    <n v="838"/>
    <x v="37"/>
    <x v="8"/>
    <x v="0"/>
    <s v="No"/>
    <x v="3"/>
    <x v="1"/>
    <x v="13"/>
    <n v="0.2273"/>
    <x v="11"/>
    <x v="0"/>
    <n v="7"/>
    <n v="223"/>
    <n v="230"/>
  </r>
  <r>
    <n v="839"/>
    <x v="37"/>
    <x v="9"/>
    <x v="0"/>
    <s v="No"/>
    <x v="3"/>
    <x v="0"/>
    <x v="1"/>
    <n v="0.2727"/>
    <x v="1"/>
    <x v="0"/>
    <n v="3"/>
    <n v="115"/>
    <n v="118"/>
  </r>
  <r>
    <n v="840"/>
    <x v="37"/>
    <x v="10"/>
    <x v="0"/>
    <s v="No"/>
    <x v="3"/>
    <x v="0"/>
    <x v="0"/>
    <n v="0.2576"/>
    <x v="2"/>
    <x v="14"/>
    <n v="6"/>
    <n v="49"/>
    <n v="55"/>
  </r>
  <r>
    <n v="841"/>
    <x v="37"/>
    <x v="11"/>
    <x v="0"/>
    <s v="No"/>
    <x v="3"/>
    <x v="0"/>
    <x v="11"/>
    <n v="0.31819999999999998"/>
    <x v="55"/>
    <x v="1"/>
    <n v="11"/>
    <n v="36"/>
    <n v="47"/>
  </r>
  <r>
    <n v="842"/>
    <x v="37"/>
    <x v="12"/>
    <x v="0"/>
    <s v="No"/>
    <x v="3"/>
    <x v="1"/>
    <x v="3"/>
    <n v="0.34849999999999998"/>
    <x v="51"/>
    <x v="0"/>
    <n v="7"/>
    <n v="59"/>
    <n v="66"/>
  </r>
  <r>
    <n v="843"/>
    <x v="37"/>
    <x v="13"/>
    <x v="0"/>
    <s v="No"/>
    <x v="3"/>
    <x v="1"/>
    <x v="5"/>
    <n v="0.36359999999999998"/>
    <x v="14"/>
    <x v="1"/>
    <n v="10"/>
    <n v="54"/>
    <n v="64"/>
  </r>
  <r>
    <n v="844"/>
    <x v="37"/>
    <x v="14"/>
    <x v="0"/>
    <s v="No"/>
    <x v="3"/>
    <x v="1"/>
    <x v="5"/>
    <n v="0.36359999999999998"/>
    <x v="14"/>
    <x v="1"/>
    <n v="8"/>
    <n v="52"/>
    <n v="60"/>
  </r>
  <r>
    <n v="845"/>
    <x v="37"/>
    <x v="15"/>
    <x v="0"/>
    <s v="No"/>
    <x v="3"/>
    <x v="1"/>
    <x v="4"/>
    <n v="0.39389999999999997"/>
    <x v="47"/>
    <x v="1"/>
    <n v="4"/>
    <n v="46"/>
    <n v="50"/>
  </r>
  <r>
    <n v="846"/>
    <x v="37"/>
    <x v="16"/>
    <x v="0"/>
    <s v="No"/>
    <x v="3"/>
    <x v="1"/>
    <x v="5"/>
    <n v="0.34849999999999998"/>
    <x v="14"/>
    <x v="7"/>
    <n v="16"/>
    <n v="98"/>
    <n v="114"/>
  </r>
  <r>
    <n v="847"/>
    <x v="37"/>
    <x v="17"/>
    <x v="0"/>
    <s v="No"/>
    <x v="3"/>
    <x v="1"/>
    <x v="3"/>
    <n v="0.31819999999999998"/>
    <x v="56"/>
    <x v="8"/>
    <n v="9"/>
    <n v="207"/>
    <n v="216"/>
  </r>
  <r>
    <n v="848"/>
    <x v="37"/>
    <x v="18"/>
    <x v="0"/>
    <s v="No"/>
    <x v="3"/>
    <x v="1"/>
    <x v="10"/>
    <n v="0.33329999999999999"/>
    <x v="13"/>
    <x v="7"/>
    <n v="5"/>
    <n v="170"/>
    <n v="175"/>
  </r>
  <r>
    <n v="849"/>
    <x v="37"/>
    <x v="19"/>
    <x v="0"/>
    <s v="No"/>
    <x v="3"/>
    <x v="1"/>
    <x v="3"/>
    <n v="0.34849999999999998"/>
    <x v="56"/>
    <x v="0"/>
    <n v="5"/>
    <n v="123"/>
    <n v="128"/>
  </r>
  <r>
    <n v="850"/>
    <x v="37"/>
    <x v="20"/>
    <x v="0"/>
    <s v="No"/>
    <x v="3"/>
    <x v="1"/>
    <x v="3"/>
    <n v="0.33329999999999999"/>
    <x v="56"/>
    <x v="14"/>
    <n v="6"/>
    <n v="82"/>
    <n v="88"/>
  </r>
  <r>
    <n v="851"/>
    <x v="37"/>
    <x v="21"/>
    <x v="0"/>
    <s v="No"/>
    <x v="3"/>
    <x v="0"/>
    <x v="3"/>
    <n v="0.34849999999999998"/>
    <x v="56"/>
    <x v="0"/>
    <n v="3"/>
    <n v="75"/>
    <n v="78"/>
  </r>
  <r>
    <n v="852"/>
    <x v="37"/>
    <x v="22"/>
    <x v="0"/>
    <s v="No"/>
    <x v="3"/>
    <x v="0"/>
    <x v="17"/>
    <n v="0.30299999999999999"/>
    <x v="0"/>
    <x v="1"/>
    <n v="3"/>
    <n v="34"/>
    <n v="37"/>
  </r>
  <r>
    <n v="853"/>
    <x v="37"/>
    <x v="23"/>
    <x v="0"/>
    <s v="No"/>
    <x v="3"/>
    <x v="1"/>
    <x v="11"/>
    <n v="0.33329999999999999"/>
    <x v="0"/>
    <x v="0"/>
    <n v="6"/>
    <n v="19"/>
    <n v="25"/>
  </r>
  <r>
    <n v="854"/>
    <x v="38"/>
    <x v="0"/>
    <x v="0"/>
    <s v="No"/>
    <x v="4"/>
    <x v="1"/>
    <x v="17"/>
    <n v="0.31819999999999998"/>
    <x v="9"/>
    <x v="0"/>
    <n v="4"/>
    <n v="6"/>
    <n v="10"/>
  </r>
  <r>
    <n v="855"/>
    <x v="38"/>
    <x v="1"/>
    <x v="0"/>
    <s v="No"/>
    <x v="4"/>
    <x v="1"/>
    <x v="17"/>
    <n v="0.31819999999999998"/>
    <x v="9"/>
    <x v="0"/>
    <n v="0"/>
    <n v="4"/>
    <n v="4"/>
  </r>
  <r>
    <n v="856"/>
    <x v="38"/>
    <x v="2"/>
    <x v="0"/>
    <s v="No"/>
    <x v="4"/>
    <x v="1"/>
    <x v="12"/>
    <n v="0.2727"/>
    <x v="43"/>
    <x v="14"/>
    <n v="1"/>
    <n v="1"/>
    <n v="2"/>
  </r>
  <r>
    <n v="857"/>
    <x v="38"/>
    <x v="3"/>
    <x v="0"/>
    <s v="No"/>
    <x v="4"/>
    <x v="2"/>
    <x v="17"/>
    <n v="0.2727"/>
    <x v="43"/>
    <x v="8"/>
    <n v="0"/>
    <n v="1"/>
    <n v="1"/>
  </r>
  <r>
    <n v="858"/>
    <x v="38"/>
    <x v="4"/>
    <x v="0"/>
    <s v="No"/>
    <x v="4"/>
    <x v="0"/>
    <x v="12"/>
    <n v="0.2576"/>
    <x v="43"/>
    <x v="8"/>
    <n v="0"/>
    <n v="3"/>
    <n v="3"/>
  </r>
  <r>
    <n v="859"/>
    <x v="38"/>
    <x v="5"/>
    <x v="0"/>
    <s v="No"/>
    <x v="4"/>
    <x v="0"/>
    <x v="12"/>
    <n v="0.2273"/>
    <x v="0"/>
    <x v="9"/>
    <n v="0"/>
    <n v="2"/>
    <n v="2"/>
  </r>
  <r>
    <n v="860"/>
    <x v="38"/>
    <x v="6"/>
    <x v="0"/>
    <s v="No"/>
    <x v="4"/>
    <x v="0"/>
    <x v="12"/>
    <n v="0.2273"/>
    <x v="56"/>
    <x v="9"/>
    <n v="0"/>
    <n v="39"/>
    <n v="39"/>
  </r>
  <r>
    <n v="861"/>
    <x v="38"/>
    <x v="7"/>
    <x v="0"/>
    <s v="No"/>
    <x v="4"/>
    <x v="0"/>
    <x v="0"/>
    <n v="0.19700000000000001"/>
    <x v="55"/>
    <x v="12"/>
    <n v="3"/>
    <n v="97"/>
    <n v="100"/>
  </r>
  <r>
    <n v="862"/>
    <x v="38"/>
    <x v="8"/>
    <x v="0"/>
    <s v="No"/>
    <x v="4"/>
    <x v="0"/>
    <x v="0"/>
    <n v="0.19700000000000001"/>
    <x v="34"/>
    <x v="15"/>
    <n v="7"/>
    <n v="236"/>
    <n v="243"/>
  </r>
  <r>
    <n v="863"/>
    <x v="38"/>
    <x v="9"/>
    <x v="0"/>
    <s v="No"/>
    <x v="4"/>
    <x v="0"/>
    <x v="0"/>
    <n v="0.19700000000000001"/>
    <x v="35"/>
    <x v="15"/>
    <n v="7"/>
    <n v="128"/>
    <n v="135"/>
  </r>
  <r>
    <n v="864"/>
    <x v="38"/>
    <x v="10"/>
    <x v="0"/>
    <s v="No"/>
    <x v="4"/>
    <x v="0"/>
    <x v="1"/>
    <n v="0.18179999999999999"/>
    <x v="19"/>
    <x v="16"/>
    <n v="4"/>
    <n v="44"/>
    <n v="48"/>
  </r>
  <r>
    <n v="865"/>
    <x v="38"/>
    <x v="11"/>
    <x v="0"/>
    <s v="No"/>
    <x v="4"/>
    <x v="0"/>
    <x v="1"/>
    <n v="0.18179999999999999"/>
    <x v="19"/>
    <x v="17"/>
    <n v="1"/>
    <n v="49"/>
    <n v="50"/>
  </r>
  <r>
    <n v="866"/>
    <x v="38"/>
    <x v="12"/>
    <x v="0"/>
    <s v="No"/>
    <x v="4"/>
    <x v="0"/>
    <x v="0"/>
    <n v="0.19700000000000001"/>
    <x v="41"/>
    <x v="15"/>
    <n v="2"/>
    <n v="63"/>
    <n v="65"/>
  </r>
  <r>
    <n v="867"/>
    <x v="38"/>
    <x v="13"/>
    <x v="0"/>
    <s v="No"/>
    <x v="4"/>
    <x v="1"/>
    <x v="0"/>
    <n v="0.19700000000000001"/>
    <x v="25"/>
    <x v="10"/>
    <n v="2"/>
    <n v="48"/>
    <n v="50"/>
  </r>
  <r>
    <n v="868"/>
    <x v="38"/>
    <x v="14"/>
    <x v="0"/>
    <s v="No"/>
    <x v="4"/>
    <x v="0"/>
    <x v="1"/>
    <n v="0.19700000000000001"/>
    <x v="38"/>
    <x v="12"/>
    <n v="3"/>
    <n v="61"/>
    <n v="64"/>
  </r>
  <r>
    <n v="869"/>
    <x v="38"/>
    <x v="15"/>
    <x v="0"/>
    <s v="No"/>
    <x v="4"/>
    <x v="0"/>
    <x v="1"/>
    <n v="0.19700000000000001"/>
    <x v="23"/>
    <x v="13"/>
    <n v="6"/>
    <n v="45"/>
    <n v="51"/>
  </r>
  <r>
    <n v="870"/>
    <x v="38"/>
    <x v="16"/>
    <x v="0"/>
    <s v="No"/>
    <x v="4"/>
    <x v="0"/>
    <x v="1"/>
    <n v="0.18179999999999999"/>
    <x v="23"/>
    <x v="18"/>
    <n v="4"/>
    <n v="79"/>
    <n v="83"/>
  </r>
  <r>
    <n v="871"/>
    <x v="38"/>
    <x v="17"/>
    <x v="0"/>
    <s v="No"/>
    <x v="4"/>
    <x v="0"/>
    <x v="1"/>
    <n v="0.18179999999999999"/>
    <x v="25"/>
    <x v="19"/>
    <n v="4"/>
    <n v="172"/>
    <n v="176"/>
  </r>
  <r>
    <n v="872"/>
    <x v="38"/>
    <x v="18"/>
    <x v="0"/>
    <s v="No"/>
    <x v="4"/>
    <x v="0"/>
    <x v="2"/>
    <n v="0.18179999999999999"/>
    <x v="25"/>
    <x v="13"/>
    <n v="1"/>
    <n v="151"/>
    <n v="152"/>
  </r>
  <r>
    <n v="873"/>
    <x v="38"/>
    <x v="19"/>
    <x v="0"/>
    <s v="No"/>
    <x v="4"/>
    <x v="0"/>
    <x v="13"/>
    <n v="0.1212"/>
    <x v="22"/>
    <x v="17"/>
    <n v="1"/>
    <n v="100"/>
    <n v="101"/>
  </r>
  <r>
    <n v="874"/>
    <x v="38"/>
    <x v="20"/>
    <x v="0"/>
    <s v="No"/>
    <x v="4"/>
    <x v="0"/>
    <x v="13"/>
    <n v="0.13639999999999999"/>
    <x v="22"/>
    <x v="9"/>
    <n v="3"/>
    <n v="53"/>
    <n v="56"/>
  </r>
  <r>
    <n v="875"/>
    <x v="38"/>
    <x v="21"/>
    <x v="0"/>
    <s v="No"/>
    <x v="4"/>
    <x v="0"/>
    <x v="14"/>
    <n v="0.1061"/>
    <x v="39"/>
    <x v="17"/>
    <n v="8"/>
    <n v="46"/>
    <n v="54"/>
  </r>
  <r>
    <n v="876"/>
    <x v="38"/>
    <x v="22"/>
    <x v="0"/>
    <s v="No"/>
    <x v="4"/>
    <x v="0"/>
    <x v="16"/>
    <n v="0.1061"/>
    <x v="39"/>
    <x v="11"/>
    <n v="0"/>
    <n v="29"/>
    <n v="29"/>
  </r>
  <r>
    <n v="877"/>
    <x v="38"/>
    <x v="23"/>
    <x v="0"/>
    <s v="No"/>
    <x v="4"/>
    <x v="0"/>
    <x v="16"/>
    <n v="0.1061"/>
    <x v="39"/>
    <x v="9"/>
    <n v="3"/>
    <n v="9"/>
    <n v="12"/>
  </r>
  <r>
    <n v="878"/>
    <x v="39"/>
    <x v="0"/>
    <x v="0"/>
    <s v="No"/>
    <x v="5"/>
    <x v="0"/>
    <x v="18"/>
    <n v="7.5800000000000006E-2"/>
    <x v="42"/>
    <x v="11"/>
    <n v="0"/>
    <n v="17"/>
    <n v="17"/>
  </r>
  <r>
    <n v="879"/>
    <x v="39"/>
    <x v="1"/>
    <x v="0"/>
    <s v="No"/>
    <x v="5"/>
    <x v="0"/>
    <x v="18"/>
    <n v="0.1061"/>
    <x v="42"/>
    <x v="6"/>
    <n v="0"/>
    <n v="7"/>
    <n v="7"/>
  </r>
  <r>
    <n v="880"/>
    <x v="39"/>
    <x v="2"/>
    <x v="0"/>
    <s v="No"/>
    <x v="5"/>
    <x v="0"/>
    <x v="19"/>
    <n v="7.5800000000000006E-2"/>
    <x v="41"/>
    <x v="3"/>
    <n v="1"/>
    <n v="2"/>
    <n v="3"/>
  </r>
  <r>
    <n v="881"/>
    <x v="39"/>
    <x v="3"/>
    <x v="0"/>
    <s v="No"/>
    <x v="5"/>
    <x v="0"/>
    <x v="20"/>
    <n v="7.5800000000000006E-2"/>
    <x v="49"/>
    <x v="7"/>
    <n v="0"/>
    <n v="2"/>
    <n v="2"/>
  </r>
  <r>
    <n v="882"/>
    <x v="39"/>
    <x v="5"/>
    <x v="0"/>
    <s v="No"/>
    <x v="5"/>
    <x v="0"/>
    <x v="20"/>
    <n v="0.1061"/>
    <x v="49"/>
    <x v="14"/>
    <n v="0"/>
    <n v="7"/>
    <n v="7"/>
  </r>
  <r>
    <n v="883"/>
    <x v="39"/>
    <x v="6"/>
    <x v="0"/>
    <s v="No"/>
    <x v="5"/>
    <x v="0"/>
    <x v="20"/>
    <n v="0.1515"/>
    <x v="49"/>
    <x v="0"/>
    <n v="0"/>
    <n v="43"/>
    <n v="43"/>
  </r>
  <r>
    <n v="884"/>
    <x v="39"/>
    <x v="7"/>
    <x v="0"/>
    <s v="No"/>
    <x v="5"/>
    <x v="0"/>
    <x v="20"/>
    <n v="0.1061"/>
    <x v="36"/>
    <x v="14"/>
    <n v="4"/>
    <n v="95"/>
    <n v="99"/>
  </r>
  <r>
    <n v="885"/>
    <x v="39"/>
    <x v="8"/>
    <x v="0"/>
    <s v="No"/>
    <x v="5"/>
    <x v="0"/>
    <x v="18"/>
    <n v="0.13639999999999999"/>
    <x v="16"/>
    <x v="0"/>
    <n v="1"/>
    <n v="198"/>
    <n v="199"/>
  </r>
  <r>
    <n v="886"/>
    <x v="39"/>
    <x v="9"/>
    <x v="0"/>
    <s v="No"/>
    <x v="5"/>
    <x v="0"/>
    <x v="16"/>
    <n v="0.13639999999999999"/>
    <x v="17"/>
    <x v="8"/>
    <n v="4"/>
    <n v="119"/>
    <n v="123"/>
  </r>
  <r>
    <n v="887"/>
    <x v="39"/>
    <x v="10"/>
    <x v="0"/>
    <s v="No"/>
    <x v="5"/>
    <x v="0"/>
    <x v="14"/>
    <n v="0.18179999999999999"/>
    <x v="42"/>
    <x v="0"/>
    <n v="8"/>
    <n v="51"/>
    <n v="59"/>
  </r>
  <r>
    <n v="888"/>
    <x v="39"/>
    <x v="11"/>
    <x v="0"/>
    <s v="No"/>
    <x v="5"/>
    <x v="1"/>
    <x v="14"/>
    <n v="0.1515"/>
    <x v="21"/>
    <x v="8"/>
    <n v="1"/>
    <n v="40"/>
    <n v="41"/>
  </r>
  <r>
    <n v="889"/>
    <x v="39"/>
    <x v="12"/>
    <x v="0"/>
    <s v="No"/>
    <x v="5"/>
    <x v="1"/>
    <x v="15"/>
    <n v="0.18179999999999999"/>
    <x v="22"/>
    <x v="6"/>
    <n v="4"/>
    <n v="57"/>
    <n v="61"/>
  </r>
  <r>
    <n v="890"/>
    <x v="39"/>
    <x v="13"/>
    <x v="0"/>
    <s v="No"/>
    <x v="5"/>
    <x v="0"/>
    <x v="15"/>
    <n v="0.16669999999999999"/>
    <x v="22"/>
    <x v="2"/>
    <n v="2"/>
    <n v="67"/>
    <n v="69"/>
  </r>
  <r>
    <n v="891"/>
    <x v="39"/>
    <x v="14"/>
    <x v="0"/>
    <s v="No"/>
    <x v="5"/>
    <x v="0"/>
    <x v="2"/>
    <n v="0.18179999999999999"/>
    <x v="46"/>
    <x v="4"/>
    <n v="2"/>
    <n v="56"/>
    <n v="58"/>
  </r>
  <r>
    <n v="892"/>
    <x v="39"/>
    <x v="15"/>
    <x v="0"/>
    <s v="No"/>
    <x v="5"/>
    <x v="1"/>
    <x v="2"/>
    <n v="0.18179999999999999"/>
    <x v="46"/>
    <x v="3"/>
    <n v="3"/>
    <n v="61"/>
    <n v="64"/>
  </r>
  <r>
    <n v="893"/>
    <x v="39"/>
    <x v="16"/>
    <x v="0"/>
    <s v="No"/>
    <x v="5"/>
    <x v="1"/>
    <x v="2"/>
    <n v="0.19700000000000001"/>
    <x v="38"/>
    <x v="2"/>
    <n v="7"/>
    <n v="72"/>
    <n v="79"/>
  </r>
  <r>
    <n v="894"/>
    <x v="39"/>
    <x v="17"/>
    <x v="0"/>
    <s v="No"/>
    <x v="5"/>
    <x v="1"/>
    <x v="2"/>
    <n v="0.19700000000000001"/>
    <x v="46"/>
    <x v="2"/>
    <n v="9"/>
    <n v="157"/>
    <n v="166"/>
  </r>
  <r>
    <n v="895"/>
    <x v="39"/>
    <x v="18"/>
    <x v="0"/>
    <s v="No"/>
    <x v="5"/>
    <x v="1"/>
    <x v="15"/>
    <n v="0.16669999999999999"/>
    <x v="19"/>
    <x v="4"/>
    <n v="2"/>
    <n v="168"/>
    <n v="170"/>
  </r>
  <r>
    <n v="896"/>
    <x v="39"/>
    <x v="19"/>
    <x v="0"/>
    <s v="No"/>
    <x v="5"/>
    <x v="2"/>
    <x v="14"/>
    <n v="0.1212"/>
    <x v="3"/>
    <x v="2"/>
    <n v="1"/>
    <n v="87"/>
    <n v="88"/>
  </r>
  <r>
    <n v="897"/>
    <x v="39"/>
    <x v="20"/>
    <x v="0"/>
    <s v="No"/>
    <x v="5"/>
    <x v="2"/>
    <x v="14"/>
    <n v="0.1515"/>
    <x v="3"/>
    <x v="8"/>
    <n v="0"/>
    <n v="84"/>
    <n v="84"/>
  </r>
  <r>
    <n v="898"/>
    <x v="39"/>
    <x v="21"/>
    <x v="0"/>
    <s v="No"/>
    <x v="5"/>
    <x v="1"/>
    <x v="14"/>
    <n v="0.1515"/>
    <x v="3"/>
    <x v="8"/>
    <n v="0"/>
    <n v="83"/>
    <n v="83"/>
  </r>
  <r>
    <n v="899"/>
    <x v="39"/>
    <x v="22"/>
    <x v="0"/>
    <s v="No"/>
    <x v="5"/>
    <x v="2"/>
    <x v="13"/>
    <n v="0.16669999999999999"/>
    <x v="1"/>
    <x v="8"/>
    <n v="4"/>
    <n v="42"/>
    <n v="46"/>
  </r>
  <r>
    <n v="900"/>
    <x v="39"/>
    <x v="23"/>
    <x v="0"/>
    <s v="No"/>
    <x v="5"/>
    <x v="2"/>
    <x v="13"/>
    <n v="0.1515"/>
    <x v="1"/>
    <x v="5"/>
    <n v="0"/>
    <n v="37"/>
    <n v="37"/>
  </r>
  <r>
    <n v="901"/>
    <x v="40"/>
    <x v="0"/>
    <x v="0"/>
    <s v="No"/>
    <x v="6"/>
    <x v="2"/>
    <x v="14"/>
    <n v="0.13639999999999999"/>
    <x v="3"/>
    <x v="5"/>
    <n v="0"/>
    <n v="16"/>
    <n v="16"/>
  </r>
  <r>
    <n v="902"/>
    <x v="40"/>
    <x v="1"/>
    <x v="0"/>
    <s v="No"/>
    <x v="6"/>
    <x v="2"/>
    <x v="14"/>
    <n v="0.1515"/>
    <x v="1"/>
    <x v="7"/>
    <n v="0"/>
    <n v="7"/>
    <n v="7"/>
  </r>
  <r>
    <n v="903"/>
    <x v="40"/>
    <x v="2"/>
    <x v="0"/>
    <s v="No"/>
    <x v="6"/>
    <x v="2"/>
    <x v="14"/>
    <n v="0.1515"/>
    <x v="1"/>
    <x v="7"/>
    <n v="0"/>
    <n v="3"/>
    <n v="3"/>
  </r>
  <r>
    <n v="904"/>
    <x v="40"/>
    <x v="4"/>
    <x v="0"/>
    <s v="No"/>
    <x v="6"/>
    <x v="1"/>
    <x v="14"/>
    <n v="0.13639999999999999"/>
    <x v="29"/>
    <x v="6"/>
    <n v="0"/>
    <n v="1"/>
    <n v="1"/>
  </r>
  <r>
    <n v="905"/>
    <x v="40"/>
    <x v="5"/>
    <x v="0"/>
    <s v="No"/>
    <x v="6"/>
    <x v="1"/>
    <x v="16"/>
    <n v="0.1212"/>
    <x v="20"/>
    <x v="6"/>
    <n v="0"/>
    <n v="6"/>
    <n v="6"/>
  </r>
  <r>
    <n v="906"/>
    <x v="40"/>
    <x v="6"/>
    <x v="0"/>
    <s v="No"/>
    <x v="6"/>
    <x v="1"/>
    <x v="16"/>
    <n v="0.1212"/>
    <x v="47"/>
    <x v="3"/>
    <n v="0"/>
    <n v="26"/>
    <n v="26"/>
  </r>
  <r>
    <n v="907"/>
    <x v="40"/>
    <x v="7"/>
    <x v="0"/>
    <s v="No"/>
    <x v="6"/>
    <x v="0"/>
    <x v="18"/>
    <n v="7.5800000000000006E-2"/>
    <x v="20"/>
    <x v="12"/>
    <n v="0"/>
    <n v="99"/>
    <n v="99"/>
  </r>
  <r>
    <n v="908"/>
    <x v="40"/>
    <x v="8"/>
    <x v="0"/>
    <s v="No"/>
    <x v="6"/>
    <x v="0"/>
    <x v="18"/>
    <n v="7.5800000000000006E-2"/>
    <x v="36"/>
    <x v="9"/>
    <n v="5"/>
    <n v="173"/>
    <n v="178"/>
  </r>
  <r>
    <n v="909"/>
    <x v="40"/>
    <x v="9"/>
    <x v="0"/>
    <s v="No"/>
    <x v="6"/>
    <x v="0"/>
    <x v="16"/>
    <n v="0.1061"/>
    <x v="16"/>
    <x v="11"/>
    <n v="1"/>
    <n v="121"/>
    <n v="122"/>
  </r>
  <r>
    <n v="910"/>
    <x v="40"/>
    <x v="10"/>
    <x v="0"/>
    <s v="No"/>
    <x v="6"/>
    <x v="0"/>
    <x v="16"/>
    <n v="0.1061"/>
    <x v="16"/>
    <x v="4"/>
    <n v="1"/>
    <n v="34"/>
    <n v="35"/>
  </r>
  <r>
    <n v="911"/>
    <x v="40"/>
    <x v="11"/>
    <x v="0"/>
    <s v="No"/>
    <x v="6"/>
    <x v="0"/>
    <x v="14"/>
    <n v="0.1212"/>
    <x v="17"/>
    <x v="11"/>
    <n v="1"/>
    <n v="44"/>
    <n v="45"/>
  </r>
  <r>
    <n v="912"/>
    <x v="40"/>
    <x v="12"/>
    <x v="0"/>
    <s v="No"/>
    <x v="6"/>
    <x v="0"/>
    <x v="13"/>
    <n v="0.13639999999999999"/>
    <x v="46"/>
    <x v="13"/>
    <n v="4"/>
    <n v="65"/>
    <n v="69"/>
  </r>
  <r>
    <n v="913"/>
    <x v="40"/>
    <x v="13"/>
    <x v="0"/>
    <s v="No"/>
    <x v="6"/>
    <x v="0"/>
    <x v="15"/>
    <n v="0.16669999999999999"/>
    <x v="44"/>
    <x v="4"/>
    <n v="3"/>
    <n v="59"/>
    <n v="62"/>
  </r>
  <r>
    <n v="914"/>
    <x v="40"/>
    <x v="14"/>
    <x v="0"/>
    <s v="No"/>
    <x v="6"/>
    <x v="0"/>
    <x v="2"/>
    <n v="0.18179999999999999"/>
    <x v="57"/>
    <x v="3"/>
    <n v="6"/>
    <n v="42"/>
    <n v="48"/>
  </r>
  <r>
    <n v="915"/>
    <x v="40"/>
    <x v="15"/>
    <x v="0"/>
    <s v="No"/>
    <x v="6"/>
    <x v="0"/>
    <x v="2"/>
    <n v="0.19700000000000001"/>
    <x v="59"/>
    <x v="2"/>
    <n v="0"/>
    <n v="50"/>
    <n v="50"/>
  </r>
  <r>
    <n v="916"/>
    <x v="40"/>
    <x v="16"/>
    <x v="0"/>
    <s v="No"/>
    <x v="6"/>
    <x v="0"/>
    <x v="2"/>
    <n v="0.18179999999999999"/>
    <x v="57"/>
    <x v="4"/>
    <n v="4"/>
    <n v="76"/>
    <n v="80"/>
  </r>
  <r>
    <n v="917"/>
    <x v="40"/>
    <x v="17"/>
    <x v="0"/>
    <s v="No"/>
    <x v="6"/>
    <x v="0"/>
    <x v="15"/>
    <n v="0.18179999999999999"/>
    <x v="60"/>
    <x v="5"/>
    <n v="6"/>
    <n v="159"/>
    <n v="165"/>
  </r>
  <r>
    <n v="918"/>
    <x v="40"/>
    <x v="18"/>
    <x v="0"/>
    <s v="No"/>
    <x v="6"/>
    <x v="0"/>
    <x v="13"/>
    <n v="0.18179999999999999"/>
    <x v="40"/>
    <x v="7"/>
    <n v="3"/>
    <n v="157"/>
    <n v="160"/>
  </r>
  <r>
    <n v="919"/>
    <x v="40"/>
    <x v="19"/>
    <x v="0"/>
    <s v="No"/>
    <x v="6"/>
    <x v="0"/>
    <x v="14"/>
    <n v="0.16669999999999999"/>
    <x v="40"/>
    <x v="14"/>
    <n v="2"/>
    <n v="110"/>
    <n v="112"/>
  </r>
  <r>
    <n v="920"/>
    <x v="40"/>
    <x v="20"/>
    <x v="0"/>
    <s v="No"/>
    <x v="6"/>
    <x v="0"/>
    <x v="14"/>
    <n v="0.18179999999999999"/>
    <x v="61"/>
    <x v="1"/>
    <n v="4"/>
    <n v="93"/>
    <n v="97"/>
  </r>
  <r>
    <n v="921"/>
    <x v="40"/>
    <x v="21"/>
    <x v="0"/>
    <s v="No"/>
    <x v="6"/>
    <x v="0"/>
    <x v="14"/>
    <n v="0.21210000000000001"/>
    <x v="17"/>
    <x v="0"/>
    <n v="2"/>
    <n v="70"/>
    <n v="72"/>
  </r>
  <r>
    <n v="922"/>
    <x v="40"/>
    <x v="22"/>
    <x v="0"/>
    <s v="No"/>
    <x v="6"/>
    <x v="0"/>
    <x v="16"/>
    <n v="0.19700000000000001"/>
    <x v="17"/>
    <x v="0"/>
    <n v="4"/>
    <n v="47"/>
    <n v="51"/>
  </r>
  <r>
    <n v="923"/>
    <x v="40"/>
    <x v="23"/>
    <x v="0"/>
    <s v="No"/>
    <x v="6"/>
    <x v="0"/>
    <x v="16"/>
    <n v="0.1515"/>
    <x v="16"/>
    <x v="14"/>
    <n v="1"/>
    <n v="33"/>
    <n v="34"/>
  </r>
  <r>
    <n v="924"/>
    <x v="41"/>
    <x v="0"/>
    <x v="0"/>
    <s v="No"/>
    <x v="0"/>
    <x v="0"/>
    <x v="18"/>
    <n v="0.13639999999999999"/>
    <x v="36"/>
    <x v="14"/>
    <n v="2"/>
    <n v="12"/>
    <n v="14"/>
  </r>
  <r>
    <n v="925"/>
    <x v="41"/>
    <x v="1"/>
    <x v="0"/>
    <s v="No"/>
    <x v="0"/>
    <x v="0"/>
    <x v="18"/>
    <n v="0.13639999999999999"/>
    <x v="47"/>
    <x v="1"/>
    <n v="1"/>
    <n v="6"/>
    <n v="7"/>
  </r>
  <r>
    <n v="926"/>
    <x v="41"/>
    <x v="2"/>
    <x v="0"/>
    <s v="No"/>
    <x v="0"/>
    <x v="0"/>
    <x v="18"/>
    <n v="0.13639999999999999"/>
    <x v="47"/>
    <x v="1"/>
    <n v="0"/>
    <n v="3"/>
    <n v="3"/>
  </r>
  <r>
    <n v="927"/>
    <x v="41"/>
    <x v="5"/>
    <x v="0"/>
    <s v="No"/>
    <x v="0"/>
    <x v="0"/>
    <x v="19"/>
    <n v="0.1212"/>
    <x v="30"/>
    <x v="1"/>
    <n v="0"/>
    <n v="4"/>
    <n v="4"/>
  </r>
  <r>
    <n v="928"/>
    <x v="41"/>
    <x v="6"/>
    <x v="0"/>
    <s v="No"/>
    <x v="0"/>
    <x v="0"/>
    <x v="18"/>
    <n v="0.18179999999999999"/>
    <x v="31"/>
    <x v="0"/>
    <n v="1"/>
    <n v="23"/>
    <n v="24"/>
  </r>
  <r>
    <n v="929"/>
    <x v="41"/>
    <x v="7"/>
    <x v="0"/>
    <s v="No"/>
    <x v="0"/>
    <x v="0"/>
    <x v="19"/>
    <n v="0.16669999999999999"/>
    <x v="62"/>
    <x v="0"/>
    <n v="1"/>
    <n v="73"/>
    <n v="74"/>
  </r>
  <r>
    <n v="930"/>
    <x v="41"/>
    <x v="8"/>
    <x v="0"/>
    <s v="No"/>
    <x v="0"/>
    <x v="0"/>
    <x v="18"/>
    <n v="0.1212"/>
    <x v="32"/>
    <x v="8"/>
    <n v="4"/>
    <n v="212"/>
    <n v="216"/>
  </r>
  <r>
    <n v="931"/>
    <x v="41"/>
    <x v="9"/>
    <x v="0"/>
    <s v="No"/>
    <x v="0"/>
    <x v="0"/>
    <x v="16"/>
    <n v="0.1212"/>
    <x v="32"/>
    <x v="6"/>
    <n v="8"/>
    <n v="132"/>
    <n v="140"/>
  </r>
  <r>
    <n v="932"/>
    <x v="41"/>
    <x v="10"/>
    <x v="0"/>
    <s v="No"/>
    <x v="0"/>
    <x v="0"/>
    <x v="14"/>
    <n v="0.13639999999999999"/>
    <x v="27"/>
    <x v="5"/>
    <n v="5"/>
    <n v="39"/>
    <n v="44"/>
  </r>
  <r>
    <n v="933"/>
    <x v="41"/>
    <x v="11"/>
    <x v="0"/>
    <s v="No"/>
    <x v="0"/>
    <x v="0"/>
    <x v="1"/>
    <n v="0.2273"/>
    <x v="19"/>
    <x v="7"/>
    <n v="12"/>
    <n v="52"/>
    <n v="64"/>
  </r>
  <r>
    <n v="934"/>
    <x v="41"/>
    <x v="12"/>
    <x v="0"/>
    <s v="No"/>
    <x v="0"/>
    <x v="0"/>
    <x v="1"/>
    <n v="0.2273"/>
    <x v="19"/>
    <x v="7"/>
    <n v="7"/>
    <n v="64"/>
    <n v="71"/>
  </r>
  <r>
    <n v="935"/>
    <x v="41"/>
    <x v="13"/>
    <x v="0"/>
    <s v="No"/>
    <x v="0"/>
    <x v="0"/>
    <x v="0"/>
    <n v="0.2273"/>
    <x v="23"/>
    <x v="5"/>
    <n v="21"/>
    <n v="89"/>
    <n v="110"/>
  </r>
  <r>
    <n v="936"/>
    <x v="41"/>
    <x v="14"/>
    <x v="0"/>
    <s v="No"/>
    <x v="0"/>
    <x v="0"/>
    <x v="11"/>
    <n v="0.28789999999999999"/>
    <x v="60"/>
    <x v="2"/>
    <n v="17"/>
    <n v="67"/>
    <n v="84"/>
  </r>
  <r>
    <n v="937"/>
    <x v="41"/>
    <x v="15"/>
    <x v="0"/>
    <s v="No"/>
    <x v="0"/>
    <x v="0"/>
    <x v="3"/>
    <n v="0.31819999999999998"/>
    <x v="58"/>
    <x v="8"/>
    <n v="12"/>
    <n v="62"/>
    <n v="74"/>
  </r>
  <r>
    <n v="938"/>
    <x v="41"/>
    <x v="16"/>
    <x v="0"/>
    <s v="No"/>
    <x v="0"/>
    <x v="0"/>
    <x v="11"/>
    <n v="0.28789999999999999"/>
    <x v="40"/>
    <x v="5"/>
    <n v="14"/>
    <n v="111"/>
    <n v="125"/>
  </r>
  <r>
    <n v="939"/>
    <x v="41"/>
    <x v="17"/>
    <x v="0"/>
    <s v="No"/>
    <x v="0"/>
    <x v="0"/>
    <x v="11"/>
    <n v="0.33329999999999999"/>
    <x v="63"/>
    <x v="0"/>
    <n v="18"/>
    <n v="193"/>
    <n v="211"/>
  </r>
  <r>
    <n v="940"/>
    <x v="41"/>
    <x v="18"/>
    <x v="0"/>
    <s v="No"/>
    <x v="0"/>
    <x v="0"/>
    <x v="17"/>
    <n v="0.31819999999999998"/>
    <x v="40"/>
    <x v="0"/>
    <n v="9"/>
    <n v="165"/>
    <n v="174"/>
  </r>
  <r>
    <n v="941"/>
    <x v="41"/>
    <x v="19"/>
    <x v="0"/>
    <s v="No"/>
    <x v="0"/>
    <x v="0"/>
    <x v="12"/>
    <n v="0.30299999999999999"/>
    <x v="39"/>
    <x v="0"/>
    <n v="7"/>
    <n v="94"/>
    <n v="101"/>
  </r>
  <r>
    <n v="942"/>
    <x v="41"/>
    <x v="20"/>
    <x v="0"/>
    <s v="No"/>
    <x v="0"/>
    <x v="0"/>
    <x v="1"/>
    <n v="0.2273"/>
    <x v="28"/>
    <x v="7"/>
    <n v="2"/>
    <n v="61"/>
    <n v="63"/>
  </r>
  <r>
    <n v="943"/>
    <x v="41"/>
    <x v="21"/>
    <x v="0"/>
    <s v="No"/>
    <x v="0"/>
    <x v="0"/>
    <x v="2"/>
    <n v="0.21210000000000001"/>
    <x v="29"/>
    <x v="7"/>
    <n v="1"/>
    <n v="46"/>
    <n v="47"/>
  </r>
  <r>
    <n v="944"/>
    <x v="41"/>
    <x v="22"/>
    <x v="0"/>
    <s v="No"/>
    <x v="0"/>
    <x v="0"/>
    <x v="2"/>
    <n v="0.2273"/>
    <x v="26"/>
    <x v="1"/>
    <n v="2"/>
    <n v="41"/>
    <n v="43"/>
  </r>
  <r>
    <n v="945"/>
    <x v="41"/>
    <x v="23"/>
    <x v="0"/>
    <s v="No"/>
    <x v="0"/>
    <x v="0"/>
    <x v="15"/>
    <n v="0.2424"/>
    <x v="27"/>
    <x v="0"/>
    <n v="5"/>
    <n v="48"/>
    <n v="53"/>
  </r>
  <r>
    <n v="946"/>
    <x v="42"/>
    <x v="0"/>
    <x v="0"/>
    <s v="No"/>
    <x v="1"/>
    <x v="0"/>
    <x v="13"/>
    <n v="0.19700000000000001"/>
    <x v="27"/>
    <x v="1"/>
    <n v="3"/>
    <n v="27"/>
    <n v="30"/>
  </r>
  <r>
    <n v="947"/>
    <x v="42"/>
    <x v="1"/>
    <x v="0"/>
    <s v="No"/>
    <x v="1"/>
    <x v="0"/>
    <x v="14"/>
    <n v="0.21210000000000001"/>
    <x v="3"/>
    <x v="0"/>
    <n v="2"/>
    <n v="22"/>
    <n v="24"/>
  </r>
  <r>
    <n v="948"/>
    <x v="42"/>
    <x v="2"/>
    <x v="0"/>
    <s v="No"/>
    <x v="1"/>
    <x v="0"/>
    <x v="14"/>
    <n v="0.21210000000000001"/>
    <x v="1"/>
    <x v="0"/>
    <n v="2"/>
    <n v="13"/>
    <n v="15"/>
  </r>
  <r>
    <n v="949"/>
    <x v="42"/>
    <x v="3"/>
    <x v="0"/>
    <s v="No"/>
    <x v="1"/>
    <x v="0"/>
    <x v="16"/>
    <n v="0.19700000000000001"/>
    <x v="1"/>
    <x v="0"/>
    <n v="3"/>
    <n v="7"/>
    <n v="10"/>
  </r>
  <r>
    <n v="950"/>
    <x v="42"/>
    <x v="4"/>
    <x v="0"/>
    <s v="No"/>
    <x v="1"/>
    <x v="0"/>
    <x v="16"/>
    <n v="0.16669999999999999"/>
    <x v="32"/>
    <x v="1"/>
    <n v="0"/>
    <n v="4"/>
    <n v="4"/>
  </r>
  <r>
    <n v="951"/>
    <x v="42"/>
    <x v="5"/>
    <x v="0"/>
    <s v="No"/>
    <x v="1"/>
    <x v="0"/>
    <x v="16"/>
    <n v="0.16669999999999999"/>
    <x v="32"/>
    <x v="1"/>
    <n v="0"/>
    <n v="1"/>
    <n v="1"/>
  </r>
  <r>
    <n v="952"/>
    <x v="42"/>
    <x v="6"/>
    <x v="0"/>
    <s v="No"/>
    <x v="1"/>
    <x v="0"/>
    <x v="16"/>
    <n v="0.13639999999999999"/>
    <x v="43"/>
    <x v="5"/>
    <n v="1"/>
    <n v="1"/>
    <n v="2"/>
  </r>
  <r>
    <n v="953"/>
    <x v="42"/>
    <x v="7"/>
    <x v="0"/>
    <s v="No"/>
    <x v="1"/>
    <x v="0"/>
    <x v="16"/>
    <n v="0.1515"/>
    <x v="1"/>
    <x v="14"/>
    <n v="2"/>
    <n v="9"/>
    <n v="11"/>
  </r>
  <r>
    <n v="954"/>
    <x v="42"/>
    <x v="8"/>
    <x v="0"/>
    <s v="No"/>
    <x v="1"/>
    <x v="0"/>
    <x v="14"/>
    <n v="0.1515"/>
    <x v="3"/>
    <x v="7"/>
    <n v="2"/>
    <n v="28"/>
    <n v="30"/>
  </r>
  <r>
    <n v="955"/>
    <x v="42"/>
    <x v="9"/>
    <x v="0"/>
    <s v="No"/>
    <x v="1"/>
    <x v="0"/>
    <x v="13"/>
    <n v="0.18179999999999999"/>
    <x v="26"/>
    <x v="7"/>
    <n v="5"/>
    <n v="38"/>
    <n v="43"/>
  </r>
  <r>
    <n v="956"/>
    <x v="42"/>
    <x v="10"/>
    <x v="0"/>
    <s v="No"/>
    <x v="1"/>
    <x v="0"/>
    <x v="1"/>
    <n v="0.21210000000000001"/>
    <x v="48"/>
    <x v="2"/>
    <n v="13"/>
    <n v="71"/>
    <n v="84"/>
  </r>
  <r>
    <n v="957"/>
    <x v="42"/>
    <x v="11"/>
    <x v="0"/>
    <s v="No"/>
    <x v="1"/>
    <x v="0"/>
    <x v="11"/>
    <n v="0.2727"/>
    <x v="40"/>
    <x v="9"/>
    <n v="30"/>
    <n v="84"/>
    <n v="114"/>
  </r>
  <r>
    <n v="958"/>
    <x v="42"/>
    <x v="12"/>
    <x v="0"/>
    <s v="No"/>
    <x v="1"/>
    <x v="0"/>
    <x v="11"/>
    <n v="0.2727"/>
    <x v="17"/>
    <x v="17"/>
    <n v="27"/>
    <n v="93"/>
    <n v="120"/>
  </r>
  <r>
    <n v="959"/>
    <x v="42"/>
    <x v="13"/>
    <x v="0"/>
    <s v="No"/>
    <x v="1"/>
    <x v="0"/>
    <x v="11"/>
    <n v="0.2727"/>
    <x v="17"/>
    <x v="12"/>
    <n v="32"/>
    <n v="103"/>
    <n v="135"/>
  </r>
  <r>
    <n v="960"/>
    <x v="42"/>
    <x v="14"/>
    <x v="0"/>
    <s v="No"/>
    <x v="1"/>
    <x v="0"/>
    <x v="10"/>
    <n v="0.31819999999999998"/>
    <x v="61"/>
    <x v="3"/>
    <n v="30"/>
    <n v="90"/>
    <n v="120"/>
  </r>
  <r>
    <n v="961"/>
    <x v="42"/>
    <x v="15"/>
    <x v="0"/>
    <s v="No"/>
    <x v="1"/>
    <x v="0"/>
    <x v="10"/>
    <n v="0.30299999999999999"/>
    <x v="44"/>
    <x v="12"/>
    <n v="47"/>
    <n v="127"/>
    <n v="174"/>
  </r>
  <r>
    <n v="962"/>
    <x v="42"/>
    <x v="16"/>
    <x v="0"/>
    <s v="No"/>
    <x v="1"/>
    <x v="0"/>
    <x v="10"/>
    <n v="0.30299999999999999"/>
    <x v="44"/>
    <x v="12"/>
    <n v="42"/>
    <n v="103"/>
    <n v="145"/>
  </r>
  <r>
    <n v="963"/>
    <x v="42"/>
    <x v="17"/>
    <x v="0"/>
    <s v="No"/>
    <x v="1"/>
    <x v="0"/>
    <x v="3"/>
    <n v="0.28789999999999999"/>
    <x v="61"/>
    <x v="18"/>
    <n v="24"/>
    <n v="113"/>
    <n v="137"/>
  </r>
  <r>
    <n v="964"/>
    <x v="42"/>
    <x v="18"/>
    <x v="0"/>
    <s v="No"/>
    <x v="1"/>
    <x v="0"/>
    <x v="17"/>
    <n v="0.2576"/>
    <x v="41"/>
    <x v="9"/>
    <n v="4"/>
    <n v="60"/>
    <n v="64"/>
  </r>
  <r>
    <n v="965"/>
    <x v="42"/>
    <x v="19"/>
    <x v="0"/>
    <s v="No"/>
    <x v="1"/>
    <x v="0"/>
    <x v="17"/>
    <n v="0.2727"/>
    <x v="41"/>
    <x v="8"/>
    <n v="2"/>
    <n v="39"/>
    <n v="41"/>
  </r>
  <r>
    <n v="966"/>
    <x v="42"/>
    <x v="20"/>
    <x v="0"/>
    <s v="No"/>
    <x v="1"/>
    <x v="0"/>
    <x v="12"/>
    <n v="0.2576"/>
    <x v="48"/>
    <x v="6"/>
    <n v="1"/>
    <n v="39"/>
    <n v="40"/>
  </r>
  <r>
    <n v="967"/>
    <x v="42"/>
    <x v="21"/>
    <x v="0"/>
    <s v="No"/>
    <x v="1"/>
    <x v="0"/>
    <x v="12"/>
    <n v="0.30299999999999999"/>
    <x v="48"/>
    <x v="0"/>
    <n v="9"/>
    <n v="42"/>
    <n v="51"/>
  </r>
  <r>
    <n v="968"/>
    <x v="42"/>
    <x v="22"/>
    <x v="0"/>
    <s v="No"/>
    <x v="1"/>
    <x v="0"/>
    <x v="0"/>
    <n v="0.2576"/>
    <x v="18"/>
    <x v="1"/>
    <n v="6"/>
    <n v="39"/>
    <n v="45"/>
  </r>
  <r>
    <n v="969"/>
    <x v="42"/>
    <x v="23"/>
    <x v="0"/>
    <s v="No"/>
    <x v="1"/>
    <x v="0"/>
    <x v="1"/>
    <n v="0.2273"/>
    <x v="33"/>
    <x v="7"/>
    <n v="1"/>
    <n v="31"/>
    <n v="32"/>
  </r>
  <r>
    <n v="970"/>
    <x v="43"/>
    <x v="0"/>
    <x v="0"/>
    <s v="No"/>
    <x v="2"/>
    <x v="0"/>
    <x v="2"/>
    <n v="0.2273"/>
    <x v="26"/>
    <x v="14"/>
    <n v="5"/>
    <n v="34"/>
    <n v="39"/>
  </r>
  <r>
    <n v="971"/>
    <x v="43"/>
    <x v="1"/>
    <x v="0"/>
    <s v="No"/>
    <x v="2"/>
    <x v="0"/>
    <x v="2"/>
    <n v="0.2273"/>
    <x v="29"/>
    <x v="1"/>
    <n v="1"/>
    <n v="23"/>
    <n v="24"/>
  </r>
  <r>
    <n v="972"/>
    <x v="43"/>
    <x v="2"/>
    <x v="0"/>
    <s v="No"/>
    <x v="2"/>
    <x v="1"/>
    <x v="2"/>
    <n v="0.2273"/>
    <x v="2"/>
    <x v="1"/>
    <n v="1"/>
    <n v="19"/>
    <n v="20"/>
  </r>
  <r>
    <n v="973"/>
    <x v="43"/>
    <x v="3"/>
    <x v="0"/>
    <s v="No"/>
    <x v="2"/>
    <x v="1"/>
    <x v="2"/>
    <n v="0.2273"/>
    <x v="27"/>
    <x v="14"/>
    <n v="4"/>
    <n v="8"/>
    <n v="12"/>
  </r>
  <r>
    <n v="974"/>
    <x v="43"/>
    <x v="4"/>
    <x v="0"/>
    <s v="No"/>
    <x v="2"/>
    <x v="1"/>
    <x v="2"/>
    <n v="0.21210000000000001"/>
    <x v="27"/>
    <x v="8"/>
    <n v="0"/>
    <n v="2"/>
    <n v="2"/>
  </r>
  <r>
    <n v="975"/>
    <x v="43"/>
    <x v="6"/>
    <x v="0"/>
    <s v="No"/>
    <x v="2"/>
    <x v="1"/>
    <x v="2"/>
    <n v="0.21210000000000001"/>
    <x v="27"/>
    <x v="7"/>
    <n v="2"/>
    <n v="3"/>
    <n v="5"/>
  </r>
  <r>
    <n v="976"/>
    <x v="43"/>
    <x v="7"/>
    <x v="0"/>
    <s v="No"/>
    <x v="2"/>
    <x v="1"/>
    <x v="1"/>
    <n v="0.2727"/>
    <x v="28"/>
    <x v="0"/>
    <n v="0"/>
    <n v="3"/>
    <n v="3"/>
  </r>
  <r>
    <n v="977"/>
    <x v="43"/>
    <x v="8"/>
    <x v="0"/>
    <s v="No"/>
    <x v="2"/>
    <x v="1"/>
    <x v="1"/>
    <n v="0.2273"/>
    <x v="26"/>
    <x v="5"/>
    <n v="1"/>
    <n v="11"/>
    <n v="12"/>
  </r>
  <r>
    <n v="978"/>
    <x v="43"/>
    <x v="9"/>
    <x v="0"/>
    <s v="No"/>
    <x v="2"/>
    <x v="1"/>
    <x v="0"/>
    <n v="0.2273"/>
    <x v="54"/>
    <x v="6"/>
    <n v="12"/>
    <n v="35"/>
    <n v="47"/>
  </r>
  <r>
    <n v="979"/>
    <x v="43"/>
    <x v="10"/>
    <x v="0"/>
    <s v="No"/>
    <x v="2"/>
    <x v="0"/>
    <x v="11"/>
    <n v="0.2727"/>
    <x v="49"/>
    <x v="9"/>
    <n v="19"/>
    <n v="86"/>
    <n v="105"/>
  </r>
  <r>
    <n v="980"/>
    <x v="43"/>
    <x v="11"/>
    <x v="0"/>
    <s v="No"/>
    <x v="2"/>
    <x v="0"/>
    <x v="3"/>
    <n v="0.28789999999999999"/>
    <x v="17"/>
    <x v="10"/>
    <n v="26"/>
    <n v="86"/>
    <n v="112"/>
  </r>
  <r>
    <n v="981"/>
    <x v="43"/>
    <x v="12"/>
    <x v="0"/>
    <s v="No"/>
    <x v="2"/>
    <x v="0"/>
    <x v="5"/>
    <n v="0.31819999999999998"/>
    <x v="25"/>
    <x v="17"/>
    <n v="58"/>
    <n v="94"/>
    <n v="152"/>
  </r>
  <r>
    <n v="982"/>
    <x v="43"/>
    <x v="13"/>
    <x v="0"/>
    <s v="No"/>
    <x v="2"/>
    <x v="0"/>
    <x v="4"/>
    <n v="0.39389999999999997"/>
    <x v="44"/>
    <x v="11"/>
    <n v="62"/>
    <n v="92"/>
    <n v="154"/>
  </r>
  <r>
    <n v="983"/>
    <x v="43"/>
    <x v="14"/>
    <x v="0"/>
    <s v="No"/>
    <x v="2"/>
    <x v="1"/>
    <x v="9"/>
    <n v="0.40910000000000002"/>
    <x v="24"/>
    <x v="12"/>
    <n v="51"/>
    <n v="110"/>
    <n v="161"/>
  </r>
  <r>
    <n v="984"/>
    <x v="43"/>
    <x v="15"/>
    <x v="0"/>
    <s v="No"/>
    <x v="2"/>
    <x v="1"/>
    <x v="9"/>
    <n v="0.40910000000000002"/>
    <x v="24"/>
    <x v="4"/>
    <n v="40"/>
    <n v="122"/>
    <n v="162"/>
  </r>
  <r>
    <n v="985"/>
    <x v="43"/>
    <x v="16"/>
    <x v="0"/>
    <s v="No"/>
    <x v="2"/>
    <x v="1"/>
    <x v="6"/>
    <n v="0.42420000000000002"/>
    <x v="40"/>
    <x v="9"/>
    <n v="28"/>
    <n v="106"/>
    <n v="134"/>
  </r>
  <r>
    <n v="986"/>
    <x v="43"/>
    <x v="17"/>
    <x v="0"/>
    <s v="No"/>
    <x v="2"/>
    <x v="0"/>
    <x v="6"/>
    <n v="0.42420000000000002"/>
    <x v="40"/>
    <x v="9"/>
    <n v="30"/>
    <n v="95"/>
    <n v="125"/>
  </r>
  <r>
    <n v="987"/>
    <x v="43"/>
    <x v="18"/>
    <x v="0"/>
    <s v="No"/>
    <x v="2"/>
    <x v="0"/>
    <x v="9"/>
    <n v="0.40910000000000002"/>
    <x v="25"/>
    <x v="4"/>
    <n v="17"/>
    <n v="78"/>
    <n v="95"/>
  </r>
  <r>
    <n v="988"/>
    <x v="43"/>
    <x v="19"/>
    <x v="0"/>
    <s v="No"/>
    <x v="2"/>
    <x v="0"/>
    <x v="9"/>
    <n v="0.40910000000000002"/>
    <x v="23"/>
    <x v="3"/>
    <n v="11"/>
    <n v="50"/>
    <n v="61"/>
  </r>
  <r>
    <n v="989"/>
    <x v="43"/>
    <x v="20"/>
    <x v="0"/>
    <s v="No"/>
    <x v="2"/>
    <x v="0"/>
    <x v="9"/>
    <n v="0.40910000000000002"/>
    <x v="23"/>
    <x v="9"/>
    <n v="15"/>
    <n v="32"/>
    <n v="47"/>
  </r>
  <r>
    <n v="990"/>
    <x v="43"/>
    <x v="21"/>
    <x v="0"/>
    <s v="No"/>
    <x v="2"/>
    <x v="0"/>
    <x v="9"/>
    <n v="0.40910000000000002"/>
    <x v="23"/>
    <x v="11"/>
    <n v="6"/>
    <n v="45"/>
    <n v="51"/>
  </r>
  <r>
    <n v="991"/>
    <x v="43"/>
    <x v="22"/>
    <x v="0"/>
    <s v="No"/>
    <x v="2"/>
    <x v="0"/>
    <x v="9"/>
    <n v="0.40910000000000002"/>
    <x v="23"/>
    <x v="4"/>
    <n v="5"/>
    <n v="31"/>
    <n v="36"/>
  </r>
  <r>
    <n v="992"/>
    <x v="43"/>
    <x v="23"/>
    <x v="0"/>
    <s v="No"/>
    <x v="2"/>
    <x v="0"/>
    <x v="9"/>
    <n v="0.40910000000000002"/>
    <x v="23"/>
    <x v="11"/>
    <n v="3"/>
    <n v="27"/>
    <n v="30"/>
  </r>
  <r>
    <n v="993"/>
    <x v="44"/>
    <x v="0"/>
    <x v="0"/>
    <s v="No"/>
    <x v="3"/>
    <x v="0"/>
    <x v="4"/>
    <n v="0.39389999999999997"/>
    <x v="38"/>
    <x v="11"/>
    <n v="3"/>
    <n v="8"/>
    <n v="11"/>
  </r>
  <r>
    <n v="994"/>
    <x v="44"/>
    <x v="1"/>
    <x v="0"/>
    <s v="No"/>
    <x v="3"/>
    <x v="0"/>
    <x v="4"/>
    <n v="0.39389999999999997"/>
    <x v="38"/>
    <x v="11"/>
    <n v="1"/>
    <n v="6"/>
    <n v="7"/>
  </r>
  <r>
    <n v="995"/>
    <x v="44"/>
    <x v="2"/>
    <x v="0"/>
    <s v="No"/>
    <x v="3"/>
    <x v="0"/>
    <x v="5"/>
    <n v="0.33329999999999999"/>
    <x v="22"/>
    <x v="4"/>
    <n v="0"/>
    <n v="2"/>
    <n v="2"/>
  </r>
  <r>
    <n v="996"/>
    <x v="44"/>
    <x v="3"/>
    <x v="0"/>
    <s v="No"/>
    <x v="3"/>
    <x v="0"/>
    <x v="10"/>
    <n v="0.31819999999999998"/>
    <x v="15"/>
    <x v="6"/>
    <n v="1"/>
    <n v="1"/>
    <n v="2"/>
  </r>
  <r>
    <n v="997"/>
    <x v="44"/>
    <x v="4"/>
    <x v="0"/>
    <s v="No"/>
    <x v="3"/>
    <x v="0"/>
    <x v="3"/>
    <n v="0.30299999999999999"/>
    <x v="45"/>
    <x v="3"/>
    <n v="0"/>
    <n v="2"/>
    <n v="2"/>
  </r>
  <r>
    <n v="998"/>
    <x v="44"/>
    <x v="5"/>
    <x v="0"/>
    <s v="No"/>
    <x v="3"/>
    <x v="0"/>
    <x v="3"/>
    <n v="0.30299999999999999"/>
    <x v="45"/>
    <x v="3"/>
    <n v="0"/>
    <n v="3"/>
    <n v="3"/>
  </r>
  <r>
    <n v="999"/>
    <x v="44"/>
    <x v="6"/>
    <x v="0"/>
    <s v="No"/>
    <x v="3"/>
    <x v="0"/>
    <x v="10"/>
    <n v="0.30299999999999999"/>
    <x v="15"/>
    <x v="4"/>
    <n v="1"/>
    <n v="25"/>
    <n v="26"/>
  </r>
  <r>
    <n v="1000"/>
    <x v="44"/>
    <x v="7"/>
    <x v="0"/>
    <s v="No"/>
    <x v="3"/>
    <x v="0"/>
    <x v="10"/>
    <n v="0.30299999999999999"/>
    <x v="15"/>
    <x v="4"/>
    <n v="2"/>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CFC8A7-9BD6-4D66-99A2-33D8E1D28B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3:O8" firstHeaderRow="1" firstDataRow="1" firstDataCol="1"/>
  <pivotFields count="1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axis="axisRow" showAll="0">
      <items count="5">
        <item x="0"/>
        <item x="3"/>
        <item x="2"/>
        <item x="1"/>
        <item t="default"/>
      </items>
    </pivotField>
    <pivotField showAll="0"/>
    <pivotField showAll="0"/>
    <pivotField numFmtId="9" showAll="0"/>
    <pivotField showAll="0"/>
    <pivotField showAll="0"/>
    <pivotField showAll="0"/>
    <pivotField dataField="1" showAll="0"/>
  </pivotFields>
  <rowFields count="1">
    <field x="6"/>
  </rowFields>
  <rowItems count="5">
    <i>
      <x/>
    </i>
    <i>
      <x v="1"/>
    </i>
    <i>
      <x v="2"/>
    </i>
    <i>
      <x v="3"/>
    </i>
    <i t="grand">
      <x/>
    </i>
  </rowItems>
  <colItems count="1">
    <i/>
  </colItems>
  <dataFields count="1">
    <dataField name="Average of Casual and Registered" fld="13" subtotal="average" baseField="6" baseItem="0" numFmtId="2"/>
  </dataFields>
  <chartFormats count="4">
    <chartFormat chart="5"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F38B7-0780-432D-89CA-91C385ABE1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32" firstHeaderRow="1" firstDataRow="1" firstDataCol="1"/>
  <pivotFields count="14">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items count="5">
        <item x="0"/>
        <item x="3"/>
        <item x="2"/>
        <item x="1"/>
        <item t="default"/>
      </items>
    </pivotField>
    <pivotField showAll="0"/>
    <pivotField showAll="0"/>
    <pivotField numFmtId="9" showAll="0"/>
    <pivotField showAll="0"/>
    <pivotField showAll="0"/>
    <pivotField showAll="0"/>
    <pivotField dataField="1"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Casual and Registered" fld="1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9666BE-0A7B-4961-B85B-A2565CBFDCC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3:L11" firstHeaderRow="1" firstDataRow="1" firstDataCol="1"/>
  <pivotFields count="1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Row" showAll="0">
      <items count="8">
        <item x="3"/>
        <item x="4"/>
        <item x="5"/>
        <item x="0"/>
        <item x="1"/>
        <item x="2"/>
        <item x="6"/>
        <item t="default"/>
      </items>
    </pivotField>
    <pivotField showAll="0">
      <items count="5">
        <item x="0"/>
        <item x="3"/>
        <item x="2"/>
        <item x="1"/>
        <item t="default"/>
      </items>
    </pivotField>
    <pivotField showAll="0"/>
    <pivotField showAll="0"/>
    <pivotField numFmtId="9" showAll="0"/>
    <pivotField showAll="0"/>
    <pivotField showAll="0"/>
    <pivotField showAll="0"/>
    <pivotField dataField="1" showAll="0"/>
  </pivotFields>
  <rowFields count="1">
    <field x="5"/>
  </rowFields>
  <rowItems count="8">
    <i>
      <x/>
    </i>
    <i>
      <x v="1"/>
    </i>
    <i>
      <x v="2"/>
    </i>
    <i>
      <x v="3"/>
    </i>
    <i>
      <x v="4"/>
    </i>
    <i>
      <x v="5"/>
    </i>
    <i>
      <x v="6"/>
    </i>
    <i t="grand">
      <x/>
    </i>
  </rowItems>
  <colItems count="1">
    <i/>
  </colItems>
  <dataFields count="1">
    <dataField name="Sum of Casual and Registered" fld="13"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7AB59D-9980-4623-ADEA-A14F9A6DDD29}"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5" firstHeaderRow="1" firstDataRow="1" firstDataCol="1"/>
  <pivotFields count="1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5">
        <item x="0"/>
        <item x="3"/>
        <item x="2"/>
        <item x="1"/>
        <item t="default"/>
      </items>
    </pivotField>
    <pivotField showAll="0"/>
    <pivotField showAll="0"/>
    <pivotField numFmtId="9" showAll="0"/>
    <pivotField showAll="0"/>
    <pivotField dataField="1" showAll="0">
      <items count="33">
        <item sd="0" x="3"/>
        <item sd="0" x="5"/>
        <item sd="0" x="4"/>
        <item sd="0"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showAll="0"/>
  </pivotFields>
  <rowFields count="1">
    <field x="-2"/>
  </rowFields>
  <rowItems count="2">
    <i>
      <x/>
    </i>
    <i i="1">
      <x v="1"/>
    </i>
  </rowItems>
  <colItems count="1">
    <i/>
  </colItems>
  <dataFields count="2">
    <dataField name="Sum of Registered" fld="12" baseField="0" baseItem="0"/>
    <dataField name="Sum of Casual" fld="11" baseField="0" baseItem="0"/>
  </dataFields>
  <chartFormats count="3">
    <chartFormat chart="13" format="8" series="1">
      <pivotArea type="data" outline="0" fieldPosition="0">
        <references count="1">
          <reference field="4294967294" count="1" selected="0">
            <x v="0"/>
          </reference>
        </references>
      </pivotArea>
    </chartFormat>
    <chartFormat chart="13" format="9">
      <pivotArea type="data" outline="0" fieldPosition="0">
        <references count="1">
          <reference field="4294967294" count="1" selected="0">
            <x v="0"/>
          </reference>
        </references>
      </pivotArea>
    </chartFormat>
    <chartFormat chart="13" format="10">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D7FFDA-811B-40B0-80C3-9700A78E44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28" firstHeaderRow="1" firstDataRow="1" firstDataCol="1"/>
  <pivotFields count="1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5">
        <item x="0"/>
        <item x="3"/>
        <item x="2"/>
        <item x="1"/>
        <item t="default"/>
      </items>
    </pivotField>
    <pivotField showAll="0"/>
    <pivotField showAll="0"/>
    <pivotField numFmtId="9" showAll="0"/>
    <pivotField showAll="0"/>
    <pivotField showAll="0"/>
    <pivotField showAll="0"/>
    <pivotField dataField="1"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asual and Registered" fld="13"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4EDE45-B32D-4EC6-A114-51A2D2173191}" name="PivotTable32" cacheId="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BS3:BT49" firstHeaderRow="1" firstDataRow="1" firstDataCol="1"/>
  <pivotFields count="16">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8">
        <item x="3"/>
        <item x="4"/>
        <item x="5"/>
        <item x="0"/>
        <item x="1"/>
        <item x="2"/>
        <item x="6"/>
        <item t="default"/>
      </items>
    </pivotField>
    <pivotField showAll="0">
      <items count="5">
        <item x="0"/>
        <item x="1"/>
        <item x="2"/>
        <item x="3"/>
        <item t="default"/>
      </items>
    </pivotField>
    <pivotField showAll="0" sortType="ascending">
      <items count="24">
        <item x="22"/>
        <item x="21"/>
        <item x="20"/>
        <item x="19"/>
        <item x="18"/>
        <item x="16"/>
        <item x="14"/>
        <item x="13"/>
        <item x="15"/>
        <item x="2"/>
        <item x="1"/>
        <item x="0"/>
        <item x="12"/>
        <item x="17"/>
        <item x="11"/>
        <item x="3"/>
        <item x="10"/>
        <item x="5"/>
        <item x="4"/>
        <item x="9"/>
        <item x="6"/>
        <item x="8"/>
        <item x="7"/>
        <item t="default"/>
      </items>
    </pivotField>
    <pivotField showAll="0"/>
    <pivotField numFmtId="9"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Casual and Registered" fld="13" baseField="7" baseItem="3" numFmtId="2"/>
  </dataFields>
  <formats count="2">
    <format>
      <pivotArea outline="0" collapsedLevelsAreSubtotals="1" fieldPosition="0"/>
    </format>
    <format>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847DB7-3CCF-4E86-8C4B-D80B31CC8728}" name="PivotTable29" cacheId="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BE3:BF24"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8">
        <item x="3"/>
        <item x="4"/>
        <item x="5"/>
        <item x="0"/>
        <item x="1"/>
        <item x="2"/>
        <item x="6"/>
        <item t="default"/>
      </items>
    </pivotField>
    <pivotField showAll="0">
      <items count="5">
        <item x="0"/>
        <item x="1"/>
        <item x="2"/>
        <item x="3"/>
        <item t="default"/>
      </items>
    </pivotField>
    <pivotField showAll="0" sortType="ascending">
      <items count="24">
        <item x="22"/>
        <item x="21"/>
        <item x="20"/>
        <item x="19"/>
        <item x="18"/>
        <item x="16"/>
        <item x="14"/>
        <item x="13"/>
        <item x="15"/>
        <item x="2"/>
        <item x="1"/>
        <item x="0"/>
        <item x="12"/>
        <item x="17"/>
        <item x="11"/>
        <item x="3"/>
        <item x="10"/>
        <item x="5"/>
        <item x="4"/>
        <item x="9"/>
        <item x="6"/>
        <item x="8"/>
        <item x="7"/>
        <item t="default"/>
      </items>
    </pivotField>
    <pivotField showAll="0"/>
    <pivotField numFmtId="9"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axis="axisRow"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asual and Registered" fld="13" baseField="7" baseItem="3" numFmtId="2"/>
  </dataFields>
  <formats count="2">
    <format>
      <pivotArea outline="0" collapsedLevelsAreSubtotals="1" fieldPosition="0"/>
    </format>
    <format>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C397F4-DC5D-418B-8084-F40A14C7337B}" name="PivotTable20" cacheId="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Q4:AR69"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8">
        <item x="3"/>
        <item x="4"/>
        <item x="5"/>
        <item x="0"/>
        <item x="1"/>
        <item x="2"/>
        <item x="6"/>
        <item t="default"/>
      </items>
    </pivotField>
    <pivotField showAll="0">
      <items count="5">
        <item x="0"/>
        <item x="1"/>
        <item x="2"/>
        <item x="3"/>
        <item t="default"/>
      </items>
    </pivotField>
    <pivotField showAll="0" sortType="ascending">
      <items count="24">
        <item x="22"/>
        <item x="21"/>
        <item x="20"/>
        <item x="19"/>
        <item x="18"/>
        <item x="16"/>
        <item x="14"/>
        <item x="13"/>
        <item x="15"/>
        <item x="2"/>
        <item x="1"/>
        <item x="0"/>
        <item x="12"/>
        <item x="17"/>
        <item x="11"/>
        <item x="3"/>
        <item x="10"/>
        <item x="5"/>
        <item x="4"/>
        <item x="9"/>
        <item x="6"/>
        <item x="8"/>
        <item x="7"/>
        <item t="default"/>
      </items>
    </pivotField>
    <pivotField showAll="0"/>
    <pivotField axis="axisRow" numFmtId="9"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Sum of Casual and Registered" fld="13" baseField="7" baseItem="3" numFmtId="2"/>
  </dataFields>
  <formats count="2">
    <format>
      <pivotArea outline="0" collapsedLevelsAreSubtotals="1" fieldPosition="0"/>
    </format>
    <format>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5CB314-1CD5-4D30-8ECD-49712D74DF25}" name="PivotTable9" cacheId="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K4:AL28"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8">
        <item x="3"/>
        <item x="4"/>
        <item x="5"/>
        <item x="0"/>
        <item x="1"/>
        <item x="2"/>
        <item x="6"/>
        <item t="default"/>
      </items>
    </pivotField>
    <pivotField showAll="0">
      <items count="5">
        <item x="0"/>
        <item x="1"/>
        <item x="2"/>
        <item x="3"/>
        <item t="default"/>
      </items>
    </pivotField>
    <pivotField axis="axisRow" showAll="0" sortType="ascending">
      <items count="24">
        <item x="22"/>
        <item x="21"/>
        <item x="20"/>
        <item x="19"/>
        <item x="18"/>
        <item x="16"/>
        <item x="14"/>
        <item x="13"/>
        <item x="15"/>
        <item x="2"/>
        <item x="1"/>
        <item x="0"/>
        <item x="12"/>
        <item x="17"/>
        <item x="11"/>
        <item x="3"/>
        <item x="10"/>
        <item x="5"/>
        <item x="4"/>
        <item x="9"/>
        <item x="6"/>
        <item x="8"/>
        <item x="7"/>
        <item t="default"/>
      </items>
    </pivotField>
    <pivotField showAll="0"/>
    <pivotField numFmtId="9"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asual and Registered" fld="13" baseField="7" baseItem="3" numFmtId="2"/>
  </dataFields>
  <formats count="2">
    <format>
      <pivotArea outline="0" collapsedLevelsAreSubtotals="1" fieldPosition="0"/>
    </format>
    <format>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787A08-87B1-450D-80F4-288FBD0658C1}" name="PivotTable1" cacheId="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49" firstHeaderRow="1" firstDataRow="1" firstDataCol="1"/>
  <pivotFields count="16">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8">
        <item x="3"/>
        <item x="4"/>
        <item x="5"/>
        <item x="0"/>
        <item x="1"/>
        <item x="2"/>
        <item x="6"/>
        <item t="default"/>
      </items>
    </pivotField>
    <pivotField showAll="0">
      <items count="5">
        <item x="0"/>
        <item x="3"/>
        <item x="2"/>
        <item x="1"/>
        <item t="default"/>
      </items>
    </pivotField>
    <pivotField showAll="0"/>
    <pivotField showAll="0"/>
    <pivotField numFmtId="9"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Casual and Registered" fld="13" baseField="0" baseItem="0"/>
  </dataField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7339B6-4CA9-4C83-A549-5513BCE1DB96}" name="PivotTable6" cacheId="52"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28">
  <location ref="AG3:AH5"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2">
        <item x="0"/>
        <item t="default"/>
      </items>
    </pivotField>
    <pivotField showAll="0"/>
    <pivotField showAll="0">
      <items count="8">
        <item x="3"/>
        <item x="4"/>
        <item x="5"/>
        <item x="0"/>
        <item x="1"/>
        <item x="2"/>
        <item x="6"/>
        <item t="default"/>
      </items>
    </pivotField>
    <pivotField showAll="0">
      <items count="5">
        <item x="0"/>
        <item x="3"/>
        <item x="2"/>
        <item x="1"/>
        <item t="default"/>
      </items>
    </pivotField>
    <pivotField showAll="0"/>
    <pivotField showAll="0"/>
    <pivotField numFmtId="9"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i>
    <i t="grand">
      <x/>
    </i>
  </rowItems>
  <colItems count="1">
    <i/>
  </colItems>
  <dataFields count="1">
    <dataField name="Sum of Casual and Registered" fld="13" baseField="3" baseItem="0"/>
  </dataFields>
  <formats count="2">
    <format>
      <pivotArea outline="0" collapsedLevelsAreSubtotals="1" fieldPosition="0"/>
    </format>
    <format>
      <pivotArea dataOnly="0" labelOnly="1" outline="0" axis="axisValues" fieldPosition="0"/>
    </format>
  </formats>
  <chartFormats count="4">
    <chartFormat chart="20" format="0"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7" format="4">
      <pivotArea type="data" outline="0" fieldPosition="0">
        <references count="2">
          <reference field="4294967294" count="1" selected="0">
            <x v="0"/>
          </reference>
          <reference field="3" count="1" selected="0">
            <x v="0"/>
          </reference>
        </references>
      </pivotArea>
    </chartFormat>
    <chartFormat chart="20" format="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E3D87A-A287-40A0-9C3E-ED7C8FAE1120}" name="PivotTable5" cacheId="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A3:AB11"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Row" showAll="0">
      <items count="8">
        <item x="3"/>
        <item x="4"/>
        <item x="5"/>
        <item x="0"/>
        <item x="1"/>
        <item x="2"/>
        <item x="6"/>
        <item t="default"/>
      </items>
    </pivotField>
    <pivotField showAll="0">
      <items count="5">
        <item x="0"/>
        <item x="1"/>
        <item x="2"/>
        <item x="3"/>
        <item t="default"/>
      </items>
    </pivotField>
    <pivotField showAll="0"/>
    <pivotField showAll="0"/>
    <pivotField numFmtId="9"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8">
    <i>
      <x/>
    </i>
    <i>
      <x v="1"/>
    </i>
    <i>
      <x v="2"/>
    </i>
    <i>
      <x v="3"/>
    </i>
    <i>
      <x v="4"/>
    </i>
    <i>
      <x v="5"/>
    </i>
    <i>
      <x v="6"/>
    </i>
    <i t="grand">
      <x/>
    </i>
  </rowItems>
  <colItems count="1">
    <i/>
  </colItems>
  <dataFields count="1">
    <dataField name="Average of Casual and Registered" fld="13" subtotal="average" baseField="2" baseItem="9" numFmtId="2"/>
  </dataFields>
  <formats count="2">
    <format>
      <pivotArea outline="0" collapsedLevelsAreSubtotals="1" fieldPosition="0"/>
    </format>
    <format>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C0528D-87D8-4CA1-BA1C-47CDAC148A08}" name="PivotTable4" cacheId="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X3:Y8"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8">
        <item x="3"/>
        <item x="4"/>
        <item x="5"/>
        <item x="0"/>
        <item x="1"/>
        <item x="2"/>
        <item x="6"/>
        <item t="default"/>
      </items>
    </pivotField>
    <pivotField axis="axisRow" showAll="0">
      <items count="5">
        <item x="0"/>
        <item x="1"/>
        <item x="2"/>
        <item x="3"/>
        <item t="default"/>
      </items>
    </pivotField>
    <pivotField showAll="0"/>
    <pivotField showAll="0"/>
    <pivotField numFmtId="9"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i>
    <i>
      <x v="1"/>
    </i>
    <i>
      <x v="2"/>
    </i>
    <i>
      <x v="3"/>
    </i>
    <i t="grand">
      <x/>
    </i>
  </rowItems>
  <colItems count="1">
    <i/>
  </colItems>
  <dataFields count="1">
    <dataField name="Average of Casual and Registered" fld="13" subtotal="average" baseField="2" baseItem="9" numFmtId="2"/>
  </dataFields>
  <formats count="2">
    <format>
      <pivotArea outline="0" collapsedLevelsAreSubtotals="1" fieldPosition="0"/>
    </format>
    <format>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6" count="1" selected="0">
            <x v="3"/>
          </reference>
        </references>
      </pivotArea>
    </chartFormat>
    <chartFormat chart="20" format="2">
      <pivotArea type="data" outline="0" fieldPosition="0">
        <references count="2">
          <reference field="4294967294" count="1" selected="0">
            <x v="0"/>
          </reference>
          <reference field="6" count="1" selected="0">
            <x v="2"/>
          </reference>
        </references>
      </pivotArea>
    </chartFormat>
    <chartFormat chart="20" format="2">
      <pivotArea type="data" outline="0" fieldPosition="0">
        <references count="2">
          <reference field="4294967294" count="1" selected="0">
            <x v="0"/>
          </reference>
          <reference field="6" count="1" selected="0">
            <x v="0"/>
          </reference>
        </references>
      </pivotArea>
    </chartFormat>
    <chartFormat chart="20" format="3">
      <pivotArea type="data" outline="0" fieldPosition="0">
        <references count="2">
          <reference field="4294967294" count="1" selected="0">
            <x v="0"/>
          </reference>
          <reference field="6" count="1" selected="0">
            <x v="1"/>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6" count="1" selected="0">
            <x v="0"/>
          </reference>
        </references>
      </pivotArea>
    </chartFormat>
    <chartFormat chart="23" format="11">
      <pivotArea type="data" outline="0" fieldPosition="0">
        <references count="2">
          <reference field="4294967294" count="1" selected="0">
            <x v="0"/>
          </reference>
          <reference field="6" count="1" selected="0">
            <x v="1"/>
          </reference>
        </references>
      </pivotArea>
    </chartFormat>
    <chartFormat chart="23" format="12">
      <pivotArea type="data" outline="0" fieldPosition="0">
        <references count="2">
          <reference field="4294967294" count="1" selected="0">
            <x v="0"/>
          </reference>
          <reference field="6" count="1" selected="0">
            <x v="2"/>
          </reference>
        </references>
      </pivotArea>
    </chartFormat>
    <chartFormat chart="23" format="13">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6C09617-52D1-48A9-88B8-83D2748818E4}" name="PivotTable3" cacheId="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T3:U28"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8">
        <item x="3"/>
        <item x="4"/>
        <item x="5"/>
        <item x="0"/>
        <item x="1"/>
        <item x="2"/>
        <item x="6"/>
        <item t="default"/>
      </items>
    </pivotField>
    <pivotField showAll="0">
      <items count="5">
        <item x="0"/>
        <item x="3"/>
        <item x="2"/>
        <item x="1"/>
        <item t="default"/>
      </items>
    </pivotField>
    <pivotField showAll="0"/>
    <pivotField showAll="0"/>
    <pivotField numFmtId="9"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asual and Registered" fld="13" subtotal="average" baseField="2" baseItem="9" numFmtId="2"/>
  </dataFields>
  <formats count="5">
    <format dxfId="79">
      <pivotArea field="2" type="button" dataOnly="0" labelOnly="1" outline="0" axis="axisRow" fieldPosition="0"/>
    </format>
    <format dxfId="78">
      <pivotArea dataOnly="0" labelOnly="1" fieldPosition="0">
        <references count="1">
          <reference field="2" count="0"/>
        </references>
      </pivotArea>
    </format>
    <format dxfId="77">
      <pivotArea dataOnly="0" labelOnly="1" grandRow="1" outline="0" fieldPosition="0"/>
    </format>
    <format dxfId="76">
      <pivotArea outline="0" collapsedLevelsAreSubtotals="1" fieldPosition="0"/>
    </format>
    <format dxfId="7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9F390D1-90C6-41D3-A316-3D7A867DC3CE}" name="PivotTable2" cacheId="52"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O3:P5"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8">
        <item x="3"/>
        <item x="4"/>
        <item x="5"/>
        <item x="0"/>
        <item x="1"/>
        <item x="2"/>
        <item x="6"/>
        <item t="default"/>
      </items>
    </pivotField>
    <pivotField showAll="0">
      <items count="5">
        <item x="0"/>
        <item x="3"/>
        <item x="2"/>
        <item x="1"/>
        <item t="default"/>
      </items>
    </pivotField>
    <pivotField showAll="0"/>
    <pivotField showAll="0"/>
    <pivotField numFmtId="9" showAll="0"/>
    <pivotField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
    <i>
      <x/>
    </i>
    <i i="1">
      <x v="1"/>
    </i>
  </rowItems>
  <colItems count="1">
    <i/>
  </colItems>
  <dataFields count="2">
    <dataField name=" Registered" fld="12" baseField="0" baseItem="0"/>
    <dataField name=" Casual" fld="11" baseField="0" baseItem="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1">
          <reference field="4294967294" count="1" selected="0">
            <x v="0"/>
          </reference>
        </references>
      </pivotArea>
    </chartFormat>
    <chartFormat chart="5" format="2">
      <pivotArea type="data" outline="0" fieldPosition="0">
        <references count="1">
          <reference field="429496729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1">
          <reference field="4294967294" count="1" selected="0">
            <x v="0"/>
          </reference>
        </references>
      </pivotArea>
    </chartFormat>
    <chartFormat chart="12" format="8">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FD48E344-8E64-4574-966A-02D5FA516485}" autoFormatId="16" applyNumberFormats="0" applyBorderFormats="0" applyFontFormats="0" applyPatternFormats="0" applyAlignmentFormats="0" applyWidthHeightFormats="0">
  <queryTableRefresh nextId="15">
    <queryTableFields count="14">
      <queryTableField id="1" name="Instant" tableColumnId="1"/>
      <queryTableField id="2" name="Date" tableColumnId="2"/>
      <queryTableField id="3" name="Time" tableColumnId="3"/>
      <queryTableField id="4" name="Season" tableColumnId="4"/>
      <queryTableField id="5" name="Holiday" tableColumnId="5"/>
      <queryTableField id="6" name="Weekday" tableColumnId="6"/>
      <queryTableField id="7" name="Weather Condition" tableColumnId="7"/>
      <queryTableField id="8" name="Temperature" tableColumnId="8"/>
      <queryTableField id="9" name="Assumed Temperature" tableColumnId="9"/>
      <queryTableField id="10" name="Humidity" tableColumnId="10"/>
      <queryTableField id="11" name="Windspeed" tableColumnId="11"/>
      <queryTableField id="12" name="Casual" tableColumnId="12"/>
      <queryTableField id="13" name="Registered" tableColumnId="13"/>
      <queryTableField id="14" name="Casual and Registered"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44AC38AF-FC39-4EF0-9379-1D081053EE6B}" sourceName="Weekday">
  <pivotTables>
    <pivotTable tabId="18" name="PivotTable5"/>
    <pivotTable tabId="18" name="PivotTable1"/>
    <pivotTable tabId="18" name="PivotTable2"/>
    <pivotTable tabId="18" name="PivotTable20"/>
    <pivotTable tabId="18" name="PivotTable29"/>
    <pivotTable tabId="18" name="PivotTable3"/>
    <pivotTable tabId="18" name="PivotTable32"/>
    <pivotTable tabId="18" name="PivotTable4"/>
    <pivotTable tabId="18" name="PivotTable6"/>
    <pivotTable tabId="18" name="PivotTable9"/>
  </pivotTables>
  <data>
    <tabular pivotCacheId="1777134920">
      <items count="7">
        <i x="3" s="1"/>
        <i x="4" s="1"/>
        <i x="5" s="1"/>
        <i x="0" s="1"/>
        <i x="1"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1792E3CD-F61D-4FFD-8234-2281FE2A4BF7}" sourceName="Weather Condition">
  <pivotTables>
    <pivotTable tabId="18" name="PivotTable5"/>
    <pivotTable tabId="18" name="PivotTable1"/>
    <pivotTable tabId="18" name="PivotTable2"/>
    <pivotTable tabId="18" name="PivotTable20"/>
    <pivotTable tabId="18" name="PivotTable29"/>
    <pivotTable tabId="18" name="PivotTable3"/>
    <pivotTable tabId="18" name="PivotTable32"/>
    <pivotTable tabId="18" name="PivotTable4"/>
    <pivotTable tabId="18" name="PivotTable6"/>
    <pivotTable tabId="18" name="PivotTable9"/>
  </pivotTables>
  <data>
    <tabular pivotCacheId="1777134920">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9F9AD7A6-EDB1-4081-962D-9DA078647221}" cache="Slicer_Weekday" caption="Weekday" rowHeight="234950"/>
  <slicer name="Weather Condition" xr10:uid="{DA5563C6-78C3-4AD9-893A-BD8BEC8A79F0}" cache="Slicer_Weather_Condition" caption="Weather Condi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1" xr10:uid="{964DB021-4782-4D34-BFCA-E7A3F50BB20C}" cache="Slicer_Weekday" caption="Weekday" rowHeight="234950"/>
  <slicer name="Weather Condition 1" xr10:uid="{407BCB4E-5729-4082-B481-9D4DB0B7964F}" cache="Slicer_Weather_Condition" caption="Weather Condition" rowHeight="2349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D98397-AFD0-42ED-A25E-74A7D34DC9A4}" name="DataSet_1" displayName="DataSet_1" ref="A1:H611" totalsRowShown="0">
  <autoFilter ref="A1:H611" xr:uid="{1ED98397-AFD0-42ED-A25E-74A7D34DC9A4}"/>
  <tableColumns count="8">
    <tableColumn id="1" xr3:uid="{009CC169-AAD5-4345-8AEA-8033BE3941C4}" name="Instant"/>
    <tableColumn id="2" xr3:uid="{A5CC9DEB-E73E-4988-8739-DE99A1DDC9A1}" name="Date"/>
    <tableColumn id="4" xr3:uid="{A910E87A-0D75-49E3-9F6D-9B351E8712AB}" name="Time"/>
    <tableColumn id="3" xr3:uid="{578A489A-F894-46BA-9AA4-68586678B74C}" name="Season"/>
    <tableColumn id="5" xr3:uid="{ABD3BF23-B422-42C7-AED0-2CD7700EE6C1}" name="Holiday"/>
    <tableColumn id="6" xr3:uid="{7359EEF5-4EE5-4E71-B1C4-89A82C67053C}" name="Weekday"/>
    <tableColumn id="7" xr3:uid="{EFFB7226-6CFD-4AE8-8211-7355D6B94DFD}" name="Weather Condition"/>
    <tableColumn id="8" xr3:uid="{B4EBC5E7-3081-4383-AB8B-731877479F4C}" name="Temperature"/>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48A027-A196-4677-A6C6-9F9D41D81FF6}" name="DataSet_2" displayName="DataSet_2" ref="A1:G611" totalsRowShown="0">
  <autoFilter ref="A1:G611" xr:uid="{6F48A027-A196-4677-A6C6-9F9D41D81FF6}"/>
  <tableColumns count="7">
    <tableColumn id="1" xr3:uid="{0204A35F-4335-4E7E-ABDC-11E5C8B5FC51}" name="Instant"/>
    <tableColumn id="2" xr3:uid="{E17B3370-F40D-46B0-B952-FC4AC2EEDE38}" name="Assumed Temperature"/>
    <tableColumn id="3" xr3:uid="{2AB70F63-819A-435C-B72E-FAF198E12907}" name="Humidity"/>
    <tableColumn id="4" xr3:uid="{00334D3F-F764-43AE-9C92-107510143038}" name="Windspeed"/>
    <tableColumn id="5" xr3:uid="{F80A1F61-5ED4-401C-8DCE-796C4699788D}" name="Casual"/>
    <tableColumn id="6" xr3:uid="{1B95CC65-80C2-4C9B-852E-E16D00B3D59B}" name="Registered"/>
    <tableColumn id="7" xr3:uid="{3034C57A-A9FF-4BED-BA2B-17010A42DB76}" name="Casual and Register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12F279-9466-430E-BFCA-3FFAC131E021}" name="Merge_DS1_DS2" displayName="Merge_DS1_DS2" ref="A1:N611" totalsRowShown="0">
  <autoFilter ref="A1:N611" xr:uid="{1312F279-9466-430E-BFCA-3FFAC131E021}"/>
  <tableColumns count="14">
    <tableColumn id="1" xr3:uid="{9E7779B4-34AB-445F-866D-426047AB1E03}" name="Instant"/>
    <tableColumn id="2" xr3:uid="{98A9C799-5498-4FD1-8180-63EE2ADEAC79}" name="Date"/>
    <tableColumn id="3" xr3:uid="{E66943E6-15DB-422F-AE88-3C3A2ACE7E30}" name="Time"/>
    <tableColumn id="4" xr3:uid="{75D618B5-95F4-46C7-B367-71635BD360E2}" name="Season"/>
    <tableColumn id="5" xr3:uid="{69880CF1-1960-4B2C-AB3A-BB4AE5863577}" name="Holiday"/>
    <tableColumn id="6" xr3:uid="{2200F9FD-5990-45F7-AB60-7180DBD4B509}" name="Weekday"/>
    <tableColumn id="7" xr3:uid="{F2B57968-7E0B-4C43-BE54-46CB291AA3A2}" name="Weather Condition"/>
    <tableColumn id="8" xr3:uid="{96099683-A8B9-40AC-AB33-1E12ADA2943F}" name="Temperature"/>
    <tableColumn id="9" xr3:uid="{B1BF6142-9AD9-4020-9F47-F456C89FB373}" name="Assumed Temperature"/>
    <tableColumn id="10" xr3:uid="{1FE912E5-FFF9-4D8A-AFF4-3C62CF101B0A}" name="Humidity"/>
    <tableColumn id="11" xr3:uid="{68297F73-E36E-44D6-86AA-67A775E7B602}" name="Windspeed"/>
    <tableColumn id="12" xr3:uid="{33F3A9FE-A810-450A-94F5-6CE20CB2A7AA}" name="Casual"/>
    <tableColumn id="13" xr3:uid="{0B477727-AF28-4842-876F-2265E0AF630F}" name="Registered"/>
    <tableColumn id="14" xr3:uid="{64C0A55F-38C7-4C99-9A4C-A4F1E64E88EF}" name="Casual and Registered"/>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51B26B-77ED-46BE-8DE2-3BA1C1F0EC3C}" name="DataSet_3" displayName="DataSet_3" ref="A1:N391" totalsRowShown="0">
  <autoFilter ref="A1:N391" xr:uid="{9951B26B-77ED-46BE-8DE2-3BA1C1F0EC3C}"/>
  <tableColumns count="14">
    <tableColumn id="1" xr3:uid="{D3977C80-D680-4B01-9A1A-AD30E39D975A}" name="Instant"/>
    <tableColumn id="2" xr3:uid="{421B3099-6A3D-47EB-B0FF-FC00AD48ADE8}" name="Date"/>
    <tableColumn id="4" xr3:uid="{19C74866-B46C-434A-B1D9-E7D085CE1572}" name="Time"/>
    <tableColumn id="3" xr3:uid="{92CB3CD1-BA2A-4A81-A00A-FE5D9AA6C25E}" name="Season"/>
    <tableColumn id="5" xr3:uid="{5564649A-7DAA-4170-B05E-C511DACDBA82}" name="Holiday"/>
    <tableColumn id="6" xr3:uid="{B6B56DEA-069F-4641-BCF1-C6FE251D6D9A}" name="Weekday"/>
    <tableColumn id="7" xr3:uid="{03E22128-FFCD-4BCD-B749-B73FEAE7A71E}" name="Weather Condition"/>
    <tableColumn id="8" xr3:uid="{9D7CBAB5-D994-434F-98DC-E6CFA6210A0A}" name="Temperature"/>
    <tableColumn id="9" xr3:uid="{8182CE26-A95F-4929-B22B-92609BB3C2DA}" name="Assumed Temperature"/>
    <tableColumn id="10" xr3:uid="{89E567E4-0037-46A4-A220-48096003BE74}" name="Humidity"/>
    <tableColumn id="11" xr3:uid="{AE32A765-04E8-4804-AADA-01D0E76A2B2E}" name="Windspeed"/>
    <tableColumn id="12" xr3:uid="{FED18AF0-40D9-461B-B7F7-BF3A352747BA}" name="Casual"/>
    <tableColumn id="13" xr3:uid="{86CC3316-94C1-488B-9671-DE1355E0D38C}" name="Registered"/>
    <tableColumn id="14" xr3:uid="{C7788085-B698-4313-8629-26C8E263B12B}" name="Casual and Registered"/>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B2DB4A3-4929-454C-8E17-8C527838326A}" name="Append_MergeDS12_DS3" displayName="Append_MergeDS12_DS3" ref="A1:N1001" tableType="queryTable" totalsRowShown="0">
  <autoFilter ref="A1:N1001" xr:uid="{BB2DB4A3-4929-454C-8E17-8C527838326A}"/>
  <tableColumns count="14">
    <tableColumn id="1" xr3:uid="{81261821-7FF8-4B42-B745-4EA4791C6D41}" uniqueName="1" name="Instant" queryTableFieldId="1"/>
    <tableColumn id="2" xr3:uid="{68A6360D-0D21-4231-B255-4E92B5F56C7C}" uniqueName="2" name="Date" queryTableFieldId="2" dataDxfId="82"/>
    <tableColumn id="3" xr3:uid="{DDAD710E-31C0-496C-B95F-1DE3013B11B6}" uniqueName="3" name="Time" queryTableFieldId="3" dataDxfId="81"/>
    <tableColumn id="4" xr3:uid="{DD88B825-4A50-40BF-8441-A9B7F51FB073}" uniqueName="4" name="Season" queryTableFieldId="4"/>
    <tableColumn id="5" xr3:uid="{03DB8676-A457-43D0-B831-A9454865AC82}" uniqueName="5" name="Holiday" queryTableFieldId="5"/>
    <tableColumn id="6" xr3:uid="{D2A52CE7-9150-4441-9EC2-B32522AF01A7}" uniqueName="6" name="Weekday" queryTableFieldId="6"/>
    <tableColumn id="7" xr3:uid="{DAE3E096-054D-4FC1-96AD-2237B91D7FE0}" uniqueName="7" name="Weather Condition" queryTableFieldId="7"/>
    <tableColumn id="8" xr3:uid="{BE3038F9-2D61-4F8C-9090-3D7864E13015}" uniqueName="8" name="Temperature" queryTableFieldId="8"/>
    <tableColumn id="9" xr3:uid="{E10D46EB-6112-4733-953E-A3DD3D7136B6}" uniqueName="9" name="Assumed Temperature" queryTableFieldId="9" dataDxfId="80"/>
    <tableColumn id="10" xr3:uid="{F8431DD8-6291-4638-A1E4-BD324EC8D214}" uniqueName="10" name="Humidity" queryTableFieldId="10"/>
    <tableColumn id="11" xr3:uid="{E7153DDA-55C6-4780-B60C-7FD82E693552}" uniqueName="11" name="Windspeed" queryTableFieldId="11"/>
    <tableColumn id="12" xr3:uid="{D99A5947-010A-4C8E-86E7-8D981DBBC3E2}" uniqueName="12" name="Casual" queryTableFieldId="12"/>
    <tableColumn id="13" xr3:uid="{4581E553-1269-4889-A771-A544D7C63373}" uniqueName="13" name="Registered" queryTableFieldId="13"/>
    <tableColumn id="14" xr3:uid="{BEC4E551-0618-497F-8B39-F3DFC8D64D35}" uniqueName="14" name="Casual and Registered" queryTableFieldId="14"/>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5-17T01:25:01.67" personId="{671432F3-261C-4080-B6F1-EC4B45711ED6}" id="{AABD65E1-077B-4DD8-A194-A233E9035213}">
    <text xml:space="preserve">Unique record identifier for each observation. </text>
  </threadedComment>
  <threadedComment ref="B1" dT="2026-05-17T01:26:52.57" personId="{671432F3-261C-4080-B6F1-EC4B45711ED6}" id="{720B3C07-8DEE-428A-BA79-965EE11A1C71}">
    <text>Date on which Bike Rental is done.</text>
  </threadedComment>
  <threadedComment ref="C1" dT="2026-05-17T01:30:12.46" personId="{671432F3-261C-4080-B6F1-EC4B45711ED6}" id="{D9A0EE2B-4450-45EA-8AEE-D215D7DEA652}">
    <text>Time on which Bike Rental is taken place.</text>
  </threadedComment>
  <threadedComment ref="D1" dT="2026-05-17T01:27:15.99" personId="{671432F3-261C-4080-B6F1-EC4B45711ED6}" id="{D52B56DC-21A0-45C0-9C86-1692BFB94C6D}">
    <text xml:space="preserve">Season category:
1 = Spring 
2 = Summer 
3 = Autumn 
4 = Winter
</text>
  </threadedComment>
  <threadedComment ref="G1" dT="2026-05-18T06:21:45.83" personId="{671432F3-261C-4080-B6F1-EC4B45711ED6}" id="{15EE1A16-90E7-438E-A189-880E6A124794}">
    <text xml:space="preserve">Weather condition category:
1 = Clear/Good Weather 
2 = Mist/Cloudy 
3 = Light Rain or Snow 
4 = Heavy Rain/Storm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5-19T03:47:40.08" personId="{671432F3-261C-4080-B6F1-EC4B45711ED6}" id="{C0236545-3405-4CA3-BB18-27089EF37ED3}">
    <text>Unique record identifier for each observation</text>
  </threadedComment>
  <threadedComment ref="E1" dT="2026-05-19T03:48:03.07" personId="{671432F3-261C-4080-B6F1-EC4B45711ED6}" id="{7EC525A4-C1F4-4905-8185-1C1A4FF74A06}">
    <text xml:space="preserve">Number of bikes rented by casual users 
These are people who rent bikes without long-term membership.
Examples:
Tourists 
One-time riders 
Occasional users
</text>
  </threadedComment>
  <threadedComment ref="F1" dT="2026-05-19T03:48:24.86" personId="{671432F3-261C-4080-B6F1-EC4B45711ED6}" id="{EE8E4568-CBD2-4FE6-91DE-61AC5D3E862A}">
    <text xml:space="preserve">Number of bikes rented by registered/subscribed users 
These are users who have:
subscriptions 
memberships 
accounts 
They are regular customers.
</text>
  </threadedComment>
  <threadedComment ref="G1" dT="2026-05-19T03:48:45.88" personId="{671432F3-261C-4080-B6F1-EC4B45711ED6}" id="{CF0D884B-63B0-47FC-BFC3-AC4EA6C5BA2E}">
    <text xml:space="preserve">cnt=casual+registered </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5-19T03:50:08.84" personId="{671432F3-261C-4080-B6F1-EC4B45711ED6}" id="{3EFC1A66-B7BD-4A9E-9ACC-E2F33452BE89}">
    <text xml:space="preserve">Unique record identifier for each observation. </text>
  </threadedComment>
  <threadedComment ref="B1" dT="2026-05-19T03:50:32.28" personId="{671432F3-261C-4080-B6F1-EC4B45711ED6}" id="{9774CC1C-7AF3-4C52-8A9F-C62131F21499}">
    <text xml:space="preserve">Date on which the rental activity was recorded. </text>
  </threadedComment>
  <threadedComment ref="C1" dT="2026-05-19T03:50:52.77" personId="{671432F3-261C-4080-B6F1-EC4B45711ED6}" id="{6B4C43B3-6184-4B99-8378-2DBA65E7B159}">
    <text>Time on which Bike Rental is taken place.</text>
  </threadedComment>
  <threadedComment ref="D1" dT="2026-05-19T03:51:12.07" personId="{671432F3-261C-4080-B6F1-EC4B45711ED6}" id="{FDBE5CD0-64FE-4BC8-A708-194D5092E036}">
    <text xml:space="preserve">Season category:
1 = Spring 
2 = Summer 
3 = Autumn 
4 = Winter
</text>
  </threadedComment>
  <threadedComment ref="G1" dT="2026-05-19T03:51:30.02" personId="{671432F3-261C-4080-B6F1-EC4B45711ED6}" id="{2A568A25-F4DE-438F-AC3D-CD7EE2043DA0}">
    <text xml:space="preserve">Weather condition category:
1 = Clear/Good Weather 
2 = Mist/Cloudy 
3 = Light Rain or Snow 
4 = Heavy Rain/Storm
</text>
  </threadedComment>
  <threadedComment ref="L1" dT="2026-05-19T03:51:50.51" personId="{671432F3-261C-4080-B6F1-EC4B45711ED6}" id="{F43A6D38-F06E-467B-9033-7DBE4D5B4C50}">
    <text xml:space="preserve">Number of bikes rented by casual users 
These are people who rent bikes without long-term membership.
Examples:
Tourists 
One-time riders 
Occasional users
</text>
  </threadedComment>
  <threadedComment ref="M1" dT="2026-05-19T03:52:04.34" personId="{671432F3-261C-4080-B6F1-EC4B45711ED6}" id="{3966585C-040B-48AF-ACA6-68DE2A7C85C9}">
    <text xml:space="preserve">Number of bikes rented by registered/subscribed users 
These are users who have:
subscriptions 
memberships 
accounts 
They are regular customers.
</text>
  </threadedComment>
  <threadedComment ref="N1" dT="2026-05-19T03:52:17.35" personId="{671432F3-261C-4080-B6F1-EC4B45711ED6}" id="{F5A8F30B-5E92-42B8-B77D-451C7090CCD4}">
    <text xml:space="preserve">cnt=casual+registered </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6-05-21T14:59:57.86" personId="{671432F3-261C-4080-B6F1-EC4B45711ED6}" id="{7C9FCC68-F1C4-4807-8CEB-7BF16949BAF7}">
    <text xml:space="preserve">Unique record identifier for each observation. </text>
  </threadedComment>
  <threadedComment ref="B1" dT="2026-05-21T15:00:11.46" personId="{671432F3-261C-4080-B6F1-EC4B45711ED6}" id="{618A102D-3D20-4B6B-B118-CDC8EA427E63}">
    <text xml:space="preserve">Date on which Bike Rental is done.
</text>
  </threadedComment>
  <threadedComment ref="C1" dT="2026-05-21T15:00:23.07" personId="{671432F3-261C-4080-B6F1-EC4B45711ED6}" id="{58D900D5-7365-4F51-8275-F39A32A4F164}">
    <text>Time on which Bike Rental is taken place.</text>
  </threadedComment>
  <threadedComment ref="D1" dT="2026-05-21T15:00:54.52" personId="{671432F3-261C-4080-B6F1-EC4B45711ED6}" id="{D309E3D9-8729-4EF3-AA12-A323F78BDA9F}">
    <text xml:space="preserve">Season category:
1 = Spring 
2 = Summer 
3 = Autumn 
4 = Winter
</text>
  </threadedComment>
  <threadedComment ref="G1" dT="2026-05-21T15:01:07.03" personId="{671432F3-261C-4080-B6F1-EC4B45711ED6}" id="{AA731894-E52D-407C-A834-4A5F7943E61A}">
    <text xml:space="preserve">Weather condition category:
1 = Clear/Good Weather 
2 = Mist/Cloudy 
3 = Light Rain or Snow 
4 = Heavy Rain/Storm
</text>
  </threadedComment>
  <threadedComment ref="L1" dT="2026-05-21T15:01:24.63" personId="{671432F3-261C-4080-B6F1-EC4B45711ED6}" id="{E15C8B44-552B-49CF-966E-8BBCFD9563A7}">
    <text xml:space="preserve">Number of bikes rented by casual users 
These are people who rent bikes without long-term membership.
Examples:
Tourists 
One-time riders 
Occasional users
</text>
  </threadedComment>
  <threadedComment ref="M1" dT="2026-05-21T15:01:39.35" personId="{671432F3-261C-4080-B6F1-EC4B45711ED6}" id="{16310CD7-C59D-436D-AE6B-2D41E8BBA462}">
    <text xml:space="preserve">Number of bikes rented by registered/subscribed users 
These are users who have:
subscriptions 
memberships 
accounts 
They are regular customers.
</text>
  </threadedComment>
  <threadedComment ref="N1" dT="2026-05-21T15:01:54.18" personId="{671432F3-261C-4080-B6F1-EC4B45711ED6}" id="{5D847884-24ED-4053-B4D6-F9798E4A1EE7}">
    <text xml:space="preserve">cnt=casual+registered </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467B698-D11C-4C73-B18A-DE5ECC246834}" sourceName="Date">
  <pivotTables>
    <pivotTable tabId="18" name="PivotTable32"/>
    <pivotTable tabId="18" name="PivotTable1"/>
    <pivotTable tabId="18" name="PivotTable2"/>
    <pivotTable tabId="18" name="PivotTable20"/>
    <pivotTable tabId="18" name="PivotTable29"/>
    <pivotTable tabId="18" name="PivotTable4"/>
    <pivotTable tabId="18" name="PivotTable5"/>
    <pivotTable tabId="18" name="PivotTable6"/>
    <pivotTable tabId="18" name="PivotTable9"/>
    <pivotTable tabId="18" name="PivotTable3"/>
  </pivotTables>
  <state minimalRefreshVersion="6" lastRefreshVersion="6" pivotCacheId="1777134920"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26C4E5E-224A-4EC2-B05B-71D406EBD6AC}" cache="NativeTimeline_Date" caption="Date" level="2" selectionLevel="2" scrollPosition="201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D7A16AA-EBD1-4EEB-898F-F259251B2D10}" cache="NativeTimeline_Date" caption="Date" level="3" selectionLevel="3" scrollPosition="2011-01-29T00:00:00" style="TimeSlicerStyleLight5"/>
</timeline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microsoft.com/office/2011/relationships/timeline" Target="../timelines/timeline1.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drawing" Target="../drawings/drawing2.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39997558519241921"/>
  </sheetPr>
  <dimension ref="A1:H611"/>
  <sheetViews>
    <sheetView workbookViewId="0">
      <selection activeCell="F28" sqref="F28"/>
    </sheetView>
  </sheetViews>
  <sheetFormatPr defaultRowHeight="14.4" x14ac:dyDescent="0.3"/>
  <cols>
    <col min="1" max="2" width="14.5546875" customWidth="1"/>
    <col min="3" max="3" width="12.77734375" customWidth="1"/>
    <col min="4" max="4" width="14.109375" customWidth="1"/>
    <col min="5" max="5" width="14.44140625" customWidth="1"/>
    <col min="6" max="6" width="15.109375" customWidth="1"/>
    <col min="7" max="7" width="23.6640625" customWidth="1"/>
    <col min="8" max="8" width="24.5546875" customWidth="1"/>
  </cols>
  <sheetData>
    <row r="1" spans="1:8" x14ac:dyDescent="0.3">
      <c r="A1" t="s">
        <v>0</v>
      </c>
      <c r="B1" t="s">
        <v>1</v>
      </c>
      <c r="C1" t="s">
        <v>7</v>
      </c>
      <c r="D1" t="s">
        <v>2</v>
      </c>
      <c r="E1" t="s">
        <v>3</v>
      </c>
      <c r="F1" t="s">
        <v>4</v>
      </c>
      <c r="G1" t="s">
        <v>5</v>
      </c>
      <c r="H1" t="s">
        <v>6</v>
      </c>
    </row>
    <row r="2" spans="1:8" x14ac:dyDescent="0.3">
      <c r="A2">
        <v>1</v>
      </c>
      <c r="B2">
        <v>40544</v>
      </c>
      <c r="C2">
        <v>0</v>
      </c>
      <c r="D2" t="s">
        <v>8</v>
      </c>
      <c r="E2" t="s">
        <v>9</v>
      </c>
      <c r="F2" t="s">
        <v>11</v>
      </c>
      <c r="G2" t="s">
        <v>18</v>
      </c>
      <c r="H2">
        <v>0.24</v>
      </c>
    </row>
    <row r="3" spans="1:8" x14ac:dyDescent="0.3">
      <c r="A3">
        <v>2</v>
      </c>
      <c r="B3">
        <v>40544</v>
      </c>
      <c r="C3">
        <v>4.1666666666666664E-2</v>
      </c>
      <c r="D3" t="s">
        <v>8</v>
      </c>
      <c r="E3" t="s">
        <v>9</v>
      </c>
      <c r="F3" t="s">
        <v>11</v>
      </c>
      <c r="G3" t="s">
        <v>18</v>
      </c>
      <c r="H3">
        <v>0.22</v>
      </c>
    </row>
    <row r="4" spans="1:8" x14ac:dyDescent="0.3">
      <c r="A4">
        <v>3</v>
      </c>
      <c r="B4">
        <v>40544</v>
      </c>
      <c r="C4">
        <v>8.3333333333333329E-2</v>
      </c>
      <c r="D4" t="s">
        <v>8</v>
      </c>
      <c r="E4" t="s">
        <v>9</v>
      </c>
      <c r="F4" t="s">
        <v>11</v>
      </c>
      <c r="G4" t="s">
        <v>18</v>
      </c>
      <c r="H4">
        <v>0.22</v>
      </c>
    </row>
    <row r="5" spans="1:8" x14ac:dyDescent="0.3">
      <c r="A5">
        <v>4</v>
      </c>
      <c r="B5">
        <v>40544</v>
      </c>
      <c r="C5">
        <v>0.125</v>
      </c>
      <c r="D5" t="s">
        <v>8</v>
      </c>
      <c r="E5" t="s">
        <v>9</v>
      </c>
      <c r="F5" t="s">
        <v>11</v>
      </c>
      <c r="G5" t="s">
        <v>18</v>
      </c>
      <c r="H5">
        <v>0.24</v>
      </c>
    </row>
    <row r="6" spans="1:8" x14ac:dyDescent="0.3">
      <c r="A6">
        <v>5</v>
      </c>
      <c r="B6">
        <v>40544</v>
      </c>
      <c r="C6">
        <v>0.16666666666666666</v>
      </c>
      <c r="D6" t="s">
        <v>8</v>
      </c>
      <c r="E6" t="s">
        <v>9</v>
      </c>
      <c r="F6" t="s">
        <v>11</v>
      </c>
      <c r="G6" t="s">
        <v>18</v>
      </c>
      <c r="H6">
        <v>0.24</v>
      </c>
    </row>
    <row r="7" spans="1:8" x14ac:dyDescent="0.3">
      <c r="A7">
        <v>6</v>
      </c>
      <c r="B7">
        <v>40544</v>
      </c>
      <c r="C7">
        <v>0.20833333333333334</v>
      </c>
      <c r="D7" t="s">
        <v>8</v>
      </c>
      <c r="E7" t="s">
        <v>9</v>
      </c>
      <c r="F7" t="s">
        <v>11</v>
      </c>
      <c r="G7" t="s">
        <v>19</v>
      </c>
      <c r="H7">
        <v>0.24</v>
      </c>
    </row>
    <row r="8" spans="1:8" x14ac:dyDescent="0.3">
      <c r="A8">
        <v>7</v>
      </c>
      <c r="B8">
        <v>40544</v>
      </c>
      <c r="C8">
        <v>0.25</v>
      </c>
      <c r="D8" t="s">
        <v>8</v>
      </c>
      <c r="E8" t="s">
        <v>9</v>
      </c>
      <c r="F8" t="s">
        <v>11</v>
      </c>
      <c r="G8" t="s">
        <v>18</v>
      </c>
      <c r="H8">
        <v>0.22</v>
      </c>
    </row>
    <row r="9" spans="1:8" x14ac:dyDescent="0.3">
      <c r="A9">
        <v>8</v>
      </c>
      <c r="B9">
        <v>40544</v>
      </c>
      <c r="C9">
        <v>0.29166666666666669</v>
      </c>
      <c r="D9" t="s">
        <v>8</v>
      </c>
      <c r="E9" t="s">
        <v>9</v>
      </c>
      <c r="F9" t="s">
        <v>11</v>
      </c>
      <c r="G9" t="s">
        <v>18</v>
      </c>
      <c r="H9">
        <v>0.2</v>
      </c>
    </row>
    <row r="10" spans="1:8" x14ac:dyDescent="0.3">
      <c r="A10">
        <v>9</v>
      </c>
      <c r="B10">
        <v>40544</v>
      </c>
      <c r="C10">
        <v>0.33333333333333331</v>
      </c>
      <c r="D10" t="s">
        <v>8</v>
      </c>
      <c r="E10" t="s">
        <v>9</v>
      </c>
      <c r="F10" t="s">
        <v>11</v>
      </c>
      <c r="G10" t="s">
        <v>18</v>
      </c>
      <c r="H10">
        <v>0.24</v>
      </c>
    </row>
    <row r="11" spans="1:8" x14ac:dyDescent="0.3">
      <c r="A11">
        <v>10</v>
      </c>
      <c r="B11">
        <v>40544</v>
      </c>
      <c r="C11">
        <v>0.375</v>
      </c>
      <c r="D11" t="s">
        <v>8</v>
      </c>
      <c r="E11" t="s">
        <v>9</v>
      </c>
      <c r="F11" t="s">
        <v>11</v>
      </c>
      <c r="G11" t="s">
        <v>18</v>
      </c>
      <c r="H11">
        <v>0.32</v>
      </c>
    </row>
    <row r="12" spans="1:8" x14ac:dyDescent="0.3">
      <c r="A12">
        <v>11</v>
      </c>
      <c r="B12">
        <v>40544</v>
      </c>
      <c r="C12">
        <v>0.41666666666666669</v>
      </c>
      <c r="D12" t="s">
        <v>8</v>
      </c>
      <c r="E12" t="s">
        <v>9</v>
      </c>
      <c r="F12" t="s">
        <v>11</v>
      </c>
      <c r="G12" t="s">
        <v>18</v>
      </c>
      <c r="H12">
        <v>0.38</v>
      </c>
    </row>
    <row r="13" spans="1:8" x14ac:dyDescent="0.3">
      <c r="A13">
        <v>12</v>
      </c>
      <c r="B13">
        <v>40544</v>
      </c>
      <c r="C13">
        <v>0.45833333333333331</v>
      </c>
      <c r="D13" t="s">
        <v>8</v>
      </c>
      <c r="E13" t="s">
        <v>9</v>
      </c>
      <c r="F13" t="s">
        <v>11</v>
      </c>
      <c r="G13" t="s">
        <v>18</v>
      </c>
      <c r="H13">
        <v>0.36</v>
      </c>
    </row>
    <row r="14" spans="1:8" x14ac:dyDescent="0.3">
      <c r="A14">
        <v>13</v>
      </c>
      <c r="B14">
        <v>40544</v>
      </c>
      <c r="C14">
        <v>0.5</v>
      </c>
      <c r="D14" t="s">
        <v>8</v>
      </c>
      <c r="E14" t="s">
        <v>9</v>
      </c>
      <c r="F14" t="s">
        <v>11</v>
      </c>
      <c r="G14" t="s">
        <v>18</v>
      </c>
      <c r="H14">
        <v>0.42</v>
      </c>
    </row>
    <row r="15" spans="1:8" x14ac:dyDescent="0.3">
      <c r="A15">
        <v>14</v>
      </c>
      <c r="B15">
        <v>40544</v>
      </c>
      <c r="C15">
        <v>0.54166666666666663</v>
      </c>
      <c r="D15" t="s">
        <v>8</v>
      </c>
      <c r="E15" t="s">
        <v>9</v>
      </c>
      <c r="F15" t="s">
        <v>11</v>
      </c>
      <c r="G15" t="s">
        <v>19</v>
      </c>
      <c r="H15">
        <v>0.46</v>
      </c>
    </row>
    <row r="16" spans="1:8" x14ac:dyDescent="0.3">
      <c r="A16">
        <v>15</v>
      </c>
      <c r="B16">
        <v>40544</v>
      </c>
      <c r="C16">
        <v>0.58333333333333337</v>
      </c>
      <c r="D16" t="s">
        <v>8</v>
      </c>
      <c r="E16" t="s">
        <v>9</v>
      </c>
      <c r="F16" t="s">
        <v>11</v>
      </c>
      <c r="G16" t="s">
        <v>19</v>
      </c>
      <c r="H16">
        <v>0.46</v>
      </c>
    </row>
    <row r="17" spans="1:8" x14ac:dyDescent="0.3">
      <c r="A17">
        <v>16</v>
      </c>
      <c r="B17">
        <v>40544</v>
      </c>
      <c r="C17">
        <v>0.625</v>
      </c>
      <c r="D17" t="s">
        <v>8</v>
      </c>
      <c r="E17" t="s">
        <v>9</v>
      </c>
      <c r="F17" t="s">
        <v>11</v>
      </c>
      <c r="G17" t="s">
        <v>19</v>
      </c>
      <c r="H17">
        <v>0.44</v>
      </c>
    </row>
    <row r="18" spans="1:8" x14ac:dyDescent="0.3">
      <c r="A18">
        <v>17</v>
      </c>
      <c r="B18">
        <v>40544</v>
      </c>
      <c r="C18">
        <v>0.66666666666666663</v>
      </c>
      <c r="D18" t="s">
        <v>8</v>
      </c>
      <c r="E18" t="s">
        <v>9</v>
      </c>
      <c r="F18" t="s">
        <v>11</v>
      </c>
      <c r="G18" t="s">
        <v>19</v>
      </c>
      <c r="H18">
        <v>0.42</v>
      </c>
    </row>
    <row r="19" spans="1:8" x14ac:dyDescent="0.3">
      <c r="A19">
        <v>18</v>
      </c>
      <c r="B19">
        <v>40544</v>
      </c>
      <c r="C19">
        <v>0.70833333333333337</v>
      </c>
      <c r="D19" t="s">
        <v>8</v>
      </c>
      <c r="E19" t="s">
        <v>9</v>
      </c>
      <c r="F19" t="s">
        <v>11</v>
      </c>
      <c r="G19" t="s">
        <v>19</v>
      </c>
      <c r="H19">
        <v>0.44</v>
      </c>
    </row>
    <row r="20" spans="1:8" x14ac:dyDescent="0.3">
      <c r="A20">
        <v>19</v>
      </c>
      <c r="B20">
        <v>40544</v>
      </c>
      <c r="C20">
        <v>0.75</v>
      </c>
      <c r="D20" t="s">
        <v>8</v>
      </c>
      <c r="E20" t="s">
        <v>9</v>
      </c>
      <c r="F20" t="s">
        <v>11</v>
      </c>
      <c r="G20" t="s">
        <v>20</v>
      </c>
      <c r="H20">
        <v>0.42</v>
      </c>
    </row>
    <row r="21" spans="1:8" x14ac:dyDescent="0.3">
      <c r="A21">
        <v>20</v>
      </c>
      <c r="B21">
        <v>40544</v>
      </c>
      <c r="C21">
        <v>0.79166666666666663</v>
      </c>
      <c r="D21" t="s">
        <v>8</v>
      </c>
      <c r="E21" t="s">
        <v>9</v>
      </c>
      <c r="F21" t="s">
        <v>11</v>
      </c>
      <c r="G21" t="s">
        <v>20</v>
      </c>
      <c r="H21">
        <v>0.42</v>
      </c>
    </row>
    <row r="22" spans="1:8" x14ac:dyDescent="0.3">
      <c r="A22">
        <v>21</v>
      </c>
      <c r="B22">
        <v>40544</v>
      </c>
      <c r="C22">
        <v>0.83333333333333337</v>
      </c>
      <c r="D22" t="s">
        <v>8</v>
      </c>
      <c r="E22" t="s">
        <v>9</v>
      </c>
      <c r="F22" t="s">
        <v>11</v>
      </c>
      <c r="G22" t="s">
        <v>19</v>
      </c>
      <c r="H22">
        <v>0.4</v>
      </c>
    </row>
    <row r="23" spans="1:8" x14ac:dyDescent="0.3">
      <c r="A23">
        <v>22</v>
      </c>
      <c r="B23">
        <v>40544</v>
      </c>
      <c r="C23">
        <v>0.875</v>
      </c>
      <c r="D23" t="s">
        <v>8</v>
      </c>
      <c r="E23" t="s">
        <v>9</v>
      </c>
      <c r="F23" t="s">
        <v>11</v>
      </c>
      <c r="G23" t="s">
        <v>19</v>
      </c>
      <c r="H23">
        <v>0.4</v>
      </c>
    </row>
    <row r="24" spans="1:8" x14ac:dyDescent="0.3">
      <c r="A24">
        <v>23</v>
      </c>
      <c r="B24">
        <v>40544</v>
      </c>
      <c r="C24">
        <v>0.91666666666666663</v>
      </c>
      <c r="D24" t="s">
        <v>8</v>
      </c>
      <c r="E24" t="s">
        <v>9</v>
      </c>
      <c r="F24" t="s">
        <v>11</v>
      </c>
      <c r="G24" t="s">
        <v>19</v>
      </c>
      <c r="H24">
        <v>0.4</v>
      </c>
    </row>
    <row r="25" spans="1:8" x14ac:dyDescent="0.3">
      <c r="A25">
        <v>24</v>
      </c>
      <c r="B25">
        <v>40544</v>
      </c>
      <c r="C25">
        <v>0.95833333333333337</v>
      </c>
      <c r="D25" t="s">
        <v>8</v>
      </c>
      <c r="E25" t="s">
        <v>9</v>
      </c>
      <c r="F25" t="s">
        <v>11</v>
      </c>
      <c r="G25" t="s">
        <v>19</v>
      </c>
      <c r="H25">
        <v>0.46</v>
      </c>
    </row>
    <row r="26" spans="1:8" x14ac:dyDescent="0.3">
      <c r="A26">
        <v>25</v>
      </c>
      <c r="B26">
        <v>40545</v>
      </c>
      <c r="C26">
        <v>0</v>
      </c>
      <c r="D26" t="s">
        <v>8</v>
      </c>
      <c r="E26" t="s">
        <v>9</v>
      </c>
      <c r="F26" t="s">
        <v>12</v>
      </c>
      <c r="G26" t="s">
        <v>19</v>
      </c>
      <c r="H26">
        <v>0.46</v>
      </c>
    </row>
    <row r="27" spans="1:8" x14ac:dyDescent="0.3">
      <c r="A27">
        <v>26</v>
      </c>
      <c r="B27">
        <v>40545</v>
      </c>
      <c r="C27">
        <v>4.1666666666666664E-2</v>
      </c>
      <c r="D27" t="s">
        <v>8</v>
      </c>
      <c r="E27" t="s">
        <v>9</v>
      </c>
      <c r="F27" t="s">
        <v>12</v>
      </c>
      <c r="G27" t="s">
        <v>19</v>
      </c>
      <c r="H27">
        <v>0.44</v>
      </c>
    </row>
    <row r="28" spans="1:8" x14ac:dyDescent="0.3">
      <c r="A28">
        <v>27</v>
      </c>
      <c r="B28">
        <v>40545</v>
      </c>
      <c r="C28">
        <v>8.3333333333333329E-2</v>
      </c>
      <c r="D28" t="s">
        <v>8</v>
      </c>
      <c r="E28" t="s">
        <v>9</v>
      </c>
      <c r="F28" t="s">
        <v>12</v>
      </c>
      <c r="G28" t="s">
        <v>19</v>
      </c>
      <c r="H28">
        <v>0.42</v>
      </c>
    </row>
    <row r="29" spans="1:8" x14ac:dyDescent="0.3">
      <c r="A29">
        <v>28</v>
      </c>
      <c r="B29">
        <v>40545</v>
      </c>
      <c r="C29">
        <v>0.125</v>
      </c>
      <c r="D29" t="s">
        <v>8</v>
      </c>
      <c r="E29" t="s">
        <v>9</v>
      </c>
      <c r="F29" t="s">
        <v>12</v>
      </c>
      <c r="G29" t="s">
        <v>19</v>
      </c>
      <c r="H29">
        <v>0.46</v>
      </c>
    </row>
    <row r="30" spans="1:8" x14ac:dyDescent="0.3">
      <c r="A30">
        <v>29</v>
      </c>
      <c r="B30">
        <v>40545</v>
      </c>
      <c r="C30">
        <v>0.16666666666666666</v>
      </c>
      <c r="D30" t="s">
        <v>8</v>
      </c>
      <c r="E30" t="s">
        <v>9</v>
      </c>
      <c r="F30" t="s">
        <v>12</v>
      </c>
      <c r="G30" t="s">
        <v>19</v>
      </c>
      <c r="H30">
        <v>0.46</v>
      </c>
    </row>
    <row r="31" spans="1:8" x14ac:dyDescent="0.3">
      <c r="A31">
        <v>30</v>
      </c>
      <c r="B31">
        <v>40545</v>
      </c>
      <c r="C31">
        <v>0.25</v>
      </c>
      <c r="D31" t="s">
        <v>8</v>
      </c>
      <c r="E31" t="s">
        <v>9</v>
      </c>
      <c r="F31" t="s">
        <v>12</v>
      </c>
      <c r="G31" t="s">
        <v>20</v>
      </c>
      <c r="H31">
        <v>0.42</v>
      </c>
    </row>
    <row r="32" spans="1:8" x14ac:dyDescent="0.3">
      <c r="A32">
        <v>31</v>
      </c>
      <c r="B32">
        <v>40545</v>
      </c>
      <c r="C32">
        <v>0.29166666666666669</v>
      </c>
      <c r="D32" t="s">
        <v>8</v>
      </c>
      <c r="E32" t="s">
        <v>9</v>
      </c>
      <c r="F32" t="s">
        <v>12</v>
      </c>
      <c r="G32" t="s">
        <v>19</v>
      </c>
      <c r="H32">
        <v>0.4</v>
      </c>
    </row>
    <row r="33" spans="1:8" x14ac:dyDescent="0.3">
      <c r="A33">
        <v>32</v>
      </c>
      <c r="B33">
        <v>40545</v>
      </c>
      <c r="C33">
        <v>0.33333333333333331</v>
      </c>
      <c r="D33" t="s">
        <v>8</v>
      </c>
      <c r="E33" t="s">
        <v>9</v>
      </c>
      <c r="F33" t="s">
        <v>12</v>
      </c>
      <c r="G33" t="s">
        <v>20</v>
      </c>
      <c r="H33">
        <v>0.4</v>
      </c>
    </row>
    <row r="34" spans="1:8" x14ac:dyDescent="0.3">
      <c r="A34">
        <v>33</v>
      </c>
      <c r="B34">
        <v>40545</v>
      </c>
      <c r="C34">
        <v>0.375</v>
      </c>
      <c r="D34" t="s">
        <v>8</v>
      </c>
      <c r="E34" t="s">
        <v>9</v>
      </c>
      <c r="F34" t="s">
        <v>12</v>
      </c>
      <c r="G34" t="s">
        <v>19</v>
      </c>
      <c r="H34">
        <v>0.38</v>
      </c>
    </row>
    <row r="35" spans="1:8" x14ac:dyDescent="0.3">
      <c r="A35">
        <v>34</v>
      </c>
      <c r="B35">
        <v>40545</v>
      </c>
      <c r="C35">
        <v>0.41666666666666669</v>
      </c>
      <c r="D35" t="s">
        <v>8</v>
      </c>
      <c r="E35" t="s">
        <v>9</v>
      </c>
      <c r="F35" t="s">
        <v>12</v>
      </c>
      <c r="G35" t="s">
        <v>19</v>
      </c>
      <c r="H35">
        <v>0.36</v>
      </c>
    </row>
    <row r="36" spans="1:8" x14ac:dyDescent="0.3">
      <c r="A36">
        <v>35</v>
      </c>
      <c r="B36">
        <v>40545</v>
      </c>
      <c r="C36">
        <v>0.45833333333333331</v>
      </c>
      <c r="D36" t="s">
        <v>8</v>
      </c>
      <c r="E36" t="s">
        <v>9</v>
      </c>
      <c r="F36" t="s">
        <v>12</v>
      </c>
      <c r="G36" t="s">
        <v>19</v>
      </c>
      <c r="H36">
        <v>0.36</v>
      </c>
    </row>
    <row r="37" spans="1:8" x14ac:dyDescent="0.3">
      <c r="A37">
        <v>36</v>
      </c>
      <c r="B37">
        <v>40545</v>
      </c>
      <c r="C37">
        <v>0.5</v>
      </c>
      <c r="D37" t="s">
        <v>8</v>
      </c>
      <c r="E37" t="s">
        <v>9</v>
      </c>
      <c r="F37" t="s">
        <v>12</v>
      </c>
      <c r="G37" t="s">
        <v>19</v>
      </c>
      <c r="H37">
        <v>0.36</v>
      </c>
    </row>
    <row r="38" spans="1:8" x14ac:dyDescent="0.3">
      <c r="A38">
        <v>37</v>
      </c>
      <c r="B38">
        <v>40545</v>
      </c>
      <c r="C38">
        <v>0.54166666666666663</v>
      </c>
      <c r="D38" t="s">
        <v>8</v>
      </c>
      <c r="E38" t="s">
        <v>9</v>
      </c>
      <c r="F38" t="s">
        <v>12</v>
      </c>
      <c r="G38" t="s">
        <v>19</v>
      </c>
      <c r="H38">
        <v>0.36</v>
      </c>
    </row>
    <row r="39" spans="1:8" x14ac:dyDescent="0.3">
      <c r="A39">
        <v>38</v>
      </c>
      <c r="B39">
        <v>40545</v>
      </c>
      <c r="C39">
        <v>0.58333333333333337</v>
      </c>
      <c r="D39" t="s">
        <v>8</v>
      </c>
      <c r="E39" t="s">
        <v>9</v>
      </c>
      <c r="F39" t="s">
        <v>12</v>
      </c>
      <c r="G39" t="s">
        <v>20</v>
      </c>
      <c r="H39">
        <v>0.36</v>
      </c>
    </row>
    <row r="40" spans="1:8" x14ac:dyDescent="0.3">
      <c r="A40">
        <v>39</v>
      </c>
      <c r="B40">
        <v>40545</v>
      </c>
      <c r="C40">
        <v>0.625</v>
      </c>
      <c r="D40" t="s">
        <v>8</v>
      </c>
      <c r="E40" t="s">
        <v>9</v>
      </c>
      <c r="F40" t="s">
        <v>12</v>
      </c>
      <c r="G40" t="s">
        <v>20</v>
      </c>
      <c r="H40">
        <v>0.34</v>
      </c>
    </row>
    <row r="41" spans="1:8" x14ac:dyDescent="0.3">
      <c r="A41">
        <v>40</v>
      </c>
      <c r="B41">
        <v>40545</v>
      </c>
      <c r="C41">
        <v>0.66666666666666663</v>
      </c>
      <c r="D41" t="s">
        <v>8</v>
      </c>
      <c r="E41" t="s">
        <v>9</v>
      </c>
      <c r="F41" t="s">
        <v>12</v>
      </c>
      <c r="G41" t="s">
        <v>20</v>
      </c>
      <c r="H41">
        <v>0.34</v>
      </c>
    </row>
    <row r="42" spans="1:8" x14ac:dyDescent="0.3">
      <c r="A42">
        <v>41</v>
      </c>
      <c r="B42">
        <v>40545</v>
      </c>
      <c r="C42">
        <v>0.70833333333333337</v>
      </c>
      <c r="D42" t="s">
        <v>8</v>
      </c>
      <c r="E42" t="s">
        <v>9</v>
      </c>
      <c r="F42" t="s">
        <v>12</v>
      </c>
      <c r="G42" t="s">
        <v>18</v>
      </c>
      <c r="H42">
        <v>0.34</v>
      </c>
    </row>
    <row r="43" spans="1:8" x14ac:dyDescent="0.3">
      <c r="A43">
        <v>42</v>
      </c>
      <c r="B43">
        <v>40545</v>
      </c>
      <c r="C43">
        <v>0.75</v>
      </c>
      <c r="D43" t="s">
        <v>8</v>
      </c>
      <c r="E43" t="s">
        <v>9</v>
      </c>
      <c r="F43" t="s">
        <v>12</v>
      </c>
      <c r="G43" t="s">
        <v>19</v>
      </c>
      <c r="H43">
        <v>0.36</v>
      </c>
    </row>
    <row r="44" spans="1:8" x14ac:dyDescent="0.3">
      <c r="A44">
        <v>43</v>
      </c>
      <c r="B44">
        <v>40545</v>
      </c>
      <c r="C44">
        <v>0.79166666666666663</v>
      </c>
      <c r="D44" t="s">
        <v>8</v>
      </c>
      <c r="E44" t="s">
        <v>9</v>
      </c>
      <c r="F44" t="s">
        <v>12</v>
      </c>
      <c r="G44" t="s">
        <v>18</v>
      </c>
      <c r="H44">
        <v>0.32</v>
      </c>
    </row>
    <row r="45" spans="1:8" x14ac:dyDescent="0.3">
      <c r="A45">
        <v>44</v>
      </c>
      <c r="B45">
        <v>40545</v>
      </c>
      <c r="C45">
        <v>0.83333333333333337</v>
      </c>
      <c r="D45" t="s">
        <v>8</v>
      </c>
      <c r="E45" t="s">
        <v>9</v>
      </c>
      <c r="F45" t="s">
        <v>12</v>
      </c>
      <c r="G45" t="s">
        <v>18</v>
      </c>
      <c r="H45">
        <v>0.3</v>
      </c>
    </row>
    <row r="46" spans="1:8" x14ac:dyDescent="0.3">
      <c r="A46">
        <v>45</v>
      </c>
      <c r="B46">
        <v>40545</v>
      </c>
      <c r="C46">
        <v>0.875</v>
      </c>
      <c r="D46" t="s">
        <v>8</v>
      </c>
      <c r="E46" t="s">
        <v>9</v>
      </c>
      <c r="F46" t="s">
        <v>12</v>
      </c>
      <c r="G46" t="s">
        <v>18</v>
      </c>
      <c r="H46">
        <v>0.26</v>
      </c>
    </row>
    <row r="47" spans="1:8" x14ac:dyDescent="0.3">
      <c r="A47">
        <v>46</v>
      </c>
      <c r="B47">
        <v>40545</v>
      </c>
      <c r="C47">
        <v>0.91666666666666663</v>
      </c>
      <c r="D47" t="s">
        <v>8</v>
      </c>
      <c r="E47" t="s">
        <v>9</v>
      </c>
      <c r="F47" t="s">
        <v>12</v>
      </c>
      <c r="G47" t="s">
        <v>18</v>
      </c>
      <c r="H47">
        <v>0.24</v>
      </c>
    </row>
    <row r="48" spans="1:8" x14ac:dyDescent="0.3">
      <c r="A48">
        <v>47</v>
      </c>
      <c r="B48">
        <v>40545</v>
      </c>
      <c r="C48">
        <v>0.95833333333333337</v>
      </c>
      <c r="D48" t="s">
        <v>8</v>
      </c>
      <c r="E48" t="s">
        <v>9</v>
      </c>
      <c r="F48" t="s">
        <v>12</v>
      </c>
      <c r="G48" t="s">
        <v>18</v>
      </c>
      <c r="H48">
        <v>0.22</v>
      </c>
    </row>
    <row r="49" spans="1:8" x14ac:dyDescent="0.3">
      <c r="A49">
        <v>48</v>
      </c>
      <c r="B49">
        <v>40546</v>
      </c>
      <c r="C49">
        <v>0</v>
      </c>
      <c r="D49" t="s">
        <v>8</v>
      </c>
      <c r="E49" t="s">
        <v>9</v>
      </c>
      <c r="F49" t="s">
        <v>13</v>
      </c>
      <c r="G49" t="s">
        <v>18</v>
      </c>
      <c r="H49">
        <v>0.22</v>
      </c>
    </row>
    <row r="50" spans="1:8" x14ac:dyDescent="0.3">
      <c r="A50">
        <v>49</v>
      </c>
      <c r="B50">
        <v>40546</v>
      </c>
      <c r="C50">
        <v>4.1666666666666664E-2</v>
      </c>
      <c r="D50" t="s">
        <v>8</v>
      </c>
      <c r="E50" t="s">
        <v>9</v>
      </c>
      <c r="F50" t="s">
        <v>13</v>
      </c>
      <c r="G50" t="s">
        <v>18</v>
      </c>
      <c r="H50">
        <v>0.2</v>
      </c>
    </row>
    <row r="51" spans="1:8" x14ac:dyDescent="0.3">
      <c r="A51">
        <v>50</v>
      </c>
      <c r="B51">
        <v>40546</v>
      </c>
      <c r="C51">
        <v>0.16666666666666666</v>
      </c>
      <c r="D51" t="s">
        <v>8</v>
      </c>
      <c r="E51" t="s">
        <v>9</v>
      </c>
      <c r="F51" t="s">
        <v>13</v>
      </c>
      <c r="G51" t="s">
        <v>18</v>
      </c>
      <c r="H51">
        <v>0.16</v>
      </c>
    </row>
    <row r="52" spans="1:8" x14ac:dyDescent="0.3">
      <c r="A52">
        <v>51</v>
      </c>
      <c r="B52">
        <v>40546</v>
      </c>
      <c r="C52">
        <v>0.20833333333333334</v>
      </c>
      <c r="D52" t="s">
        <v>8</v>
      </c>
      <c r="E52" t="s">
        <v>9</v>
      </c>
      <c r="F52" t="s">
        <v>13</v>
      </c>
      <c r="G52" t="s">
        <v>18</v>
      </c>
      <c r="H52">
        <v>0.16</v>
      </c>
    </row>
    <row r="53" spans="1:8" x14ac:dyDescent="0.3">
      <c r="A53">
        <v>52</v>
      </c>
      <c r="B53">
        <v>40546</v>
      </c>
      <c r="C53">
        <v>0.25</v>
      </c>
      <c r="D53" t="s">
        <v>8</v>
      </c>
      <c r="E53" t="s">
        <v>9</v>
      </c>
      <c r="F53" t="s">
        <v>13</v>
      </c>
      <c r="G53" t="s">
        <v>18</v>
      </c>
      <c r="H53">
        <v>0.14000000000000001</v>
      </c>
    </row>
    <row r="54" spans="1:8" x14ac:dyDescent="0.3">
      <c r="A54">
        <v>53</v>
      </c>
      <c r="B54">
        <v>40546</v>
      </c>
      <c r="C54">
        <v>0.29166666666666669</v>
      </c>
      <c r="D54" t="s">
        <v>8</v>
      </c>
      <c r="E54" t="s">
        <v>9</v>
      </c>
      <c r="F54" t="s">
        <v>13</v>
      </c>
      <c r="G54" t="s">
        <v>18</v>
      </c>
      <c r="H54">
        <v>0.14000000000000001</v>
      </c>
    </row>
    <row r="55" spans="1:8" x14ac:dyDescent="0.3">
      <c r="A55">
        <v>54</v>
      </c>
      <c r="B55">
        <v>40546</v>
      </c>
      <c r="C55">
        <v>0.33333333333333331</v>
      </c>
      <c r="D55" t="s">
        <v>8</v>
      </c>
      <c r="E55" t="s">
        <v>9</v>
      </c>
      <c r="F55" t="s">
        <v>13</v>
      </c>
      <c r="G55" t="s">
        <v>18</v>
      </c>
      <c r="H55">
        <v>0.14000000000000001</v>
      </c>
    </row>
    <row r="56" spans="1:8" x14ac:dyDescent="0.3">
      <c r="A56">
        <v>55</v>
      </c>
      <c r="B56">
        <v>40546</v>
      </c>
      <c r="C56">
        <v>0.375</v>
      </c>
      <c r="D56" t="s">
        <v>8</v>
      </c>
      <c r="E56" t="s">
        <v>9</v>
      </c>
      <c r="F56" t="s">
        <v>13</v>
      </c>
      <c r="G56" t="s">
        <v>18</v>
      </c>
      <c r="H56">
        <v>0.16</v>
      </c>
    </row>
    <row r="57" spans="1:8" x14ac:dyDescent="0.3">
      <c r="A57">
        <v>56</v>
      </c>
      <c r="B57">
        <v>40546</v>
      </c>
      <c r="C57">
        <v>0.41666666666666669</v>
      </c>
      <c r="D57" t="s">
        <v>8</v>
      </c>
      <c r="E57" t="s">
        <v>9</v>
      </c>
      <c r="F57" t="s">
        <v>13</v>
      </c>
      <c r="G57" t="s">
        <v>18</v>
      </c>
      <c r="H57">
        <v>0.18</v>
      </c>
    </row>
    <row r="58" spans="1:8" x14ac:dyDescent="0.3">
      <c r="A58">
        <v>57</v>
      </c>
      <c r="B58">
        <v>40546</v>
      </c>
      <c r="C58">
        <v>0.45833333333333331</v>
      </c>
      <c r="D58" t="s">
        <v>8</v>
      </c>
      <c r="E58" t="s">
        <v>9</v>
      </c>
      <c r="F58" t="s">
        <v>13</v>
      </c>
      <c r="G58" t="s">
        <v>18</v>
      </c>
      <c r="H58">
        <v>0.2</v>
      </c>
    </row>
    <row r="59" spans="1:8" x14ac:dyDescent="0.3">
      <c r="A59">
        <v>58</v>
      </c>
      <c r="B59">
        <v>40546</v>
      </c>
      <c r="C59">
        <v>0.5</v>
      </c>
      <c r="D59" t="s">
        <v>8</v>
      </c>
      <c r="E59" t="s">
        <v>9</v>
      </c>
      <c r="F59" t="s">
        <v>13</v>
      </c>
      <c r="G59" t="s">
        <v>18</v>
      </c>
      <c r="H59">
        <v>0.22</v>
      </c>
    </row>
    <row r="60" spans="1:8" x14ac:dyDescent="0.3">
      <c r="A60">
        <v>59</v>
      </c>
      <c r="B60">
        <v>40546</v>
      </c>
      <c r="C60">
        <v>0.54166666666666663</v>
      </c>
      <c r="D60" t="s">
        <v>8</v>
      </c>
      <c r="E60" t="s">
        <v>9</v>
      </c>
      <c r="F60" t="s">
        <v>13</v>
      </c>
      <c r="G60" t="s">
        <v>18</v>
      </c>
      <c r="H60">
        <v>0.24</v>
      </c>
    </row>
    <row r="61" spans="1:8" x14ac:dyDescent="0.3">
      <c r="A61">
        <v>60</v>
      </c>
      <c r="B61">
        <v>40546</v>
      </c>
      <c r="C61">
        <v>0.58333333333333337</v>
      </c>
      <c r="D61" t="s">
        <v>8</v>
      </c>
      <c r="E61" t="s">
        <v>9</v>
      </c>
      <c r="F61" t="s">
        <v>13</v>
      </c>
      <c r="G61" t="s">
        <v>18</v>
      </c>
      <c r="H61">
        <v>0.26</v>
      </c>
    </row>
    <row r="62" spans="1:8" x14ac:dyDescent="0.3">
      <c r="A62">
        <v>61</v>
      </c>
      <c r="B62">
        <v>40546</v>
      </c>
      <c r="C62">
        <v>0.625</v>
      </c>
      <c r="D62" t="s">
        <v>8</v>
      </c>
      <c r="E62" t="s">
        <v>9</v>
      </c>
      <c r="F62" t="s">
        <v>13</v>
      </c>
      <c r="G62" t="s">
        <v>18</v>
      </c>
      <c r="H62">
        <v>0.26</v>
      </c>
    </row>
    <row r="63" spans="1:8" x14ac:dyDescent="0.3">
      <c r="A63">
        <v>62</v>
      </c>
      <c r="B63">
        <v>40546</v>
      </c>
      <c r="C63">
        <v>0.66666666666666663</v>
      </c>
      <c r="D63" t="s">
        <v>8</v>
      </c>
      <c r="E63" t="s">
        <v>9</v>
      </c>
      <c r="F63" t="s">
        <v>13</v>
      </c>
      <c r="G63" t="s">
        <v>18</v>
      </c>
      <c r="H63">
        <v>0.26</v>
      </c>
    </row>
    <row r="64" spans="1:8" x14ac:dyDescent="0.3">
      <c r="A64">
        <v>63</v>
      </c>
      <c r="B64">
        <v>40546</v>
      </c>
      <c r="C64">
        <v>0.70833333333333337</v>
      </c>
      <c r="D64" t="s">
        <v>8</v>
      </c>
      <c r="E64" t="s">
        <v>9</v>
      </c>
      <c r="F64" t="s">
        <v>13</v>
      </c>
      <c r="G64" t="s">
        <v>18</v>
      </c>
      <c r="H64">
        <v>0.24</v>
      </c>
    </row>
    <row r="65" spans="1:8" x14ac:dyDescent="0.3">
      <c r="A65">
        <v>64</v>
      </c>
      <c r="B65">
        <v>40546</v>
      </c>
      <c r="C65">
        <v>0.75</v>
      </c>
      <c r="D65" t="s">
        <v>8</v>
      </c>
      <c r="E65" t="s">
        <v>9</v>
      </c>
      <c r="F65" t="s">
        <v>13</v>
      </c>
      <c r="G65" t="s">
        <v>18</v>
      </c>
      <c r="H65">
        <v>0.24</v>
      </c>
    </row>
    <row r="66" spans="1:8" x14ac:dyDescent="0.3">
      <c r="A66">
        <v>65</v>
      </c>
      <c r="B66">
        <v>40546</v>
      </c>
      <c r="C66">
        <v>0.79166666666666663</v>
      </c>
      <c r="D66" t="s">
        <v>8</v>
      </c>
      <c r="E66" t="s">
        <v>9</v>
      </c>
      <c r="F66" t="s">
        <v>13</v>
      </c>
      <c r="G66" t="s">
        <v>18</v>
      </c>
      <c r="H66">
        <v>0.2</v>
      </c>
    </row>
    <row r="67" spans="1:8" x14ac:dyDescent="0.3">
      <c r="A67">
        <v>66</v>
      </c>
      <c r="B67">
        <v>40546</v>
      </c>
      <c r="C67">
        <v>0.83333333333333337</v>
      </c>
      <c r="D67" t="s">
        <v>8</v>
      </c>
      <c r="E67" t="s">
        <v>9</v>
      </c>
      <c r="F67" t="s">
        <v>13</v>
      </c>
      <c r="G67" t="s">
        <v>18</v>
      </c>
      <c r="H67">
        <v>0.2</v>
      </c>
    </row>
    <row r="68" spans="1:8" x14ac:dyDescent="0.3">
      <c r="A68">
        <v>67</v>
      </c>
      <c r="B68">
        <v>40546</v>
      </c>
      <c r="C68">
        <v>0.875</v>
      </c>
      <c r="D68" t="s">
        <v>8</v>
      </c>
      <c r="E68" t="s">
        <v>9</v>
      </c>
      <c r="F68" t="s">
        <v>13</v>
      </c>
      <c r="G68" t="s">
        <v>18</v>
      </c>
      <c r="H68">
        <v>0.18</v>
      </c>
    </row>
    <row r="69" spans="1:8" x14ac:dyDescent="0.3">
      <c r="A69">
        <v>68</v>
      </c>
      <c r="B69">
        <v>40546</v>
      </c>
      <c r="C69">
        <v>0.91666666666666663</v>
      </c>
      <c r="D69" t="s">
        <v>8</v>
      </c>
      <c r="E69" t="s">
        <v>9</v>
      </c>
      <c r="F69" t="s">
        <v>13</v>
      </c>
      <c r="G69" t="s">
        <v>18</v>
      </c>
      <c r="H69">
        <v>0.14000000000000001</v>
      </c>
    </row>
    <row r="70" spans="1:8" x14ac:dyDescent="0.3">
      <c r="A70">
        <v>69</v>
      </c>
      <c r="B70">
        <v>40546</v>
      </c>
      <c r="C70">
        <v>0.95833333333333337</v>
      </c>
      <c r="D70" t="s">
        <v>8</v>
      </c>
      <c r="E70" t="s">
        <v>9</v>
      </c>
      <c r="F70" t="s">
        <v>13</v>
      </c>
      <c r="G70" t="s">
        <v>18</v>
      </c>
      <c r="H70">
        <v>0.18</v>
      </c>
    </row>
    <row r="71" spans="1:8" x14ac:dyDescent="0.3">
      <c r="A71">
        <v>70</v>
      </c>
      <c r="B71">
        <v>40547</v>
      </c>
      <c r="C71">
        <v>0</v>
      </c>
      <c r="D71" t="s">
        <v>8</v>
      </c>
      <c r="E71" t="s">
        <v>9</v>
      </c>
      <c r="F71" t="s">
        <v>14</v>
      </c>
      <c r="G71" t="s">
        <v>18</v>
      </c>
      <c r="H71">
        <v>0.16</v>
      </c>
    </row>
    <row r="72" spans="1:8" x14ac:dyDescent="0.3">
      <c r="A72">
        <v>71</v>
      </c>
      <c r="B72">
        <v>40547</v>
      </c>
      <c r="C72">
        <v>4.1666666666666664E-2</v>
      </c>
      <c r="D72" t="s">
        <v>8</v>
      </c>
      <c r="E72" t="s">
        <v>9</v>
      </c>
      <c r="F72" t="s">
        <v>14</v>
      </c>
      <c r="G72" t="s">
        <v>18</v>
      </c>
      <c r="H72">
        <v>0.16</v>
      </c>
    </row>
    <row r="73" spans="1:8" x14ac:dyDescent="0.3">
      <c r="A73">
        <v>72</v>
      </c>
      <c r="B73">
        <v>40547</v>
      </c>
      <c r="C73">
        <v>8.3333333333333329E-2</v>
      </c>
      <c r="D73" t="s">
        <v>8</v>
      </c>
      <c r="E73" t="s">
        <v>9</v>
      </c>
      <c r="F73" t="s">
        <v>14</v>
      </c>
      <c r="G73" t="s">
        <v>18</v>
      </c>
      <c r="H73">
        <v>0.14000000000000001</v>
      </c>
    </row>
    <row r="74" spans="1:8" x14ac:dyDescent="0.3">
      <c r="A74">
        <v>73</v>
      </c>
      <c r="B74">
        <v>40547</v>
      </c>
      <c r="C74">
        <v>0.16666666666666666</v>
      </c>
      <c r="D74" t="s">
        <v>8</v>
      </c>
      <c r="E74" t="s">
        <v>9</v>
      </c>
      <c r="F74" t="s">
        <v>14</v>
      </c>
      <c r="G74" t="s">
        <v>18</v>
      </c>
      <c r="H74">
        <v>0.14000000000000001</v>
      </c>
    </row>
    <row r="75" spans="1:8" x14ac:dyDescent="0.3">
      <c r="A75">
        <v>74</v>
      </c>
      <c r="B75">
        <v>40547</v>
      </c>
      <c r="C75">
        <v>0.20833333333333334</v>
      </c>
      <c r="D75" t="s">
        <v>8</v>
      </c>
      <c r="E75" t="s">
        <v>9</v>
      </c>
      <c r="F75" t="s">
        <v>14</v>
      </c>
      <c r="G75" t="s">
        <v>18</v>
      </c>
      <c r="H75">
        <v>0.12</v>
      </c>
    </row>
    <row r="76" spans="1:8" x14ac:dyDescent="0.3">
      <c r="A76">
        <v>75</v>
      </c>
      <c r="B76">
        <v>40547</v>
      </c>
      <c r="C76">
        <v>0.25</v>
      </c>
      <c r="D76" t="s">
        <v>8</v>
      </c>
      <c r="E76" t="s">
        <v>9</v>
      </c>
      <c r="F76" t="s">
        <v>14</v>
      </c>
      <c r="G76" t="s">
        <v>18</v>
      </c>
      <c r="H76">
        <v>0.12</v>
      </c>
    </row>
    <row r="77" spans="1:8" x14ac:dyDescent="0.3">
      <c r="A77">
        <v>76</v>
      </c>
      <c r="B77">
        <v>40547</v>
      </c>
      <c r="C77">
        <v>0.29166666666666669</v>
      </c>
      <c r="D77" t="s">
        <v>8</v>
      </c>
      <c r="E77" t="s">
        <v>9</v>
      </c>
      <c r="F77" t="s">
        <v>14</v>
      </c>
      <c r="G77" t="s">
        <v>18</v>
      </c>
      <c r="H77">
        <v>0.12</v>
      </c>
    </row>
    <row r="78" spans="1:8" x14ac:dyDescent="0.3">
      <c r="A78">
        <v>77</v>
      </c>
      <c r="B78">
        <v>40547</v>
      </c>
      <c r="C78">
        <v>0.33333333333333331</v>
      </c>
      <c r="D78" t="s">
        <v>8</v>
      </c>
      <c r="E78" t="s">
        <v>9</v>
      </c>
      <c r="F78" t="s">
        <v>14</v>
      </c>
      <c r="G78" t="s">
        <v>18</v>
      </c>
      <c r="H78">
        <v>0.14000000000000001</v>
      </c>
    </row>
    <row r="79" spans="1:8" x14ac:dyDescent="0.3">
      <c r="A79">
        <v>78</v>
      </c>
      <c r="B79">
        <v>40547</v>
      </c>
      <c r="C79">
        <v>0.375</v>
      </c>
      <c r="D79" t="s">
        <v>8</v>
      </c>
      <c r="E79" t="s">
        <v>9</v>
      </c>
      <c r="F79" t="s">
        <v>14</v>
      </c>
      <c r="G79" t="s">
        <v>18</v>
      </c>
      <c r="H79">
        <v>0.16</v>
      </c>
    </row>
    <row r="80" spans="1:8" x14ac:dyDescent="0.3">
      <c r="A80">
        <v>79</v>
      </c>
      <c r="B80">
        <v>40547</v>
      </c>
      <c r="C80">
        <v>0.41666666666666669</v>
      </c>
      <c r="D80" t="s">
        <v>8</v>
      </c>
      <c r="E80" t="s">
        <v>9</v>
      </c>
      <c r="F80" t="s">
        <v>14</v>
      </c>
      <c r="G80" t="s">
        <v>19</v>
      </c>
      <c r="H80">
        <v>0.16</v>
      </c>
    </row>
    <row r="81" spans="1:8" x14ac:dyDescent="0.3">
      <c r="A81">
        <v>80</v>
      </c>
      <c r="B81">
        <v>40547</v>
      </c>
      <c r="C81">
        <v>0.45833333333333331</v>
      </c>
      <c r="D81" t="s">
        <v>8</v>
      </c>
      <c r="E81" t="s">
        <v>9</v>
      </c>
      <c r="F81" t="s">
        <v>14</v>
      </c>
      <c r="G81" t="s">
        <v>18</v>
      </c>
      <c r="H81">
        <v>0.22</v>
      </c>
    </row>
    <row r="82" spans="1:8" x14ac:dyDescent="0.3">
      <c r="A82">
        <v>81</v>
      </c>
      <c r="B82">
        <v>40547</v>
      </c>
      <c r="C82">
        <v>0.5</v>
      </c>
      <c r="D82" t="s">
        <v>8</v>
      </c>
      <c r="E82" t="s">
        <v>9</v>
      </c>
      <c r="F82" t="s">
        <v>14</v>
      </c>
      <c r="G82" t="s">
        <v>18</v>
      </c>
      <c r="H82">
        <v>0.22</v>
      </c>
    </row>
    <row r="83" spans="1:8" x14ac:dyDescent="0.3">
      <c r="A83">
        <v>82</v>
      </c>
      <c r="B83">
        <v>40547</v>
      </c>
      <c r="C83">
        <v>0.54166666666666663</v>
      </c>
      <c r="D83" t="s">
        <v>8</v>
      </c>
      <c r="E83" t="s">
        <v>9</v>
      </c>
      <c r="F83" t="s">
        <v>14</v>
      </c>
      <c r="G83" t="s">
        <v>18</v>
      </c>
      <c r="H83">
        <v>0.24</v>
      </c>
    </row>
    <row r="84" spans="1:8" x14ac:dyDescent="0.3">
      <c r="A84">
        <v>83</v>
      </c>
      <c r="B84">
        <v>40547</v>
      </c>
      <c r="C84">
        <v>0.58333333333333337</v>
      </c>
      <c r="D84" t="s">
        <v>8</v>
      </c>
      <c r="E84" t="s">
        <v>9</v>
      </c>
      <c r="F84" t="s">
        <v>14</v>
      </c>
      <c r="G84" t="s">
        <v>18</v>
      </c>
      <c r="H84">
        <v>0.26</v>
      </c>
    </row>
    <row r="85" spans="1:8" x14ac:dyDescent="0.3">
      <c r="A85">
        <v>84</v>
      </c>
      <c r="B85">
        <v>40547</v>
      </c>
      <c r="C85">
        <v>0.625</v>
      </c>
      <c r="D85" t="s">
        <v>8</v>
      </c>
      <c r="E85" t="s">
        <v>9</v>
      </c>
      <c r="F85" t="s">
        <v>14</v>
      </c>
      <c r="G85" t="s">
        <v>18</v>
      </c>
      <c r="H85">
        <v>0.28000000000000003</v>
      </c>
    </row>
    <row r="86" spans="1:8" x14ac:dyDescent="0.3">
      <c r="A86">
        <v>85</v>
      </c>
      <c r="B86">
        <v>40547</v>
      </c>
      <c r="C86">
        <v>0.66666666666666663</v>
      </c>
      <c r="D86" t="s">
        <v>8</v>
      </c>
      <c r="E86" t="s">
        <v>9</v>
      </c>
      <c r="F86" t="s">
        <v>14</v>
      </c>
      <c r="G86" t="s">
        <v>18</v>
      </c>
      <c r="H86">
        <v>0.3</v>
      </c>
    </row>
    <row r="87" spans="1:8" x14ac:dyDescent="0.3">
      <c r="A87">
        <v>86</v>
      </c>
      <c r="B87">
        <v>40547</v>
      </c>
      <c r="C87">
        <v>0.70833333333333337</v>
      </c>
      <c r="D87" t="s">
        <v>8</v>
      </c>
      <c r="E87" t="s">
        <v>9</v>
      </c>
      <c r="F87" t="s">
        <v>14</v>
      </c>
      <c r="G87" t="s">
        <v>18</v>
      </c>
      <c r="H87">
        <v>0.28000000000000003</v>
      </c>
    </row>
    <row r="88" spans="1:8" x14ac:dyDescent="0.3">
      <c r="A88">
        <v>87</v>
      </c>
      <c r="B88">
        <v>40547</v>
      </c>
      <c r="C88">
        <v>0.75</v>
      </c>
      <c r="D88" t="s">
        <v>8</v>
      </c>
      <c r="E88" t="s">
        <v>9</v>
      </c>
      <c r="F88" t="s">
        <v>14</v>
      </c>
      <c r="G88" t="s">
        <v>18</v>
      </c>
      <c r="H88">
        <v>0.26</v>
      </c>
    </row>
    <row r="89" spans="1:8" x14ac:dyDescent="0.3">
      <c r="A89">
        <v>88</v>
      </c>
      <c r="B89">
        <v>40547</v>
      </c>
      <c r="C89">
        <v>0.79166666666666663</v>
      </c>
      <c r="D89" t="s">
        <v>8</v>
      </c>
      <c r="E89" t="s">
        <v>9</v>
      </c>
      <c r="F89" t="s">
        <v>14</v>
      </c>
      <c r="G89" t="s">
        <v>18</v>
      </c>
      <c r="H89">
        <v>0.24</v>
      </c>
    </row>
    <row r="90" spans="1:8" x14ac:dyDescent="0.3">
      <c r="A90">
        <v>89</v>
      </c>
      <c r="B90">
        <v>40547</v>
      </c>
      <c r="C90">
        <v>0.83333333333333337</v>
      </c>
      <c r="D90" t="s">
        <v>8</v>
      </c>
      <c r="E90" t="s">
        <v>9</v>
      </c>
      <c r="F90" t="s">
        <v>14</v>
      </c>
      <c r="G90" t="s">
        <v>18</v>
      </c>
      <c r="H90">
        <v>0.24</v>
      </c>
    </row>
    <row r="91" spans="1:8" x14ac:dyDescent="0.3">
      <c r="A91">
        <v>90</v>
      </c>
      <c r="B91">
        <v>40547</v>
      </c>
      <c r="C91">
        <v>0.875</v>
      </c>
      <c r="D91" t="s">
        <v>8</v>
      </c>
      <c r="E91" t="s">
        <v>9</v>
      </c>
      <c r="F91" t="s">
        <v>14</v>
      </c>
      <c r="G91" t="s">
        <v>18</v>
      </c>
      <c r="H91">
        <v>0.22</v>
      </c>
    </row>
    <row r="92" spans="1:8" x14ac:dyDescent="0.3">
      <c r="A92">
        <v>91</v>
      </c>
      <c r="B92">
        <v>40547</v>
      </c>
      <c r="C92">
        <v>0.91666666666666663</v>
      </c>
      <c r="D92" t="s">
        <v>8</v>
      </c>
      <c r="E92" t="s">
        <v>9</v>
      </c>
      <c r="F92" t="s">
        <v>14</v>
      </c>
      <c r="G92" t="s">
        <v>18</v>
      </c>
      <c r="H92">
        <v>0.22</v>
      </c>
    </row>
    <row r="93" spans="1:8" x14ac:dyDescent="0.3">
      <c r="A93">
        <v>92</v>
      </c>
      <c r="B93">
        <v>40547</v>
      </c>
      <c r="C93">
        <v>0.95833333333333337</v>
      </c>
      <c r="D93" t="s">
        <v>8</v>
      </c>
      <c r="E93" t="s">
        <v>9</v>
      </c>
      <c r="F93" t="s">
        <v>14</v>
      </c>
      <c r="G93" t="s">
        <v>18</v>
      </c>
      <c r="H93">
        <v>0.2</v>
      </c>
    </row>
    <row r="94" spans="1:8" x14ac:dyDescent="0.3">
      <c r="A94">
        <v>93</v>
      </c>
      <c r="B94">
        <v>40548</v>
      </c>
      <c r="C94">
        <v>0</v>
      </c>
      <c r="D94" t="s">
        <v>8</v>
      </c>
      <c r="E94" t="s">
        <v>9</v>
      </c>
      <c r="F94" t="s">
        <v>15</v>
      </c>
      <c r="G94" t="s">
        <v>18</v>
      </c>
      <c r="H94">
        <v>0.2</v>
      </c>
    </row>
    <row r="95" spans="1:8" x14ac:dyDescent="0.3">
      <c r="A95">
        <v>94</v>
      </c>
      <c r="B95">
        <v>40548</v>
      </c>
      <c r="C95">
        <v>4.1666666666666664E-2</v>
      </c>
      <c r="D95" t="s">
        <v>8</v>
      </c>
      <c r="E95" t="s">
        <v>9</v>
      </c>
      <c r="F95" t="s">
        <v>15</v>
      </c>
      <c r="G95" t="s">
        <v>18</v>
      </c>
      <c r="H95">
        <v>0.16</v>
      </c>
    </row>
    <row r="96" spans="1:8" x14ac:dyDescent="0.3">
      <c r="A96">
        <v>95</v>
      </c>
      <c r="B96">
        <v>40548</v>
      </c>
      <c r="C96">
        <v>8.3333333333333329E-2</v>
      </c>
      <c r="D96" t="s">
        <v>8</v>
      </c>
      <c r="E96" t="s">
        <v>9</v>
      </c>
      <c r="F96" t="s">
        <v>15</v>
      </c>
      <c r="G96" t="s">
        <v>18</v>
      </c>
      <c r="H96">
        <v>0.16</v>
      </c>
    </row>
    <row r="97" spans="1:8" x14ac:dyDescent="0.3">
      <c r="A97">
        <v>96</v>
      </c>
      <c r="B97">
        <v>40548</v>
      </c>
      <c r="C97">
        <v>0.16666666666666666</v>
      </c>
      <c r="D97" t="s">
        <v>8</v>
      </c>
      <c r="E97" t="s">
        <v>9</v>
      </c>
      <c r="F97" t="s">
        <v>15</v>
      </c>
      <c r="G97" t="s">
        <v>18</v>
      </c>
      <c r="H97">
        <v>0.24</v>
      </c>
    </row>
    <row r="98" spans="1:8" x14ac:dyDescent="0.3">
      <c r="A98">
        <v>97</v>
      </c>
      <c r="B98">
        <v>40548</v>
      </c>
      <c r="C98">
        <v>0.20833333333333334</v>
      </c>
      <c r="D98" t="s">
        <v>8</v>
      </c>
      <c r="E98" t="s">
        <v>9</v>
      </c>
      <c r="F98" t="s">
        <v>15</v>
      </c>
      <c r="G98" t="s">
        <v>18</v>
      </c>
      <c r="H98">
        <v>0.22</v>
      </c>
    </row>
    <row r="99" spans="1:8" x14ac:dyDescent="0.3">
      <c r="A99">
        <v>98</v>
      </c>
      <c r="B99">
        <v>40548</v>
      </c>
      <c r="C99">
        <v>0.25</v>
      </c>
      <c r="D99" t="s">
        <v>8</v>
      </c>
      <c r="E99" t="s">
        <v>9</v>
      </c>
      <c r="F99" t="s">
        <v>15</v>
      </c>
      <c r="G99" t="s">
        <v>18</v>
      </c>
      <c r="H99">
        <v>0.2</v>
      </c>
    </row>
    <row r="100" spans="1:8" x14ac:dyDescent="0.3">
      <c r="A100">
        <v>99</v>
      </c>
      <c r="B100">
        <v>40548</v>
      </c>
      <c r="C100">
        <v>0.29166666666666669</v>
      </c>
      <c r="D100" t="s">
        <v>8</v>
      </c>
      <c r="E100" t="s">
        <v>9</v>
      </c>
      <c r="F100" t="s">
        <v>15</v>
      </c>
      <c r="G100" t="s">
        <v>18</v>
      </c>
      <c r="H100">
        <v>0.18</v>
      </c>
    </row>
    <row r="101" spans="1:8" x14ac:dyDescent="0.3">
      <c r="A101">
        <v>100</v>
      </c>
      <c r="B101">
        <v>40548</v>
      </c>
      <c r="C101">
        <v>0.33333333333333331</v>
      </c>
      <c r="D101" t="s">
        <v>8</v>
      </c>
      <c r="E101" t="s">
        <v>9</v>
      </c>
      <c r="F101" t="s">
        <v>15</v>
      </c>
      <c r="G101" t="s">
        <v>18</v>
      </c>
      <c r="H101">
        <v>0.2</v>
      </c>
    </row>
    <row r="102" spans="1:8" x14ac:dyDescent="0.3">
      <c r="A102">
        <v>101</v>
      </c>
      <c r="B102">
        <v>40548</v>
      </c>
      <c r="C102">
        <v>0.375</v>
      </c>
      <c r="D102" t="s">
        <v>8</v>
      </c>
      <c r="E102" t="s">
        <v>9</v>
      </c>
      <c r="F102" t="s">
        <v>15</v>
      </c>
      <c r="G102" t="s">
        <v>18</v>
      </c>
      <c r="H102">
        <v>0.22</v>
      </c>
    </row>
    <row r="103" spans="1:8" x14ac:dyDescent="0.3">
      <c r="A103">
        <v>102</v>
      </c>
      <c r="B103">
        <v>40548</v>
      </c>
      <c r="C103">
        <v>0.41666666666666669</v>
      </c>
      <c r="D103" t="s">
        <v>8</v>
      </c>
      <c r="E103" t="s">
        <v>9</v>
      </c>
      <c r="F103" t="s">
        <v>15</v>
      </c>
      <c r="G103" t="s">
        <v>18</v>
      </c>
      <c r="H103">
        <v>0.22</v>
      </c>
    </row>
    <row r="104" spans="1:8" x14ac:dyDescent="0.3">
      <c r="A104">
        <v>103</v>
      </c>
      <c r="B104">
        <v>40548</v>
      </c>
      <c r="C104">
        <v>0.45833333333333331</v>
      </c>
      <c r="D104" t="s">
        <v>8</v>
      </c>
      <c r="E104" t="s">
        <v>9</v>
      </c>
      <c r="F104" t="s">
        <v>15</v>
      </c>
      <c r="G104" t="s">
        <v>18</v>
      </c>
      <c r="H104">
        <v>0.26</v>
      </c>
    </row>
    <row r="105" spans="1:8" x14ac:dyDescent="0.3">
      <c r="A105">
        <v>104</v>
      </c>
      <c r="B105">
        <v>40548</v>
      </c>
      <c r="C105">
        <v>0.5</v>
      </c>
      <c r="D105" t="s">
        <v>8</v>
      </c>
      <c r="E105" t="s">
        <v>9</v>
      </c>
      <c r="F105" t="s">
        <v>15</v>
      </c>
      <c r="G105" t="s">
        <v>18</v>
      </c>
      <c r="H105">
        <v>0.26</v>
      </c>
    </row>
    <row r="106" spans="1:8" x14ac:dyDescent="0.3">
      <c r="A106">
        <v>105</v>
      </c>
      <c r="B106">
        <v>40548</v>
      </c>
      <c r="C106">
        <v>0.54166666666666663</v>
      </c>
      <c r="D106" t="s">
        <v>8</v>
      </c>
      <c r="E106" t="s">
        <v>9</v>
      </c>
      <c r="F106" t="s">
        <v>15</v>
      </c>
      <c r="G106" t="s">
        <v>18</v>
      </c>
      <c r="H106">
        <v>0.28000000000000003</v>
      </c>
    </row>
    <row r="107" spans="1:8" x14ac:dyDescent="0.3">
      <c r="A107">
        <v>106</v>
      </c>
      <c r="B107">
        <v>40548</v>
      </c>
      <c r="C107">
        <v>0.58333333333333337</v>
      </c>
      <c r="D107" t="s">
        <v>8</v>
      </c>
      <c r="E107" t="s">
        <v>9</v>
      </c>
      <c r="F107" t="s">
        <v>15</v>
      </c>
      <c r="G107" t="s">
        <v>18</v>
      </c>
      <c r="H107">
        <v>0.3</v>
      </c>
    </row>
    <row r="108" spans="1:8" x14ac:dyDescent="0.3">
      <c r="A108">
        <v>107</v>
      </c>
      <c r="B108">
        <v>40548</v>
      </c>
      <c r="C108">
        <v>0.625</v>
      </c>
      <c r="D108" t="s">
        <v>8</v>
      </c>
      <c r="E108" t="s">
        <v>9</v>
      </c>
      <c r="F108" t="s">
        <v>15</v>
      </c>
      <c r="G108" t="s">
        <v>18</v>
      </c>
      <c r="H108">
        <v>0.3</v>
      </c>
    </row>
    <row r="109" spans="1:8" x14ac:dyDescent="0.3">
      <c r="A109">
        <v>108</v>
      </c>
      <c r="B109">
        <v>40548</v>
      </c>
      <c r="C109">
        <v>0.66666666666666663</v>
      </c>
      <c r="D109" t="s">
        <v>8</v>
      </c>
      <c r="E109" t="s">
        <v>9</v>
      </c>
      <c r="F109" t="s">
        <v>15</v>
      </c>
      <c r="G109" t="s">
        <v>18</v>
      </c>
      <c r="H109">
        <v>0.3</v>
      </c>
    </row>
    <row r="110" spans="1:8" x14ac:dyDescent="0.3">
      <c r="A110">
        <v>109</v>
      </c>
      <c r="B110">
        <v>40548</v>
      </c>
      <c r="C110">
        <v>0.70833333333333337</v>
      </c>
      <c r="D110" t="s">
        <v>8</v>
      </c>
      <c r="E110" t="s">
        <v>9</v>
      </c>
      <c r="F110" t="s">
        <v>15</v>
      </c>
      <c r="G110" t="s">
        <v>18</v>
      </c>
      <c r="H110">
        <v>0.24</v>
      </c>
    </row>
    <row r="111" spans="1:8" x14ac:dyDescent="0.3">
      <c r="A111">
        <v>110</v>
      </c>
      <c r="B111">
        <v>40548</v>
      </c>
      <c r="C111">
        <v>0.75</v>
      </c>
      <c r="D111" t="s">
        <v>8</v>
      </c>
      <c r="E111" t="s">
        <v>9</v>
      </c>
      <c r="F111" t="s">
        <v>15</v>
      </c>
      <c r="G111" t="s">
        <v>18</v>
      </c>
      <c r="H111">
        <v>0.24</v>
      </c>
    </row>
    <row r="112" spans="1:8" x14ac:dyDescent="0.3">
      <c r="A112">
        <v>111</v>
      </c>
      <c r="B112">
        <v>40548</v>
      </c>
      <c r="C112">
        <v>0.79166666666666663</v>
      </c>
      <c r="D112" t="s">
        <v>8</v>
      </c>
      <c r="E112" t="s">
        <v>9</v>
      </c>
      <c r="F112" t="s">
        <v>15</v>
      </c>
      <c r="G112" t="s">
        <v>18</v>
      </c>
      <c r="H112">
        <v>0.24</v>
      </c>
    </row>
    <row r="113" spans="1:8" x14ac:dyDescent="0.3">
      <c r="A113">
        <v>112</v>
      </c>
      <c r="B113">
        <v>40548</v>
      </c>
      <c r="C113">
        <v>0.83333333333333337</v>
      </c>
      <c r="D113" t="s">
        <v>8</v>
      </c>
      <c r="E113" t="s">
        <v>9</v>
      </c>
      <c r="F113" t="s">
        <v>15</v>
      </c>
      <c r="G113" t="s">
        <v>18</v>
      </c>
      <c r="H113">
        <v>0.22</v>
      </c>
    </row>
    <row r="114" spans="1:8" x14ac:dyDescent="0.3">
      <c r="A114">
        <v>113</v>
      </c>
      <c r="B114">
        <v>40548</v>
      </c>
      <c r="C114">
        <v>0.875</v>
      </c>
      <c r="D114" t="s">
        <v>8</v>
      </c>
      <c r="E114" t="s">
        <v>9</v>
      </c>
      <c r="F114" t="s">
        <v>15</v>
      </c>
      <c r="G114" t="s">
        <v>18</v>
      </c>
      <c r="H114">
        <v>0.2</v>
      </c>
    </row>
    <row r="115" spans="1:8" x14ac:dyDescent="0.3">
      <c r="A115">
        <v>114</v>
      </c>
      <c r="B115">
        <v>40548</v>
      </c>
      <c r="C115">
        <v>0.91666666666666663</v>
      </c>
      <c r="D115" t="s">
        <v>8</v>
      </c>
      <c r="E115" t="s">
        <v>9</v>
      </c>
      <c r="F115" t="s">
        <v>15</v>
      </c>
      <c r="G115" t="s">
        <v>18</v>
      </c>
      <c r="H115">
        <v>0.18</v>
      </c>
    </row>
    <row r="116" spans="1:8" x14ac:dyDescent="0.3">
      <c r="A116">
        <v>115</v>
      </c>
      <c r="B116">
        <v>40548</v>
      </c>
      <c r="C116">
        <v>0.95833333333333337</v>
      </c>
      <c r="D116" t="s">
        <v>8</v>
      </c>
      <c r="E116" t="s">
        <v>9</v>
      </c>
      <c r="F116" t="s">
        <v>15</v>
      </c>
      <c r="G116" t="s">
        <v>18</v>
      </c>
      <c r="H116">
        <v>0.2</v>
      </c>
    </row>
    <row r="117" spans="1:8" x14ac:dyDescent="0.3">
      <c r="A117">
        <v>116</v>
      </c>
      <c r="B117">
        <v>40549</v>
      </c>
      <c r="C117">
        <v>0</v>
      </c>
      <c r="D117" t="s">
        <v>8</v>
      </c>
      <c r="E117" t="s">
        <v>9</v>
      </c>
      <c r="F117" t="s">
        <v>16</v>
      </c>
      <c r="G117" t="s">
        <v>18</v>
      </c>
      <c r="H117">
        <v>0.18</v>
      </c>
    </row>
    <row r="118" spans="1:8" x14ac:dyDescent="0.3">
      <c r="A118">
        <v>117</v>
      </c>
      <c r="B118">
        <v>40549</v>
      </c>
      <c r="C118">
        <v>4.1666666666666664E-2</v>
      </c>
      <c r="D118" t="s">
        <v>8</v>
      </c>
      <c r="E118" t="s">
        <v>9</v>
      </c>
      <c r="F118" t="s">
        <v>16</v>
      </c>
      <c r="G118" t="s">
        <v>18</v>
      </c>
      <c r="H118">
        <v>0.16</v>
      </c>
    </row>
    <row r="119" spans="1:8" x14ac:dyDescent="0.3">
      <c r="A119">
        <v>118</v>
      </c>
      <c r="B119">
        <v>40549</v>
      </c>
      <c r="C119">
        <v>8.3333333333333329E-2</v>
      </c>
      <c r="D119" t="s">
        <v>8</v>
      </c>
      <c r="E119" t="s">
        <v>9</v>
      </c>
      <c r="F119" t="s">
        <v>16</v>
      </c>
      <c r="G119" t="s">
        <v>18</v>
      </c>
      <c r="H119">
        <v>0.16</v>
      </c>
    </row>
    <row r="120" spans="1:8" x14ac:dyDescent="0.3">
      <c r="A120">
        <v>119</v>
      </c>
      <c r="B120">
        <v>40549</v>
      </c>
      <c r="C120">
        <v>0.16666666666666666</v>
      </c>
      <c r="D120" t="s">
        <v>8</v>
      </c>
      <c r="E120" t="s">
        <v>9</v>
      </c>
      <c r="F120" t="s">
        <v>16</v>
      </c>
      <c r="G120" t="s">
        <v>19</v>
      </c>
      <c r="H120">
        <v>0.16</v>
      </c>
    </row>
    <row r="121" spans="1:8" x14ac:dyDescent="0.3">
      <c r="A121">
        <v>120</v>
      </c>
      <c r="B121">
        <v>40549</v>
      </c>
      <c r="C121">
        <v>0.20833333333333334</v>
      </c>
      <c r="D121" t="s">
        <v>8</v>
      </c>
      <c r="E121" t="s">
        <v>9</v>
      </c>
      <c r="F121" t="s">
        <v>16</v>
      </c>
      <c r="G121" t="s">
        <v>19</v>
      </c>
      <c r="H121">
        <v>0.14000000000000001</v>
      </c>
    </row>
    <row r="122" spans="1:8" x14ac:dyDescent="0.3">
      <c r="A122">
        <v>121</v>
      </c>
      <c r="B122">
        <v>40549</v>
      </c>
      <c r="C122">
        <v>0.25</v>
      </c>
      <c r="D122" t="s">
        <v>8</v>
      </c>
      <c r="E122" t="s">
        <v>9</v>
      </c>
      <c r="F122" t="s">
        <v>16</v>
      </c>
      <c r="G122" t="s">
        <v>19</v>
      </c>
      <c r="H122">
        <v>0.14000000000000001</v>
      </c>
    </row>
    <row r="123" spans="1:8" x14ac:dyDescent="0.3">
      <c r="A123">
        <v>122</v>
      </c>
      <c r="B123">
        <v>40549</v>
      </c>
      <c r="C123">
        <v>0.29166666666666669</v>
      </c>
      <c r="D123" t="s">
        <v>8</v>
      </c>
      <c r="E123" t="s">
        <v>9</v>
      </c>
      <c r="F123" t="s">
        <v>16</v>
      </c>
      <c r="G123" t="s">
        <v>19</v>
      </c>
      <c r="H123">
        <v>0.16</v>
      </c>
    </row>
    <row r="124" spans="1:8" x14ac:dyDescent="0.3">
      <c r="A124">
        <v>123</v>
      </c>
      <c r="B124">
        <v>40549</v>
      </c>
      <c r="C124">
        <v>0.33333333333333331</v>
      </c>
      <c r="D124" t="s">
        <v>8</v>
      </c>
      <c r="E124" t="s">
        <v>9</v>
      </c>
      <c r="F124" t="s">
        <v>16</v>
      </c>
      <c r="G124" t="s">
        <v>18</v>
      </c>
      <c r="H124">
        <v>0.16</v>
      </c>
    </row>
    <row r="125" spans="1:8" x14ac:dyDescent="0.3">
      <c r="A125">
        <v>124</v>
      </c>
      <c r="B125">
        <v>40549</v>
      </c>
      <c r="C125">
        <v>0.375</v>
      </c>
      <c r="D125" t="s">
        <v>8</v>
      </c>
      <c r="E125" t="s">
        <v>9</v>
      </c>
      <c r="F125" t="s">
        <v>16</v>
      </c>
      <c r="G125" t="s">
        <v>19</v>
      </c>
      <c r="H125">
        <v>0.18</v>
      </c>
    </row>
    <row r="126" spans="1:8" x14ac:dyDescent="0.3">
      <c r="A126">
        <v>125</v>
      </c>
      <c r="B126">
        <v>40549</v>
      </c>
      <c r="C126">
        <v>0.41666666666666669</v>
      </c>
      <c r="D126" t="s">
        <v>8</v>
      </c>
      <c r="E126" t="s">
        <v>9</v>
      </c>
      <c r="F126" t="s">
        <v>16</v>
      </c>
      <c r="G126" t="s">
        <v>18</v>
      </c>
      <c r="H126">
        <v>0.2</v>
      </c>
    </row>
    <row r="127" spans="1:8" x14ac:dyDescent="0.3">
      <c r="A127">
        <v>126</v>
      </c>
      <c r="B127">
        <v>40549</v>
      </c>
      <c r="C127">
        <v>0.45833333333333331</v>
      </c>
      <c r="D127" t="s">
        <v>8</v>
      </c>
      <c r="E127" t="s">
        <v>9</v>
      </c>
      <c r="F127" t="s">
        <v>16</v>
      </c>
      <c r="G127" t="s">
        <v>18</v>
      </c>
      <c r="H127">
        <v>0.22</v>
      </c>
    </row>
    <row r="128" spans="1:8" x14ac:dyDescent="0.3">
      <c r="A128">
        <v>127</v>
      </c>
      <c r="B128">
        <v>40549</v>
      </c>
      <c r="C128">
        <v>0.5</v>
      </c>
      <c r="D128" t="s">
        <v>8</v>
      </c>
      <c r="E128" t="s">
        <v>9</v>
      </c>
      <c r="F128" t="s">
        <v>16</v>
      </c>
      <c r="G128" t="s">
        <v>18</v>
      </c>
      <c r="H128">
        <v>0.26</v>
      </c>
    </row>
    <row r="129" spans="1:8" x14ac:dyDescent="0.3">
      <c r="A129">
        <v>128</v>
      </c>
      <c r="B129">
        <v>40549</v>
      </c>
      <c r="C129">
        <v>0.54166666666666663</v>
      </c>
      <c r="D129" t="s">
        <v>8</v>
      </c>
      <c r="E129" t="s">
        <v>9</v>
      </c>
      <c r="F129" t="s">
        <v>16</v>
      </c>
      <c r="G129" t="s">
        <v>18</v>
      </c>
      <c r="H129">
        <v>0.26</v>
      </c>
    </row>
    <row r="130" spans="1:8" x14ac:dyDescent="0.3">
      <c r="A130">
        <v>129</v>
      </c>
      <c r="B130">
        <v>40549</v>
      </c>
      <c r="C130">
        <v>0.58333333333333337</v>
      </c>
      <c r="D130" t="s">
        <v>8</v>
      </c>
      <c r="E130" t="s">
        <v>9</v>
      </c>
      <c r="F130" t="s">
        <v>16</v>
      </c>
      <c r="G130" t="s">
        <v>18</v>
      </c>
      <c r="H130">
        <v>0.28000000000000003</v>
      </c>
    </row>
    <row r="131" spans="1:8" x14ac:dyDescent="0.3">
      <c r="A131">
        <v>130</v>
      </c>
      <c r="B131">
        <v>40549</v>
      </c>
      <c r="C131">
        <v>0.625</v>
      </c>
      <c r="D131" t="s">
        <v>8</v>
      </c>
      <c r="E131" t="s">
        <v>9</v>
      </c>
      <c r="F131" t="s">
        <v>16</v>
      </c>
      <c r="G131" t="s">
        <v>18</v>
      </c>
      <c r="H131">
        <v>0.28000000000000003</v>
      </c>
    </row>
    <row r="132" spans="1:8" x14ac:dyDescent="0.3">
      <c r="A132">
        <v>131</v>
      </c>
      <c r="B132">
        <v>40549</v>
      </c>
      <c r="C132">
        <v>0.66666666666666663</v>
      </c>
      <c r="D132" t="s">
        <v>8</v>
      </c>
      <c r="E132" t="s">
        <v>9</v>
      </c>
      <c r="F132" t="s">
        <v>16</v>
      </c>
      <c r="G132" t="s">
        <v>18</v>
      </c>
      <c r="H132">
        <v>0.26</v>
      </c>
    </row>
    <row r="133" spans="1:8" x14ac:dyDescent="0.3">
      <c r="A133">
        <v>132</v>
      </c>
      <c r="B133">
        <v>40549</v>
      </c>
      <c r="C133">
        <v>0.70833333333333337</v>
      </c>
      <c r="D133" t="s">
        <v>8</v>
      </c>
      <c r="E133" t="s">
        <v>9</v>
      </c>
      <c r="F133" t="s">
        <v>16</v>
      </c>
      <c r="G133" t="s">
        <v>18</v>
      </c>
      <c r="H133">
        <v>0.22</v>
      </c>
    </row>
    <row r="134" spans="1:8" x14ac:dyDescent="0.3">
      <c r="A134">
        <v>133</v>
      </c>
      <c r="B134">
        <v>40549</v>
      </c>
      <c r="C134">
        <v>0.75</v>
      </c>
      <c r="D134" t="s">
        <v>8</v>
      </c>
      <c r="E134" t="s">
        <v>9</v>
      </c>
      <c r="F134" t="s">
        <v>16</v>
      </c>
      <c r="G134" t="s">
        <v>18</v>
      </c>
      <c r="H134">
        <v>0.22</v>
      </c>
    </row>
    <row r="135" spans="1:8" x14ac:dyDescent="0.3">
      <c r="A135">
        <v>134</v>
      </c>
      <c r="B135">
        <v>40549</v>
      </c>
      <c r="C135">
        <v>0.79166666666666663</v>
      </c>
      <c r="D135" t="s">
        <v>8</v>
      </c>
      <c r="E135" t="s">
        <v>9</v>
      </c>
      <c r="F135" t="s">
        <v>16</v>
      </c>
      <c r="G135" t="s">
        <v>18</v>
      </c>
      <c r="H135">
        <v>0.22</v>
      </c>
    </row>
    <row r="136" spans="1:8" x14ac:dyDescent="0.3">
      <c r="A136">
        <v>135</v>
      </c>
      <c r="B136">
        <v>40549</v>
      </c>
      <c r="C136">
        <v>0.83333333333333337</v>
      </c>
      <c r="D136" t="s">
        <v>8</v>
      </c>
      <c r="E136" t="s">
        <v>9</v>
      </c>
      <c r="F136" t="s">
        <v>16</v>
      </c>
      <c r="G136" t="s">
        <v>18</v>
      </c>
      <c r="H136">
        <v>0.2</v>
      </c>
    </row>
    <row r="137" spans="1:8" x14ac:dyDescent="0.3">
      <c r="A137">
        <v>136</v>
      </c>
      <c r="B137">
        <v>40549</v>
      </c>
      <c r="C137">
        <v>0.875</v>
      </c>
      <c r="D137" t="s">
        <v>8</v>
      </c>
      <c r="E137" t="s">
        <v>9</v>
      </c>
      <c r="F137" t="s">
        <v>16</v>
      </c>
      <c r="G137" t="s">
        <v>19</v>
      </c>
      <c r="H137">
        <v>0.22</v>
      </c>
    </row>
    <row r="138" spans="1:8" x14ac:dyDescent="0.3">
      <c r="A138">
        <v>137</v>
      </c>
      <c r="B138">
        <v>40549</v>
      </c>
      <c r="C138">
        <v>0.91666666666666663</v>
      </c>
      <c r="D138" t="s">
        <v>8</v>
      </c>
      <c r="E138" t="s">
        <v>9</v>
      </c>
      <c r="F138" t="s">
        <v>16</v>
      </c>
      <c r="G138" t="s">
        <v>19</v>
      </c>
      <c r="H138">
        <v>0.22</v>
      </c>
    </row>
    <row r="139" spans="1:8" x14ac:dyDescent="0.3">
      <c r="A139">
        <v>138</v>
      </c>
      <c r="B139">
        <v>40549</v>
      </c>
      <c r="C139">
        <v>0.95833333333333337</v>
      </c>
      <c r="D139" t="s">
        <v>8</v>
      </c>
      <c r="E139" t="s">
        <v>9</v>
      </c>
      <c r="F139" t="s">
        <v>16</v>
      </c>
      <c r="G139" t="s">
        <v>19</v>
      </c>
      <c r="H139">
        <v>0.2</v>
      </c>
    </row>
    <row r="140" spans="1:8" x14ac:dyDescent="0.3">
      <c r="A140">
        <v>139</v>
      </c>
      <c r="B140">
        <v>40550</v>
      </c>
      <c r="C140">
        <v>0</v>
      </c>
      <c r="D140" t="s">
        <v>8</v>
      </c>
      <c r="E140" t="s">
        <v>9</v>
      </c>
      <c r="F140" t="s">
        <v>17</v>
      </c>
      <c r="G140" t="s">
        <v>19</v>
      </c>
      <c r="H140">
        <v>0.2</v>
      </c>
    </row>
    <row r="141" spans="1:8" x14ac:dyDescent="0.3">
      <c r="A141">
        <v>140</v>
      </c>
      <c r="B141">
        <v>40550</v>
      </c>
      <c r="C141">
        <v>4.1666666666666664E-2</v>
      </c>
      <c r="D141" t="s">
        <v>8</v>
      </c>
      <c r="E141" t="s">
        <v>9</v>
      </c>
      <c r="F141" t="s">
        <v>17</v>
      </c>
      <c r="G141" t="s">
        <v>19</v>
      </c>
      <c r="H141">
        <v>0.2</v>
      </c>
    </row>
    <row r="142" spans="1:8" x14ac:dyDescent="0.3">
      <c r="A142">
        <v>141</v>
      </c>
      <c r="B142">
        <v>40550</v>
      </c>
      <c r="C142">
        <v>8.3333333333333329E-2</v>
      </c>
      <c r="D142" t="s">
        <v>8</v>
      </c>
      <c r="E142" t="s">
        <v>9</v>
      </c>
      <c r="F142" t="s">
        <v>17</v>
      </c>
      <c r="G142" t="s">
        <v>19</v>
      </c>
      <c r="H142">
        <v>0.2</v>
      </c>
    </row>
    <row r="143" spans="1:8" x14ac:dyDescent="0.3">
      <c r="A143">
        <v>142</v>
      </c>
      <c r="B143">
        <v>40550</v>
      </c>
      <c r="C143">
        <v>0.16666666666666666</v>
      </c>
      <c r="D143" t="s">
        <v>8</v>
      </c>
      <c r="E143" t="s">
        <v>9</v>
      </c>
      <c r="F143" t="s">
        <v>17</v>
      </c>
      <c r="G143" t="s">
        <v>19</v>
      </c>
      <c r="H143">
        <v>0.2</v>
      </c>
    </row>
    <row r="144" spans="1:8" x14ac:dyDescent="0.3">
      <c r="A144">
        <v>143</v>
      </c>
      <c r="B144">
        <v>40550</v>
      </c>
      <c r="C144">
        <v>0.20833333333333334</v>
      </c>
      <c r="D144" t="s">
        <v>8</v>
      </c>
      <c r="E144" t="s">
        <v>9</v>
      </c>
      <c r="F144" t="s">
        <v>17</v>
      </c>
      <c r="G144" t="s">
        <v>20</v>
      </c>
      <c r="H144">
        <v>0.22</v>
      </c>
    </row>
    <row r="145" spans="1:8" x14ac:dyDescent="0.3">
      <c r="A145">
        <v>144</v>
      </c>
      <c r="B145">
        <v>40550</v>
      </c>
      <c r="C145">
        <v>0.25</v>
      </c>
      <c r="D145" t="s">
        <v>8</v>
      </c>
      <c r="E145" t="s">
        <v>9</v>
      </c>
      <c r="F145" t="s">
        <v>17</v>
      </c>
      <c r="G145" t="s">
        <v>19</v>
      </c>
      <c r="H145">
        <v>0.2</v>
      </c>
    </row>
    <row r="146" spans="1:8" x14ac:dyDescent="0.3">
      <c r="A146">
        <v>145</v>
      </c>
      <c r="B146">
        <v>40550</v>
      </c>
      <c r="C146">
        <v>0.29166666666666669</v>
      </c>
      <c r="D146" t="s">
        <v>8</v>
      </c>
      <c r="E146" t="s">
        <v>9</v>
      </c>
      <c r="F146" t="s">
        <v>17</v>
      </c>
      <c r="G146" t="s">
        <v>18</v>
      </c>
      <c r="H146">
        <v>0.2</v>
      </c>
    </row>
    <row r="147" spans="1:8" x14ac:dyDescent="0.3">
      <c r="A147">
        <v>146</v>
      </c>
      <c r="B147">
        <v>40550</v>
      </c>
      <c r="C147">
        <v>0.33333333333333331</v>
      </c>
      <c r="D147" t="s">
        <v>8</v>
      </c>
      <c r="E147" t="s">
        <v>9</v>
      </c>
      <c r="F147" t="s">
        <v>17</v>
      </c>
      <c r="G147" t="s">
        <v>18</v>
      </c>
      <c r="H147">
        <v>0.2</v>
      </c>
    </row>
    <row r="148" spans="1:8" x14ac:dyDescent="0.3">
      <c r="A148">
        <v>147</v>
      </c>
      <c r="B148">
        <v>40550</v>
      </c>
      <c r="C148">
        <v>0.375</v>
      </c>
      <c r="D148" t="s">
        <v>8</v>
      </c>
      <c r="E148" t="s">
        <v>9</v>
      </c>
      <c r="F148" t="s">
        <v>17</v>
      </c>
      <c r="G148" t="s">
        <v>18</v>
      </c>
      <c r="H148">
        <v>0.2</v>
      </c>
    </row>
    <row r="149" spans="1:8" x14ac:dyDescent="0.3">
      <c r="A149">
        <v>148</v>
      </c>
      <c r="B149">
        <v>40550</v>
      </c>
      <c r="C149">
        <v>0.41666666666666669</v>
      </c>
      <c r="D149" t="s">
        <v>8</v>
      </c>
      <c r="E149" t="s">
        <v>9</v>
      </c>
      <c r="F149" t="s">
        <v>17</v>
      </c>
      <c r="G149" t="s">
        <v>18</v>
      </c>
      <c r="H149">
        <v>0.22</v>
      </c>
    </row>
    <row r="150" spans="1:8" x14ac:dyDescent="0.3">
      <c r="A150">
        <v>149</v>
      </c>
      <c r="B150">
        <v>40550</v>
      </c>
      <c r="C150">
        <v>0.45833333333333331</v>
      </c>
      <c r="D150" t="s">
        <v>8</v>
      </c>
      <c r="E150" t="s">
        <v>9</v>
      </c>
      <c r="F150" t="s">
        <v>17</v>
      </c>
      <c r="G150" t="s">
        <v>19</v>
      </c>
      <c r="H150">
        <v>0.2</v>
      </c>
    </row>
    <row r="151" spans="1:8" x14ac:dyDescent="0.3">
      <c r="A151">
        <v>150</v>
      </c>
      <c r="B151">
        <v>40550</v>
      </c>
      <c r="C151">
        <v>0.5</v>
      </c>
      <c r="D151" t="s">
        <v>8</v>
      </c>
      <c r="E151" t="s">
        <v>9</v>
      </c>
      <c r="F151" t="s">
        <v>17</v>
      </c>
      <c r="G151" t="s">
        <v>19</v>
      </c>
      <c r="H151">
        <v>0.2</v>
      </c>
    </row>
    <row r="152" spans="1:8" x14ac:dyDescent="0.3">
      <c r="A152">
        <v>151</v>
      </c>
      <c r="B152">
        <v>40550</v>
      </c>
      <c r="C152">
        <v>0.54166666666666663</v>
      </c>
      <c r="D152" t="s">
        <v>8</v>
      </c>
      <c r="E152" t="s">
        <v>9</v>
      </c>
      <c r="F152" t="s">
        <v>17</v>
      </c>
      <c r="G152" t="s">
        <v>19</v>
      </c>
      <c r="H152">
        <v>0.2</v>
      </c>
    </row>
    <row r="153" spans="1:8" x14ac:dyDescent="0.3">
      <c r="A153">
        <v>152</v>
      </c>
      <c r="B153">
        <v>40550</v>
      </c>
      <c r="C153">
        <v>0.58333333333333337</v>
      </c>
      <c r="D153" t="s">
        <v>8</v>
      </c>
      <c r="E153" t="s">
        <v>9</v>
      </c>
      <c r="F153" t="s">
        <v>17</v>
      </c>
      <c r="G153" t="s">
        <v>19</v>
      </c>
      <c r="H153">
        <v>0.2</v>
      </c>
    </row>
    <row r="154" spans="1:8" x14ac:dyDescent="0.3">
      <c r="A154">
        <v>153</v>
      </c>
      <c r="B154">
        <v>40550</v>
      </c>
      <c r="C154">
        <v>0.625</v>
      </c>
      <c r="D154" t="s">
        <v>8</v>
      </c>
      <c r="E154" t="s">
        <v>9</v>
      </c>
      <c r="F154" t="s">
        <v>17</v>
      </c>
      <c r="G154" t="s">
        <v>19</v>
      </c>
      <c r="H154">
        <v>0.2</v>
      </c>
    </row>
    <row r="155" spans="1:8" x14ac:dyDescent="0.3">
      <c r="A155">
        <v>154</v>
      </c>
      <c r="B155">
        <v>40550</v>
      </c>
      <c r="C155">
        <v>0.66666666666666663</v>
      </c>
      <c r="D155" t="s">
        <v>8</v>
      </c>
      <c r="E155" t="s">
        <v>9</v>
      </c>
      <c r="F155" t="s">
        <v>17</v>
      </c>
      <c r="G155" t="s">
        <v>19</v>
      </c>
      <c r="H155">
        <v>0.2</v>
      </c>
    </row>
    <row r="156" spans="1:8" x14ac:dyDescent="0.3">
      <c r="A156">
        <v>155</v>
      </c>
      <c r="B156">
        <v>40550</v>
      </c>
      <c r="C156">
        <v>0.70833333333333337</v>
      </c>
      <c r="D156" t="s">
        <v>8</v>
      </c>
      <c r="E156" t="s">
        <v>9</v>
      </c>
      <c r="F156" t="s">
        <v>17</v>
      </c>
      <c r="G156" t="s">
        <v>19</v>
      </c>
      <c r="H156">
        <v>0.2</v>
      </c>
    </row>
    <row r="157" spans="1:8" x14ac:dyDescent="0.3">
      <c r="A157">
        <v>156</v>
      </c>
      <c r="B157">
        <v>40550</v>
      </c>
      <c r="C157">
        <v>0.75</v>
      </c>
      <c r="D157" t="s">
        <v>8</v>
      </c>
      <c r="E157" t="s">
        <v>9</v>
      </c>
      <c r="F157" t="s">
        <v>17</v>
      </c>
      <c r="G157" t="s">
        <v>18</v>
      </c>
      <c r="H157">
        <v>0.2</v>
      </c>
    </row>
    <row r="158" spans="1:8" x14ac:dyDescent="0.3">
      <c r="A158">
        <v>157</v>
      </c>
      <c r="B158">
        <v>40550</v>
      </c>
      <c r="C158">
        <v>0.79166666666666663</v>
      </c>
      <c r="D158" t="s">
        <v>8</v>
      </c>
      <c r="E158" t="s">
        <v>9</v>
      </c>
      <c r="F158" t="s">
        <v>17</v>
      </c>
      <c r="G158" t="s">
        <v>18</v>
      </c>
      <c r="H158">
        <v>0.16</v>
      </c>
    </row>
    <row r="159" spans="1:8" x14ac:dyDescent="0.3">
      <c r="A159">
        <v>158</v>
      </c>
      <c r="B159">
        <v>40550</v>
      </c>
      <c r="C159">
        <v>0.83333333333333337</v>
      </c>
      <c r="D159" t="s">
        <v>8</v>
      </c>
      <c r="E159" t="s">
        <v>9</v>
      </c>
      <c r="F159" t="s">
        <v>17</v>
      </c>
      <c r="G159" t="s">
        <v>18</v>
      </c>
      <c r="H159">
        <v>0.18</v>
      </c>
    </row>
    <row r="160" spans="1:8" x14ac:dyDescent="0.3">
      <c r="A160">
        <v>159</v>
      </c>
      <c r="B160">
        <v>40550</v>
      </c>
      <c r="C160">
        <v>0.875</v>
      </c>
      <c r="D160" t="s">
        <v>8</v>
      </c>
      <c r="E160" t="s">
        <v>9</v>
      </c>
      <c r="F160" t="s">
        <v>17</v>
      </c>
      <c r="G160" t="s">
        <v>18</v>
      </c>
      <c r="H160">
        <v>0.18</v>
      </c>
    </row>
    <row r="161" spans="1:8" x14ac:dyDescent="0.3">
      <c r="A161">
        <v>160</v>
      </c>
      <c r="B161">
        <v>40550</v>
      </c>
      <c r="C161">
        <v>0.91666666666666663</v>
      </c>
      <c r="D161" t="s">
        <v>8</v>
      </c>
      <c r="E161" t="s">
        <v>9</v>
      </c>
      <c r="F161" t="s">
        <v>17</v>
      </c>
      <c r="G161" t="s">
        <v>19</v>
      </c>
      <c r="H161">
        <v>0.18</v>
      </c>
    </row>
    <row r="162" spans="1:8" x14ac:dyDescent="0.3">
      <c r="A162">
        <v>161</v>
      </c>
      <c r="B162">
        <v>40550</v>
      </c>
      <c r="C162">
        <v>0.95833333333333337</v>
      </c>
      <c r="D162" t="s">
        <v>8</v>
      </c>
      <c r="E162" t="s">
        <v>9</v>
      </c>
      <c r="F162" t="s">
        <v>17</v>
      </c>
      <c r="G162" t="s">
        <v>19</v>
      </c>
      <c r="H162">
        <v>0.18</v>
      </c>
    </row>
    <row r="163" spans="1:8" x14ac:dyDescent="0.3">
      <c r="A163">
        <v>162</v>
      </c>
      <c r="B163">
        <v>40551</v>
      </c>
      <c r="C163">
        <v>0</v>
      </c>
      <c r="D163" t="s">
        <v>8</v>
      </c>
      <c r="E163" t="s">
        <v>9</v>
      </c>
      <c r="F163" t="s">
        <v>11</v>
      </c>
      <c r="G163" t="s">
        <v>19</v>
      </c>
      <c r="H163">
        <v>0.18</v>
      </c>
    </row>
    <row r="164" spans="1:8" x14ac:dyDescent="0.3">
      <c r="A164">
        <v>163</v>
      </c>
      <c r="B164">
        <v>40551</v>
      </c>
      <c r="C164">
        <v>4.1666666666666664E-2</v>
      </c>
      <c r="D164" t="s">
        <v>8</v>
      </c>
      <c r="E164" t="s">
        <v>9</v>
      </c>
      <c r="F164" t="s">
        <v>11</v>
      </c>
      <c r="G164" t="s">
        <v>19</v>
      </c>
      <c r="H164">
        <v>0.18</v>
      </c>
    </row>
    <row r="165" spans="1:8" x14ac:dyDescent="0.3">
      <c r="A165">
        <v>164</v>
      </c>
      <c r="B165">
        <v>40551</v>
      </c>
      <c r="C165">
        <v>8.3333333333333329E-2</v>
      </c>
      <c r="D165" t="s">
        <v>8</v>
      </c>
      <c r="E165" t="s">
        <v>9</v>
      </c>
      <c r="F165" t="s">
        <v>11</v>
      </c>
      <c r="G165" t="s">
        <v>19</v>
      </c>
      <c r="H165">
        <v>0.18</v>
      </c>
    </row>
    <row r="166" spans="1:8" x14ac:dyDescent="0.3">
      <c r="A166">
        <v>165</v>
      </c>
      <c r="B166">
        <v>40551</v>
      </c>
      <c r="C166">
        <v>0.125</v>
      </c>
      <c r="D166" t="s">
        <v>8</v>
      </c>
      <c r="E166" t="s">
        <v>9</v>
      </c>
      <c r="F166" t="s">
        <v>11</v>
      </c>
      <c r="G166" t="s">
        <v>20</v>
      </c>
      <c r="H166">
        <v>0.18</v>
      </c>
    </row>
    <row r="167" spans="1:8" x14ac:dyDescent="0.3">
      <c r="A167">
        <v>166</v>
      </c>
      <c r="B167">
        <v>40551</v>
      </c>
      <c r="C167">
        <v>0.16666666666666666</v>
      </c>
      <c r="D167" t="s">
        <v>8</v>
      </c>
      <c r="E167" t="s">
        <v>9</v>
      </c>
      <c r="F167" t="s">
        <v>11</v>
      </c>
      <c r="G167" t="s">
        <v>20</v>
      </c>
      <c r="H167">
        <v>0.18</v>
      </c>
    </row>
    <row r="168" spans="1:8" x14ac:dyDescent="0.3">
      <c r="A168">
        <v>167</v>
      </c>
      <c r="B168">
        <v>40551</v>
      </c>
      <c r="C168">
        <v>0.20833333333333334</v>
      </c>
      <c r="D168" t="s">
        <v>8</v>
      </c>
      <c r="E168" t="s">
        <v>9</v>
      </c>
      <c r="F168" t="s">
        <v>11</v>
      </c>
      <c r="G168" t="s">
        <v>19</v>
      </c>
      <c r="H168">
        <v>0.16</v>
      </c>
    </row>
    <row r="169" spans="1:8" x14ac:dyDescent="0.3">
      <c r="A169">
        <v>168</v>
      </c>
      <c r="B169">
        <v>40551</v>
      </c>
      <c r="C169">
        <v>0.25</v>
      </c>
      <c r="D169" t="s">
        <v>8</v>
      </c>
      <c r="E169" t="s">
        <v>9</v>
      </c>
      <c r="F169" t="s">
        <v>11</v>
      </c>
      <c r="G169" t="s">
        <v>19</v>
      </c>
      <c r="H169">
        <v>0.16</v>
      </c>
    </row>
    <row r="170" spans="1:8" x14ac:dyDescent="0.3">
      <c r="A170">
        <v>169</v>
      </c>
      <c r="B170">
        <v>40551</v>
      </c>
      <c r="C170">
        <v>0.29166666666666669</v>
      </c>
      <c r="D170" t="s">
        <v>8</v>
      </c>
      <c r="E170" t="s">
        <v>9</v>
      </c>
      <c r="F170" t="s">
        <v>11</v>
      </c>
      <c r="G170" t="s">
        <v>19</v>
      </c>
      <c r="H170">
        <v>0.16</v>
      </c>
    </row>
    <row r="171" spans="1:8" x14ac:dyDescent="0.3">
      <c r="A171">
        <v>170</v>
      </c>
      <c r="B171">
        <v>40551</v>
      </c>
      <c r="C171">
        <v>0.33333333333333331</v>
      </c>
      <c r="D171" t="s">
        <v>8</v>
      </c>
      <c r="E171" t="s">
        <v>9</v>
      </c>
      <c r="F171" t="s">
        <v>11</v>
      </c>
      <c r="G171" t="s">
        <v>20</v>
      </c>
      <c r="H171">
        <v>0.16</v>
      </c>
    </row>
    <row r="172" spans="1:8" x14ac:dyDescent="0.3">
      <c r="A172">
        <v>171</v>
      </c>
      <c r="B172">
        <v>40551</v>
      </c>
      <c r="C172">
        <v>0.375</v>
      </c>
      <c r="D172" t="s">
        <v>8</v>
      </c>
      <c r="E172" t="s">
        <v>9</v>
      </c>
      <c r="F172" t="s">
        <v>11</v>
      </c>
      <c r="G172" t="s">
        <v>20</v>
      </c>
      <c r="H172">
        <v>0.16</v>
      </c>
    </row>
    <row r="173" spans="1:8" x14ac:dyDescent="0.3">
      <c r="A173">
        <v>172</v>
      </c>
      <c r="B173">
        <v>40551</v>
      </c>
      <c r="C173">
        <v>0.41666666666666669</v>
      </c>
      <c r="D173" t="s">
        <v>8</v>
      </c>
      <c r="E173" t="s">
        <v>9</v>
      </c>
      <c r="F173" t="s">
        <v>11</v>
      </c>
      <c r="G173" t="s">
        <v>19</v>
      </c>
      <c r="H173">
        <v>0.18</v>
      </c>
    </row>
    <row r="174" spans="1:8" x14ac:dyDescent="0.3">
      <c r="A174">
        <v>173</v>
      </c>
      <c r="B174">
        <v>40551</v>
      </c>
      <c r="C174">
        <v>0.45833333333333331</v>
      </c>
      <c r="D174" t="s">
        <v>8</v>
      </c>
      <c r="E174" t="s">
        <v>9</v>
      </c>
      <c r="F174" t="s">
        <v>11</v>
      </c>
      <c r="G174" t="s">
        <v>19</v>
      </c>
      <c r="H174">
        <v>0.2</v>
      </c>
    </row>
    <row r="175" spans="1:8" x14ac:dyDescent="0.3">
      <c r="A175">
        <v>174</v>
      </c>
      <c r="B175">
        <v>40551</v>
      </c>
      <c r="C175">
        <v>0.5</v>
      </c>
      <c r="D175" t="s">
        <v>8</v>
      </c>
      <c r="E175" t="s">
        <v>9</v>
      </c>
      <c r="F175" t="s">
        <v>11</v>
      </c>
      <c r="G175" t="s">
        <v>19</v>
      </c>
      <c r="H175">
        <v>0.2</v>
      </c>
    </row>
    <row r="176" spans="1:8" x14ac:dyDescent="0.3">
      <c r="A176">
        <v>175</v>
      </c>
      <c r="B176">
        <v>40551</v>
      </c>
      <c r="C176">
        <v>0.54166666666666663</v>
      </c>
      <c r="D176" t="s">
        <v>8</v>
      </c>
      <c r="E176" t="s">
        <v>9</v>
      </c>
      <c r="F176" t="s">
        <v>11</v>
      </c>
      <c r="G176" t="s">
        <v>18</v>
      </c>
      <c r="H176">
        <v>0.2</v>
      </c>
    </row>
    <row r="177" spans="1:8" x14ac:dyDescent="0.3">
      <c r="A177">
        <v>176</v>
      </c>
      <c r="B177">
        <v>40551</v>
      </c>
      <c r="C177">
        <v>0.58333333333333337</v>
      </c>
      <c r="D177" t="s">
        <v>8</v>
      </c>
      <c r="E177" t="s">
        <v>9</v>
      </c>
      <c r="F177" t="s">
        <v>11</v>
      </c>
      <c r="G177" t="s">
        <v>18</v>
      </c>
      <c r="H177">
        <v>0.2</v>
      </c>
    </row>
    <row r="178" spans="1:8" x14ac:dyDescent="0.3">
      <c r="A178">
        <v>177</v>
      </c>
      <c r="B178">
        <v>40551</v>
      </c>
      <c r="C178">
        <v>0.625</v>
      </c>
      <c r="D178" t="s">
        <v>8</v>
      </c>
      <c r="E178" t="s">
        <v>9</v>
      </c>
      <c r="F178" t="s">
        <v>11</v>
      </c>
      <c r="G178" t="s">
        <v>18</v>
      </c>
      <c r="H178">
        <v>0.2</v>
      </c>
    </row>
    <row r="179" spans="1:8" x14ac:dyDescent="0.3">
      <c r="A179">
        <v>178</v>
      </c>
      <c r="B179">
        <v>40551</v>
      </c>
      <c r="C179">
        <v>0.66666666666666663</v>
      </c>
      <c r="D179" t="s">
        <v>8</v>
      </c>
      <c r="E179" t="s">
        <v>9</v>
      </c>
      <c r="F179" t="s">
        <v>11</v>
      </c>
      <c r="G179" t="s">
        <v>18</v>
      </c>
      <c r="H179">
        <v>0.18</v>
      </c>
    </row>
    <row r="180" spans="1:8" x14ac:dyDescent="0.3">
      <c r="A180">
        <v>179</v>
      </c>
      <c r="B180">
        <v>40551</v>
      </c>
      <c r="C180">
        <v>0.70833333333333337</v>
      </c>
      <c r="D180" t="s">
        <v>8</v>
      </c>
      <c r="E180" t="s">
        <v>9</v>
      </c>
      <c r="F180" t="s">
        <v>11</v>
      </c>
      <c r="G180" t="s">
        <v>18</v>
      </c>
      <c r="H180">
        <v>0.16</v>
      </c>
    </row>
    <row r="181" spans="1:8" x14ac:dyDescent="0.3">
      <c r="A181">
        <v>180</v>
      </c>
      <c r="B181">
        <v>40551</v>
      </c>
      <c r="C181">
        <v>0.75</v>
      </c>
      <c r="D181" t="s">
        <v>8</v>
      </c>
      <c r="E181" t="s">
        <v>9</v>
      </c>
      <c r="F181" t="s">
        <v>11</v>
      </c>
      <c r="G181" t="s">
        <v>18</v>
      </c>
      <c r="H181">
        <v>0.14000000000000001</v>
      </c>
    </row>
    <row r="182" spans="1:8" x14ac:dyDescent="0.3">
      <c r="A182">
        <v>181</v>
      </c>
      <c r="B182">
        <v>40551</v>
      </c>
      <c r="C182">
        <v>0.79166666666666663</v>
      </c>
      <c r="D182" t="s">
        <v>8</v>
      </c>
      <c r="E182" t="s">
        <v>9</v>
      </c>
      <c r="F182" t="s">
        <v>11</v>
      </c>
      <c r="G182" t="s">
        <v>18</v>
      </c>
      <c r="H182">
        <v>0.14000000000000001</v>
      </c>
    </row>
    <row r="183" spans="1:8" x14ac:dyDescent="0.3">
      <c r="A183">
        <v>182</v>
      </c>
      <c r="B183">
        <v>40551</v>
      </c>
      <c r="C183">
        <v>0.83333333333333337</v>
      </c>
      <c r="D183" t="s">
        <v>8</v>
      </c>
      <c r="E183" t="s">
        <v>9</v>
      </c>
      <c r="F183" t="s">
        <v>11</v>
      </c>
      <c r="G183" t="s">
        <v>18</v>
      </c>
      <c r="H183">
        <v>0.12</v>
      </c>
    </row>
    <row r="184" spans="1:8" x14ac:dyDescent="0.3">
      <c r="A184">
        <v>183</v>
      </c>
      <c r="B184">
        <v>40551</v>
      </c>
      <c r="C184">
        <v>0.875</v>
      </c>
      <c r="D184" t="s">
        <v>8</v>
      </c>
      <c r="E184" t="s">
        <v>9</v>
      </c>
      <c r="F184" t="s">
        <v>11</v>
      </c>
      <c r="G184" t="s">
        <v>18</v>
      </c>
      <c r="H184">
        <v>0.12</v>
      </c>
    </row>
    <row r="185" spans="1:8" x14ac:dyDescent="0.3">
      <c r="A185">
        <v>184</v>
      </c>
      <c r="B185">
        <v>40551</v>
      </c>
      <c r="C185">
        <v>0.91666666666666663</v>
      </c>
      <c r="D185" t="s">
        <v>8</v>
      </c>
      <c r="E185" t="s">
        <v>9</v>
      </c>
      <c r="F185" t="s">
        <v>11</v>
      </c>
      <c r="G185" t="s">
        <v>18</v>
      </c>
      <c r="H185">
        <v>0.12</v>
      </c>
    </row>
    <row r="186" spans="1:8" x14ac:dyDescent="0.3">
      <c r="A186">
        <v>185</v>
      </c>
      <c r="B186">
        <v>40551</v>
      </c>
      <c r="C186">
        <v>0.95833333333333337</v>
      </c>
      <c r="D186" t="s">
        <v>8</v>
      </c>
      <c r="E186" t="s">
        <v>9</v>
      </c>
      <c r="F186" t="s">
        <v>11</v>
      </c>
      <c r="G186" t="s">
        <v>18</v>
      </c>
      <c r="H186">
        <v>0.1</v>
      </c>
    </row>
    <row r="187" spans="1:8" x14ac:dyDescent="0.3">
      <c r="A187">
        <v>186</v>
      </c>
      <c r="B187">
        <v>40552</v>
      </c>
      <c r="C187">
        <v>0</v>
      </c>
      <c r="D187" t="s">
        <v>8</v>
      </c>
      <c r="E187" t="s">
        <v>9</v>
      </c>
      <c r="F187" t="s">
        <v>12</v>
      </c>
      <c r="G187" t="s">
        <v>18</v>
      </c>
      <c r="H187">
        <v>0.1</v>
      </c>
    </row>
    <row r="188" spans="1:8" x14ac:dyDescent="0.3">
      <c r="A188">
        <v>187</v>
      </c>
      <c r="B188">
        <v>40552</v>
      </c>
      <c r="C188">
        <v>4.1666666666666664E-2</v>
      </c>
      <c r="D188" t="s">
        <v>8</v>
      </c>
      <c r="E188" t="s">
        <v>9</v>
      </c>
      <c r="F188" t="s">
        <v>12</v>
      </c>
      <c r="G188" t="s">
        <v>18</v>
      </c>
      <c r="H188">
        <v>0.1</v>
      </c>
    </row>
    <row r="189" spans="1:8" x14ac:dyDescent="0.3">
      <c r="A189">
        <v>188</v>
      </c>
      <c r="B189">
        <v>40552</v>
      </c>
      <c r="C189">
        <v>8.3333333333333329E-2</v>
      </c>
      <c r="D189" t="s">
        <v>8</v>
      </c>
      <c r="E189" t="s">
        <v>9</v>
      </c>
      <c r="F189" t="s">
        <v>12</v>
      </c>
      <c r="G189" t="s">
        <v>18</v>
      </c>
      <c r="H189">
        <v>0.1</v>
      </c>
    </row>
    <row r="190" spans="1:8" x14ac:dyDescent="0.3">
      <c r="A190">
        <v>189</v>
      </c>
      <c r="B190">
        <v>40552</v>
      </c>
      <c r="C190">
        <v>0.125</v>
      </c>
      <c r="D190" t="s">
        <v>8</v>
      </c>
      <c r="E190" t="s">
        <v>9</v>
      </c>
      <c r="F190" t="s">
        <v>12</v>
      </c>
      <c r="G190" t="s">
        <v>18</v>
      </c>
      <c r="H190">
        <v>0.1</v>
      </c>
    </row>
    <row r="191" spans="1:8" x14ac:dyDescent="0.3">
      <c r="A191">
        <v>190</v>
      </c>
      <c r="B191">
        <v>40552</v>
      </c>
      <c r="C191">
        <v>0.16666666666666666</v>
      </c>
      <c r="D191" t="s">
        <v>8</v>
      </c>
      <c r="E191" t="s">
        <v>9</v>
      </c>
      <c r="F191" t="s">
        <v>12</v>
      </c>
      <c r="G191" t="s">
        <v>18</v>
      </c>
      <c r="H191">
        <v>0.08</v>
      </c>
    </row>
    <row r="192" spans="1:8" x14ac:dyDescent="0.3">
      <c r="A192">
        <v>191</v>
      </c>
      <c r="B192">
        <v>40552</v>
      </c>
      <c r="C192">
        <v>0.20833333333333334</v>
      </c>
      <c r="D192" t="s">
        <v>8</v>
      </c>
      <c r="E192" t="s">
        <v>9</v>
      </c>
      <c r="F192" t="s">
        <v>12</v>
      </c>
      <c r="G192" t="s">
        <v>18</v>
      </c>
      <c r="H192">
        <v>0.08</v>
      </c>
    </row>
    <row r="193" spans="1:8" x14ac:dyDescent="0.3">
      <c r="A193">
        <v>192</v>
      </c>
      <c r="B193">
        <v>40552</v>
      </c>
      <c r="C193">
        <v>0.25</v>
      </c>
      <c r="D193" t="s">
        <v>8</v>
      </c>
      <c r="E193" t="s">
        <v>9</v>
      </c>
      <c r="F193" t="s">
        <v>12</v>
      </c>
      <c r="G193" t="s">
        <v>18</v>
      </c>
      <c r="H193">
        <v>0.1</v>
      </c>
    </row>
    <row r="194" spans="1:8" x14ac:dyDescent="0.3">
      <c r="A194">
        <v>193</v>
      </c>
      <c r="B194">
        <v>40552</v>
      </c>
      <c r="C194">
        <v>0.29166666666666669</v>
      </c>
      <c r="D194" t="s">
        <v>8</v>
      </c>
      <c r="E194" t="s">
        <v>9</v>
      </c>
      <c r="F194" t="s">
        <v>12</v>
      </c>
      <c r="G194" t="s">
        <v>18</v>
      </c>
      <c r="H194">
        <v>0.08</v>
      </c>
    </row>
    <row r="195" spans="1:8" x14ac:dyDescent="0.3">
      <c r="A195">
        <v>194</v>
      </c>
      <c r="B195">
        <v>40552</v>
      </c>
      <c r="C195">
        <v>0.33333333333333331</v>
      </c>
      <c r="D195" t="s">
        <v>8</v>
      </c>
      <c r="E195" t="s">
        <v>9</v>
      </c>
      <c r="F195" t="s">
        <v>12</v>
      </c>
      <c r="G195" t="s">
        <v>18</v>
      </c>
      <c r="H195">
        <v>0.1</v>
      </c>
    </row>
    <row r="196" spans="1:8" x14ac:dyDescent="0.3">
      <c r="A196">
        <v>195</v>
      </c>
      <c r="B196">
        <v>40552</v>
      </c>
      <c r="C196">
        <v>0.375</v>
      </c>
      <c r="D196" t="s">
        <v>8</v>
      </c>
      <c r="E196" t="s">
        <v>9</v>
      </c>
      <c r="F196" t="s">
        <v>12</v>
      </c>
      <c r="G196" t="s">
        <v>18</v>
      </c>
      <c r="H196">
        <v>0.12</v>
      </c>
    </row>
    <row r="197" spans="1:8" x14ac:dyDescent="0.3">
      <c r="A197">
        <v>196</v>
      </c>
      <c r="B197">
        <v>40552</v>
      </c>
      <c r="C197">
        <v>0.41666666666666669</v>
      </c>
      <c r="D197" t="s">
        <v>8</v>
      </c>
      <c r="E197" t="s">
        <v>9</v>
      </c>
      <c r="F197" t="s">
        <v>12</v>
      </c>
      <c r="G197" t="s">
        <v>18</v>
      </c>
      <c r="H197">
        <v>0.14000000000000001</v>
      </c>
    </row>
    <row r="198" spans="1:8" x14ac:dyDescent="0.3">
      <c r="A198">
        <v>197</v>
      </c>
      <c r="B198">
        <v>40552</v>
      </c>
      <c r="C198">
        <v>0.45833333333333331</v>
      </c>
      <c r="D198" t="s">
        <v>8</v>
      </c>
      <c r="E198" t="s">
        <v>9</v>
      </c>
      <c r="F198" t="s">
        <v>12</v>
      </c>
      <c r="G198" t="s">
        <v>18</v>
      </c>
      <c r="H198">
        <v>0.16</v>
      </c>
    </row>
    <row r="199" spans="1:8" x14ac:dyDescent="0.3">
      <c r="A199">
        <v>198</v>
      </c>
      <c r="B199">
        <v>40552</v>
      </c>
      <c r="C199">
        <v>0.5</v>
      </c>
      <c r="D199" t="s">
        <v>8</v>
      </c>
      <c r="E199" t="s">
        <v>9</v>
      </c>
      <c r="F199" t="s">
        <v>12</v>
      </c>
      <c r="G199" t="s">
        <v>18</v>
      </c>
      <c r="H199">
        <v>0.18</v>
      </c>
    </row>
    <row r="200" spans="1:8" x14ac:dyDescent="0.3">
      <c r="A200">
        <v>199</v>
      </c>
      <c r="B200">
        <v>40552</v>
      </c>
      <c r="C200">
        <v>0.54166666666666663</v>
      </c>
      <c r="D200" t="s">
        <v>8</v>
      </c>
      <c r="E200" t="s">
        <v>9</v>
      </c>
      <c r="F200" t="s">
        <v>12</v>
      </c>
      <c r="G200" t="s">
        <v>18</v>
      </c>
      <c r="H200">
        <v>0.2</v>
      </c>
    </row>
    <row r="201" spans="1:8" x14ac:dyDescent="0.3">
      <c r="A201">
        <v>200</v>
      </c>
      <c r="B201">
        <v>40552</v>
      </c>
      <c r="C201">
        <v>0.58333333333333337</v>
      </c>
      <c r="D201" t="s">
        <v>8</v>
      </c>
      <c r="E201" t="s">
        <v>9</v>
      </c>
      <c r="F201" t="s">
        <v>12</v>
      </c>
      <c r="G201" t="s">
        <v>18</v>
      </c>
      <c r="H201">
        <v>0.22</v>
      </c>
    </row>
    <row r="202" spans="1:8" x14ac:dyDescent="0.3">
      <c r="A202">
        <v>201</v>
      </c>
      <c r="B202">
        <v>40552</v>
      </c>
      <c r="C202">
        <v>0.625</v>
      </c>
      <c r="D202" t="s">
        <v>8</v>
      </c>
      <c r="E202" t="s">
        <v>9</v>
      </c>
      <c r="F202" t="s">
        <v>12</v>
      </c>
      <c r="G202" t="s">
        <v>18</v>
      </c>
      <c r="H202">
        <v>0.22</v>
      </c>
    </row>
    <row r="203" spans="1:8" x14ac:dyDescent="0.3">
      <c r="A203">
        <v>202</v>
      </c>
      <c r="B203">
        <v>40552</v>
      </c>
      <c r="C203">
        <v>0.66666666666666663</v>
      </c>
      <c r="D203" t="s">
        <v>8</v>
      </c>
      <c r="E203" t="s">
        <v>9</v>
      </c>
      <c r="F203" t="s">
        <v>12</v>
      </c>
      <c r="G203" t="s">
        <v>18</v>
      </c>
      <c r="H203">
        <v>0.2</v>
      </c>
    </row>
    <row r="204" spans="1:8" x14ac:dyDescent="0.3">
      <c r="A204">
        <v>203</v>
      </c>
      <c r="B204">
        <v>40552</v>
      </c>
      <c r="C204">
        <v>0.70833333333333337</v>
      </c>
      <c r="D204" t="s">
        <v>8</v>
      </c>
      <c r="E204" t="s">
        <v>9</v>
      </c>
      <c r="F204" t="s">
        <v>12</v>
      </c>
      <c r="G204" t="s">
        <v>18</v>
      </c>
      <c r="H204">
        <v>0.18</v>
      </c>
    </row>
    <row r="205" spans="1:8" x14ac:dyDescent="0.3">
      <c r="A205">
        <v>204</v>
      </c>
      <c r="B205">
        <v>40552</v>
      </c>
      <c r="C205">
        <v>0.75</v>
      </c>
      <c r="D205" t="s">
        <v>8</v>
      </c>
      <c r="E205" t="s">
        <v>9</v>
      </c>
      <c r="F205" t="s">
        <v>12</v>
      </c>
      <c r="G205" t="s">
        <v>18</v>
      </c>
      <c r="H205">
        <v>0.16</v>
      </c>
    </row>
    <row r="206" spans="1:8" x14ac:dyDescent="0.3">
      <c r="A206">
        <v>205</v>
      </c>
      <c r="B206">
        <v>40552</v>
      </c>
      <c r="C206">
        <v>0.79166666666666663</v>
      </c>
      <c r="D206" t="s">
        <v>8</v>
      </c>
      <c r="E206" t="s">
        <v>9</v>
      </c>
      <c r="F206" t="s">
        <v>12</v>
      </c>
      <c r="G206" t="s">
        <v>18</v>
      </c>
      <c r="H206">
        <v>0.16</v>
      </c>
    </row>
    <row r="207" spans="1:8" x14ac:dyDescent="0.3">
      <c r="A207">
        <v>206</v>
      </c>
      <c r="B207">
        <v>40552</v>
      </c>
      <c r="C207">
        <v>0.83333333333333337</v>
      </c>
      <c r="D207" t="s">
        <v>8</v>
      </c>
      <c r="E207" t="s">
        <v>9</v>
      </c>
      <c r="F207" t="s">
        <v>12</v>
      </c>
      <c r="G207" t="s">
        <v>18</v>
      </c>
      <c r="H207">
        <v>0.14000000000000001</v>
      </c>
    </row>
    <row r="208" spans="1:8" x14ac:dyDescent="0.3">
      <c r="A208">
        <v>207</v>
      </c>
      <c r="B208">
        <v>40552</v>
      </c>
      <c r="C208">
        <v>0.875</v>
      </c>
      <c r="D208" t="s">
        <v>8</v>
      </c>
      <c r="E208" t="s">
        <v>9</v>
      </c>
      <c r="F208" t="s">
        <v>12</v>
      </c>
      <c r="G208" t="s">
        <v>18</v>
      </c>
      <c r="H208">
        <v>0.14000000000000001</v>
      </c>
    </row>
    <row r="209" spans="1:8" x14ac:dyDescent="0.3">
      <c r="A209">
        <v>208</v>
      </c>
      <c r="B209">
        <v>40552</v>
      </c>
      <c r="C209">
        <v>0.91666666666666663</v>
      </c>
      <c r="D209" t="s">
        <v>8</v>
      </c>
      <c r="E209" t="s">
        <v>9</v>
      </c>
      <c r="F209" t="s">
        <v>12</v>
      </c>
      <c r="G209" t="s">
        <v>18</v>
      </c>
      <c r="H209">
        <v>0.14000000000000001</v>
      </c>
    </row>
    <row r="210" spans="1:8" x14ac:dyDescent="0.3">
      <c r="A210">
        <v>209</v>
      </c>
      <c r="B210">
        <v>40552</v>
      </c>
      <c r="C210">
        <v>0.95833333333333337</v>
      </c>
      <c r="D210" t="s">
        <v>8</v>
      </c>
      <c r="E210" t="s">
        <v>9</v>
      </c>
      <c r="F210" t="s">
        <v>12</v>
      </c>
      <c r="G210" t="s">
        <v>18</v>
      </c>
      <c r="H210">
        <v>0.12</v>
      </c>
    </row>
    <row r="211" spans="1:8" x14ac:dyDescent="0.3">
      <c r="A211">
        <v>210</v>
      </c>
      <c r="B211">
        <v>40553</v>
      </c>
      <c r="C211">
        <v>0</v>
      </c>
      <c r="D211" t="s">
        <v>8</v>
      </c>
      <c r="E211" t="s">
        <v>9</v>
      </c>
      <c r="F211" t="s">
        <v>13</v>
      </c>
      <c r="G211" t="s">
        <v>18</v>
      </c>
      <c r="H211">
        <v>0.12</v>
      </c>
    </row>
    <row r="212" spans="1:8" x14ac:dyDescent="0.3">
      <c r="A212">
        <v>211</v>
      </c>
      <c r="B212">
        <v>40553</v>
      </c>
      <c r="C212">
        <v>4.1666666666666664E-2</v>
      </c>
      <c r="D212" t="s">
        <v>8</v>
      </c>
      <c r="E212" t="s">
        <v>9</v>
      </c>
      <c r="F212" t="s">
        <v>13</v>
      </c>
      <c r="G212" t="s">
        <v>18</v>
      </c>
      <c r="H212">
        <v>0.12</v>
      </c>
    </row>
    <row r="213" spans="1:8" x14ac:dyDescent="0.3">
      <c r="A213">
        <v>212</v>
      </c>
      <c r="B213">
        <v>40553</v>
      </c>
      <c r="C213">
        <v>8.3333333333333329E-2</v>
      </c>
      <c r="D213" t="s">
        <v>8</v>
      </c>
      <c r="E213" t="s">
        <v>9</v>
      </c>
      <c r="F213" t="s">
        <v>13</v>
      </c>
      <c r="G213" t="s">
        <v>18</v>
      </c>
      <c r="H213">
        <v>0.12</v>
      </c>
    </row>
    <row r="214" spans="1:8" x14ac:dyDescent="0.3">
      <c r="A214">
        <v>213</v>
      </c>
      <c r="B214">
        <v>40553</v>
      </c>
      <c r="C214">
        <v>0.125</v>
      </c>
      <c r="D214" t="s">
        <v>8</v>
      </c>
      <c r="E214" t="s">
        <v>9</v>
      </c>
      <c r="F214" t="s">
        <v>13</v>
      </c>
      <c r="G214" t="s">
        <v>18</v>
      </c>
      <c r="H214">
        <v>0.12</v>
      </c>
    </row>
    <row r="215" spans="1:8" x14ac:dyDescent="0.3">
      <c r="A215">
        <v>214</v>
      </c>
      <c r="B215">
        <v>40553</v>
      </c>
      <c r="C215">
        <v>0.16666666666666666</v>
      </c>
      <c r="D215" t="s">
        <v>8</v>
      </c>
      <c r="E215" t="s">
        <v>9</v>
      </c>
      <c r="F215" t="s">
        <v>13</v>
      </c>
      <c r="G215" t="s">
        <v>18</v>
      </c>
      <c r="H215">
        <v>0.1</v>
      </c>
    </row>
    <row r="216" spans="1:8" x14ac:dyDescent="0.3">
      <c r="A216">
        <v>215</v>
      </c>
      <c r="B216">
        <v>40553</v>
      </c>
      <c r="C216">
        <v>0.20833333333333334</v>
      </c>
      <c r="D216" t="s">
        <v>8</v>
      </c>
      <c r="E216" t="s">
        <v>9</v>
      </c>
      <c r="F216" t="s">
        <v>13</v>
      </c>
      <c r="G216" t="s">
        <v>18</v>
      </c>
      <c r="H216">
        <v>0.1</v>
      </c>
    </row>
    <row r="217" spans="1:8" x14ac:dyDescent="0.3">
      <c r="A217">
        <v>216</v>
      </c>
      <c r="B217">
        <v>40553</v>
      </c>
      <c r="C217">
        <v>0.25</v>
      </c>
      <c r="D217" t="s">
        <v>8</v>
      </c>
      <c r="E217" t="s">
        <v>9</v>
      </c>
      <c r="F217" t="s">
        <v>13</v>
      </c>
      <c r="G217" t="s">
        <v>18</v>
      </c>
      <c r="H217">
        <v>0.12</v>
      </c>
    </row>
    <row r="218" spans="1:8" x14ac:dyDescent="0.3">
      <c r="A218">
        <v>217</v>
      </c>
      <c r="B218">
        <v>40553</v>
      </c>
      <c r="C218">
        <v>0.29166666666666669</v>
      </c>
      <c r="D218" t="s">
        <v>8</v>
      </c>
      <c r="E218" t="s">
        <v>9</v>
      </c>
      <c r="F218" t="s">
        <v>13</v>
      </c>
      <c r="G218" t="s">
        <v>18</v>
      </c>
      <c r="H218">
        <v>0.12</v>
      </c>
    </row>
    <row r="219" spans="1:8" x14ac:dyDescent="0.3">
      <c r="A219">
        <v>218</v>
      </c>
      <c r="B219">
        <v>40553</v>
      </c>
      <c r="C219">
        <v>0.33333333333333331</v>
      </c>
      <c r="D219" t="s">
        <v>8</v>
      </c>
      <c r="E219" t="s">
        <v>9</v>
      </c>
      <c r="F219" t="s">
        <v>13</v>
      </c>
      <c r="G219" t="s">
        <v>19</v>
      </c>
      <c r="H219">
        <v>0.12</v>
      </c>
    </row>
    <row r="220" spans="1:8" x14ac:dyDescent="0.3">
      <c r="A220">
        <v>219</v>
      </c>
      <c r="B220">
        <v>40553</v>
      </c>
      <c r="C220">
        <v>0.375</v>
      </c>
      <c r="D220" t="s">
        <v>8</v>
      </c>
      <c r="E220" t="s">
        <v>9</v>
      </c>
      <c r="F220" t="s">
        <v>13</v>
      </c>
      <c r="G220" t="s">
        <v>19</v>
      </c>
      <c r="H220">
        <v>0.14000000000000001</v>
      </c>
    </row>
    <row r="221" spans="1:8" x14ac:dyDescent="0.3">
      <c r="A221">
        <v>220</v>
      </c>
      <c r="B221">
        <v>40553</v>
      </c>
      <c r="C221">
        <v>0.41666666666666669</v>
      </c>
      <c r="D221" t="s">
        <v>8</v>
      </c>
      <c r="E221" t="s">
        <v>9</v>
      </c>
      <c r="F221" t="s">
        <v>13</v>
      </c>
      <c r="G221" t="s">
        <v>19</v>
      </c>
      <c r="H221">
        <v>0.14000000000000001</v>
      </c>
    </row>
    <row r="222" spans="1:8" x14ac:dyDescent="0.3">
      <c r="A222">
        <v>221</v>
      </c>
      <c r="B222">
        <v>40553</v>
      </c>
      <c r="C222">
        <v>0.45833333333333331</v>
      </c>
      <c r="D222" t="s">
        <v>8</v>
      </c>
      <c r="E222" t="s">
        <v>9</v>
      </c>
      <c r="F222" t="s">
        <v>13</v>
      </c>
      <c r="G222" t="s">
        <v>19</v>
      </c>
      <c r="H222">
        <v>0.16</v>
      </c>
    </row>
    <row r="223" spans="1:8" x14ac:dyDescent="0.3">
      <c r="A223">
        <v>222</v>
      </c>
      <c r="B223">
        <v>40553</v>
      </c>
      <c r="C223">
        <v>0.5</v>
      </c>
      <c r="D223" t="s">
        <v>8</v>
      </c>
      <c r="E223" t="s">
        <v>9</v>
      </c>
      <c r="F223" t="s">
        <v>13</v>
      </c>
      <c r="G223" t="s">
        <v>19</v>
      </c>
      <c r="H223">
        <v>0.2</v>
      </c>
    </row>
    <row r="224" spans="1:8" x14ac:dyDescent="0.3">
      <c r="A224">
        <v>223</v>
      </c>
      <c r="B224">
        <v>40553</v>
      </c>
      <c r="C224">
        <v>0.54166666666666663</v>
      </c>
      <c r="D224" t="s">
        <v>8</v>
      </c>
      <c r="E224" t="s">
        <v>9</v>
      </c>
      <c r="F224" t="s">
        <v>13</v>
      </c>
      <c r="G224" t="s">
        <v>19</v>
      </c>
      <c r="H224">
        <v>0.2</v>
      </c>
    </row>
    <row r="225" spans="1:8" x14ac:dyDescent="0.3">
      <c r="A225">
        <v>224</v>
      </c>
      <c r="B225">
        <v>40553</v>
      </c>
      <c r="C225">
        <v>0.58333333333333337</v>
      </c>
      <c r="D225" t="s">
        <v>8</v>
      </c>
      <c r="E225" t="s">
        <v>9</v>
      </c>
      <c r="F225" t="s">
        <v>13</v>
      </c>
      <c r="G225" t="s">
        <v>19</v>
      </c>
      <c r="H225">
        <v>0.2</v>
      </c>
    </row>
    <row r="226" spans="1:8" x14ac:dyDescent="0.3">
      <c r="A226">
        <v>225</v>
      </c>
      <c r="B226">
        <v>40553</v>
      </c>
      <c r="C226">
        <v>0.625</v>
      </c>
      <c r="D226" t="s">
        <v>8</v>
      </c>
      <c r="E226" t="s">
        <v>9</v>
      </c>
      <c r="F226" t="s">
        <v>13</v>
      </c>
      <c r="G226" t="s">
        <v>19</v>
      </c>
      <c r="H226">
        <v>0.2</v>
      </c>
    </row>
    <row r="227" spans="1:8" x14ac:dyDescent="0.3">
      <c r="A227">
        <v>226</v>
      </c>
      <c r="B227">
        <v>40553</v>
      </c>
      <c r="C227">
        <v>0.66666666666666663</v>
      </c>
      <c r="D227" t="s">
        <v>8</v>
      </c>
      <c r="E227" t="s">
        <v>9</v>
      </c>
      <c r="F227" t="s">
        <v>13</v>
      </c>
      <c r="G227" t="s">
        <v>18</v>
      </c>
      <c r="H227">
        <v>0.2</v>
      </c>
    </row>
    <row r="228" spans="1:8" x14ac:dyDescent="0.3">
      <c r="A228">
        <v>227</v>
      </c>
      <c r="B228">
        <v>40553</v>
      </c>
      <c r="C228">
        <v>0.70833333333333337</v>
      </c>
      <c r="D228" t="s">
        <v>8</v>
      </c>
      <c r="E228" t="s">
        <v>9</v>
      </c>
      <c r="F228" t="s">
        <v>13</v>
      </c>
      <c r="G228" t="s">
        <v>18</v>
      </c>
      <c r="H228">
        <v>0.2</v>
      </c>
    </row>
    <row r="229" spans="1:8" x14ac:dyDescent="0.3">
      <c r="A229">
        <v>228</v>
      </c>
      <c r="B229">
        <v>40553</v>
      </c>
      <c r="C229">
        <v>0.75</v>
      </c>
      <c r="D229" t="s">
        <v>8</v>
      </c>
      <c r="E229" t="s">
        <v>9</v>
      </c>
      <c r="F229" t="s">
        <v>13</v>
      </c>
      <c r="G229" t="s">
        <v>18</v>
      </c>
      <c r="H229">
        <v>0.2</v>
      </c>
    </row>
    <row r="230" spans="1:8" x14ac:dyDescent="0.3">
      <c r="A230">
        <v>229</v>
      </c>
      <c r="B230">
        <v>40553</v>
      </c>
      <c r="C230">
        <v>0.79166666666666663</v>
      </c>
      <c r="D230" t="s">
        <v>8</v>
      </c>
      <c r="E230" t="s">
        <v>9</v>
      </c>
      <c r="F230" t="s">
        <v>13</v>
      </c>
      <c r="G230" t="s">
        <v>18</v>
      </c>
      <c r="H230">
        <v>0.16</v>
      </c>
    </row>
    <row r="231" spans="1:8" x14ac:dyDescent="0.3">
      <c r="A231">
        <v>230</v>
      </c>
      <c r="B231">
        <v>40553</v>
      </c>
      <c r="C231">
        <v>0.83333333333333337</v>
      </c>
      <c r="D231" t="s">
        <v>8</v>
      </c>
      <c r="E231" t="s">
        <v>9</v>
      </c>
      <c r="F231" t="s">
        <v>13</v>
      </c>
      <c r="G231" t="s">
        <v>18</v>
      </c>
      <c r="H231">
        <v>0.16</v>
      </c>
    </row>
    <row r="232" spans="1:8" x14ac:dyDescent="0.3">
      <c r="A232">
        <v>231</v>
      </c>
      <c r="B232">
        <v>40553</v>
      </c>
      <c r="C232">
        <v>0.875</v>
      </c>
      <c r="D232" t="s">
        <v>8</v>
      </c>
      <c r="E232" t="s">
        <v>9</v>
      </c>
      <c r="F232" t="s">
        <v>13</v>
      </c>
      <c r="G232" t="s">
        <v>18</v>
      </c>
      <c r="H232">
        <v>0.14000000000000001</v>
      </c>
    </row>
    <row r="233" spans="1:8" x14ac:dyDescent="0.3">
      <c r="A233">
        <v>232</v>
      </c>
      <c r="B233">
        <v>40553</v>
      </c>
      <c r="C233">
        <v>0.91666666666666663</v>
      </c>
      <c r="D233" t="s">
        <v>8</v>
      </c>
      <c r="E233" t="s">
        <v>9</v>
      </c>
      <c r="F233" t="s">
        <v>13</v>
      </c>
      <c r="G233" t="s">
        <v>18</v>
      </c>
      <c r="H233">
        <v>0.14000000000000001</v>
      </c>
    </row>
    <row r="234" spans="1:8" x14ac:dyDescent="0.3">
      <c r="A234">
        <v>233</v>
      </c>
      <c r="B234">
        <v>40553</v>
      </c>
      <c r="C234">
        <v>0.95833333333333337</v>
      </c>
      <c r="D234" t="s">
        <v>8</v>
      </c>
      <c r="E234" t="s">
        <v>9</v>
      </c>
      <c r="F234" t="s">
        <v>13</v>
      </c>
      <c r="G234" t="s">
        <v>18</v>
      </c>
      <c r="H234">
        <v>0.14000000000000001</v>
      </c>
    </row>
    <row r="235" spans="1:8" x14ac:dyDescent="0.3">
      <c r="A235">
        <v>234</v>
      </c>
      <c r="B235">
        <v>40554</v>
      </c>
      <c r="C235">
        <v>0</v>
      </c>
      <c r="D235" t="s">
        <v>8</v>
      </c>
      <c r="E235" t="s">
        <v>9</v>
      </c>
      <c r="F235" t="s">
        <v>14</v>
      </c>
      <c r="G235" t="s">
        <v>18</v>
      </c>
      <c r="H235">
        <v>0.14000000000000001</v>
      </c>
    </row>
    <row r="236" spans="1:8" x14ac:dyDescent="0.3">
      <c r="A236">
        <v>235</v>
      </c>
      <c r="B236">
        <v>40554</v>
      </c>
      <c r="C236">
        <v>4.1666666666666664E-2</v>
      </c>
      <c r="D236" t="s">
        <v>8</v>
      </c>
      <c r="E236" t="s">
        <v>9</v>
      </c>
      <c r="F236" t="s">
        <v>14</v>
      </c>
      <c r="G236" t="s">
        <v>18</v>
      </c>
      <c r="H236">
        <v>0.14000000000000001</v>
      </c>
    </row>
    <row r="237" spans="1:8" x14ac:dyDescent="0.3">
      <c r="A237">
        <v>236</v>
      </c>
      <c r="B237">
        <v>40554</v>
      </c>
      <c r="C237">
        <v>8.3333333333333329E-2</v>
      </c>
      <c r="D237" t="s">
        <v>8</v>
      </c>
      <c r="E237" t="s">
        <v>9</v>
      </c>
      <c r="F237" t="s">
        <v>14</v>
      </c>
      <c r="G237" t="s">
        <v>19</v>
      </c>
      <c r="H237">
        <v>0.16</v>
      </c>
    </row>
    <row r="238" spans="1:8" x14ac:dyDescent="0.3">
      <c r="A238">
        <v>237</v>
      </c>
      <c r="B238">
        <v>40554</v>
      </c>
      <c r="C238">
        <v>0.20833333333333334</v>
      </c>
      <c r="D238" t="s">
        <v>8</v>
      </c>
      <c r="E238" t="s">
        <v>9</v>
      </c>
      <c r="F238" t="s">
        <v>14</v>
      </c>
      <c r="G238" t="s">
        <v>19</v>
      </c>
      <c r="H238">
        <v>0.16</v>
      </c>
    </row>
    <row r="239" spans="1:8" x14ac:dyDescent="0.3">
      <c r="A239">
        <v>238</v>
      </c>
      <c r="B239">
        <v>40554</v>
      </c>
      <c r="C239">
        <v>0.25</v>
      </c>
      <c r="D239" t="s">
        <v>8</v>
      </c>
      <c r="E239" t="s">
        <v>9</v>
      </c>
      <c r="F239" t="s">
        <v>14</v>
      </c>
      <c r="G239" t="s">
        <v>19</v>
      </c>
      <c r="H239">
        <v>0.16</v>
      </c>
    </row>
    <row r="240" spans="1:8" x14ac:dyDescent="0.3">
      <c r="A240">
        <v>239</v>
      </c>
      <c r="B240">
        <v>40554</v>
      </c>
      <c r="C240">
        <v>0.29166666666666669</v>
      </c>
      <c r="D240" t="s">
        <v>8</v>
      </c>
      <c r="E240" t="s">
        <v>9</v>
      </c>
      <c r="F240" t="s">
        <v>14</v>
      </c>
      <c r="G240" t="s">
        <v>19</v>
      </c>
      <c r="H240">
        <v>0.16</v>
      </c>
    </row>
    <row r="241" spans="1:8" x14ac:dyDescent="0.3">
      <c r="A241">
        <v>240</v>
      </c>
      <c r="B241">
        <v>40554</v>
      </c>
      <c r="C241">
        <v>0.33333333333333331</v>
      </c>
      <c r="D241" t="s">
        <v>8</v>
      </c>
      <c r="E241" t="s">
        <v>9</v>
      </c>
      <c r="F241" t="s">
        <v>14</v>
      </c>
      <c r="G241" t="s">
        <v>19</v>
      </c>
      <c r="H241">
        <v>0.18</v>
      </c>
    </row>
    <row r="242" spans="1:8" x14ac:dyDescent="0.3">
      <c r="A242">
        <v>241</v>
      </c>
      <c r="B242">
        <v>40554</v>
      </c>
      <c r="C242">
        <v>0.375</v>
      </c>
      <c r="D242" t="s">
        <v>8</v>
      </c>
      <c r="E242" t="s">
        <v>9</v>
      </c>
      <c r="F242" t="s">
        <v>14</v>
      </c>
      <c r="G242" t="s">
        <v>19</v>
      </c>
      <c r="H242">
        <v>0.18</v>
      </c>
    </row>
    <row r="243" spans="1:8" x14ac:dyDescent="0.3">
      <c r="A243">
        <v>242</v>
      </c>
      <c r="B243">
        <v>40554</v>
      </c>
      <c r="C243">
        <v>0.41666666666666669</v>
      </c>
      <c r="D243" t="s">
        <v>8</v>
      </c>
      <c r="E243" t="s">
        <v>9</v>
      </c>
      <c r="F243" t="s">
        <v>14</v>
      </c>
      <c r="G243" t="s">
        <v>19</v>
      </c>
      <c r="H243">
        <v>0.2</v>
      </c>
    </row>
    <row r="244" spans="1:8" x14ac:dyDescent="0.3">
      <c r="A244">
        <v>243</v>
      </c>
      <c r="B244">
        <v>40554</v>
      </c>
      <c r="C244">
        <v>0.45833333333333331</v>
      </c>
      <c r="D244" t="s">
        <v>8</v>
      </c>
      <c r="E244" t="s">
        <v>9</v>
      </c>
      <c r="F244" t="s">
        <v>14</v>
      </c>
      <c r="G244" t="s">
        <v>19</v>
      </c>
      <c r="H244">
        <v>0.2</v>
      </c>
    </row>
    <row r="245" spans="1:8" x14ac:dyDescent="0.3">
      <c r="A245">
        <v>244</v>
      </c>
      <c r="B245">
        <v>40554</v>
      </c>
      <c r="C245">
        <v>0.5</v>
      </c>
      <c r="D245" t="s">
        <v>8</v>
      </c>
      <c r="E245" t="s">
        <v>9</v>
      </c>
      <c r="F245" t="s">
        <v>14</v>
      </c>
      <c r="G245" t="s">
        <v>19</v>
      </c>
      <c r="H245">
        <v>0.2</v>
      </c>
    </row>
    <row r="246" spans="1:8" x14ac:dyDescent="0.3">
      <c r="A246">
        <v>245</v>
      </c>
      <c r="B246">
        <v>40554</v>
      </c>
      <c r="C246">
        <v>0.54166666666666663</v>
      </c>
      <c r="D246" t="s">
        <v>8</v>
      </c>
      <c r="E246" t="s">
        <v>9</v>
      </c>
      <c r="F246" t="s">
        <v>14</v>
      </c>
      <c r="G246" t="s">
        <v>19</v>
      </c>
      <c r="H246">
        <v>0.2</v>
      </c>
    </row>
    <row r="247" spans="1:8" x14ac:dyDescent="0.3">
      <c r="A247">
        <v>246</v>
      </c>
      <c r="B247">
        <v>40554</v>
      </c>
      <c r="C247">
        <v>0.58333333333333337</v>
      </c>
      <c r="D247" t="s">
        <v>8</v>
      </c>
      <c r="E247" t="s">
        <v>9</v>
      </c>
      <c r="F247" t="s">
        <v>14</v>
      </c>
      <c r="G247" t="s">
        <v>19</v>
      </c>
      <c r="H247">
        <v>0.2</v>
      </c>
    </row>
    <row r="248" spans="1:8" x14ac:dyDescent="0.3">
      <c r="A248">
        <v>247</v>
      </c>
      <c r="B248">
        <v>40554</v>
      </c>
      <c r="C248">
        <v>0.625</v>
      </c>
      <c r="D248" t="s">
        <v>8</v>
      </c>
      <c r="E248" t="s">
        <v>9</v>
      </c>
      <c r="F248" t="s">
        <v>14</v>
      </c>
      <c r="G248" t="s">
        <v>19</v>
      </c>
      <c r="H248">
        <v>0.16</v>
      </c>
    </row>
    <row r="249" spans="1:8" x14ac:dyDescent="0.3">
      <c r="A249">
        <v>248</v>
      </c>
      <c r="B249">
        <v>40554</v>
      </c>
      <c r="C249">
        <v>0.66666666666666663</v>
      </c>
      <c r="D249" t="s">
        <v>8</v>
      </c>
      <c r="E249" t="s">
        <v>9</v>
      </c>
      <c r="F249" t="s">
        <v>14</v>
      </c>
      <c r="G249" t="s">
        <v>19</v>
      </c>
      <c r="H249">
        <v>0.16</v>
      </c>
    </row>
    <row r="250" spans="1:8" x14ac:dyDescent="0.3">
      <c r="A250">
        <v>249</v>
      </c>
      <c r="B250">
        <v>40554</v>
      </c>
      <c r="C250">
        <v>0.70833333333333337</v>
      </c>
      <c r="D250" t="s">
        <v>8</v>
      </c>
      <c r="E250" t="s">
        <v>9</v>
      </c>
      <c r="F250" t="s">
        <v>14</v>
      </c>
      <c r="G250" t="s">
        <v>19</v>
      </c>
      <c r="H250">
        <v>0.16</v>
      </c>
    </row>
    <row r="251" spans="1:8" x14ac:dyDescent="0.3">
      <c r="A251">
        <v>250</v>
      </c>
      <c r="B251">
        <v>40554</v>
      </c>
      <c r="C251">
        <v>0.75</v>
      </c>
      <c r="D251" t="s">
        <v>8</v>
      </c>
      <c r="E251" t="s">
        <v>9</v>
      </c>
      <c r="F251" t="s">
        <v>14</v>
      </c>
      <c r="G251" t="s">
        <v>20</v>
      </c>
      <c r="H251">
        <v>0.16</v>
      </c>
    </row>
    <row r="252" spans="1:8" x14ac:dyDescent="0.3">
      <c r="A252">
        <v>251</v>
      </c>
      <c r="B252">
        <v>40554</v>
      </c>
      <c r="C252">
        <v>0.79166666666666663</v>
      </c>
      <c r="D252" t="s">
        <v>8</v>
      </c>
      <c r="E252" t="s">
        <v>9</v>
      </c>
      <c r="F252" t="s">
        <v>14</v>
      </c>
      <c r="G252" t="s">
        <v>20</v>
      </c>
      <c r="H252">
        <v>0.16</v>
      </c>
    </row>
    <row r="253" spans="1:8" x14ac:dyDescent="0.3">
      <c r="A253">
        <v>252</v>
      </c>
      <c r="B253">
        <v>40554</v>
      </c>
      <c r="C253">
        <v>0.83333333333333337</v>
      </c>
      <c r="D253" t="s">
        <v>8</v>
      </c>
      <c r="E253" t="s">
        <v>9</v>
      </c>
      <c r="F253" t="s">
        <v>14</v>
      </c>
      <c r="G253" t="s">
        <v>20</v>
      </c>
      <c r="H253">
        <v>0.16</v>
      </c>
    </row>
    <row r="254" spans="1:8" x14ac:dyDescent="0.3">
      <c r="A254">
        <v>253</v>
      </c>
      <c r="B254">
        <v>40554</v>
      </c>
      <c r="C254">
        <v>0.875</v>
      </c>
      <c r="D254" t="s">
        <v>8</v>
      </c>
      <c r="E254" t="s">
        <v>9</v>
      </c>
      <c r="F254" t="s">
        <v>14</v>
      </c>
      <c r="G254" t="s">
        <v>20</v>
      </c>
      <c r="H254">
        <v>0.16</v>
      </c>
    </row>
    <row r="255" spans="1:8" x14ac:dyDescent="0.3">
      <c r="A255">
        <v>254</v>
      </c>
      <c r="B255">
        <v>40554</v>
      </c>
      <c r="C255">
        <v>0.91666666666666663</v>
      </c>
      <c r="D255" t="s">
        <v>8</v>
      </c>
      <c r="E255" t="s">
        <v>9</v>
      </c>
      <c r="F255" t="s">
        <v>14</v>
      </c>
      <c r="G255" t="s">
        <v>20</v>
      </c>
      <c r="H255">
        <v>0.16</v>
      </c>
    </row>
    <row r="256" spans="1:8" x14ac:dyDescent="0.3">
      <c r="A256">
        <v>255</v>
      </c>
      <c r="B256">
        <v>40554</v>
      </c>
      <c r="C256">
        <v>0.95833333333333337</v>
      </c>
      <c r="D256" t="s">
        <v>8</v>
      </c>
      <c r="E256" t="s">
        <v>9</v>
      </c>
      <c r="F256" t="s">
        <v>14</v>
      </c>
      <c r="G256" t="s">
        <v>20</v>
      </c>
      <c r="H256">
        <v>0.16</v>
      </c>
    </row>
    <row r="257" spans="1:8" x14ac:dyDescent="0.3">
      <c r="A257">
        <v>256</v>
      </c>
      <c r="B257">
        <v>40555</v>
      </c>
      <c r="C257">
        <v>0</v>
      </c>
      <c r="D257" t="s">
        <v>8</v>
      </c>
      <c r="E257" t="s">
        <v>9</v>
      </c>
      <c r="F257" t="s">
        <v>15</v>
      </c>
      <c r="G257" t="s">
        <v>19</v>
      </c>
      <c r="H257">
        <v>0.16</v>
      </c>
    </row>
    <row r="258" spans="1:8" x14ac:dyDescent="0.3">
      <c r="A258">
        <v>257</v>
      </c>
      <c r="B258">
        <v>40555</v>
      </c>
      <c r="C258">
        <v>4.1666666666666664E-2</v>
      </c>
      <c r="D258" t="s">
        <v>8</v>
      </c>
      <c r="E258" t="s">
        <v>9</v>
      </c>
      <c r="F258" t="s">
        <v>15</v>
      </c>
      <c r="G258" t="s">
        <v>19</v>
      </c>
      <c r="H258">
        <v>0.16</v>
      </c>
    </row>
    <row r="259" spans="1:8" x14ac:dyDescent="0.3">
      <c r="A259">
        <v>258</v>
      </c>
      <c r="B259">
        <v>40555</v>
      </c>
      <c r="C259">
        <v>8.3333333333333329E-2</v>
      </c>
      <c r="D259" t="s">
        <v>8</v>
      </c>
      <c r="E259" t="s">
        <v>9</v>
      </c>
      <c r="F259" t="s">
        <v>15</v>
      </c>
      <c r="G259" t="s">
        <v>18</v>
      </c>
      <c r="H259">
        <v>0.14000000000000001</v>
      </c>
    </row>
    <row r="260" spans="1:8" x14ac:dyDescent="0.3">
      <c r="A260">
        <v>259</v>
      </c>
      <c r="B260">
        <v>40555</v>
      </c>
      <c r="C260">
        <v>0.20833333333333334</v>
      </c>
      <c r="D260" t="s">
        <v>8</v>
      </c>
      <c r="E260" t="s">
        <v>9</v>
      </c>
      <c r="F260" t="s">
        <v>15</v>
      </c>
      <c r="G260" t="s">
        <v>18</v>
      </c>
      <c r="H260">
        <v>0.14000000000000001</v>
      </c>
    </row>
    <row r="261" spans="1:8" x14ac:dyDescent="0.3">
      <c r="A261">
        <v>260</v>
      </c>
      <c r="B261">
        <v>40555</v>
      </c>
      <c r="C261">
        <v>0.25</v>
      </c>
      <c r="D261" t="s">
        <v>8</v>
      </c>
      <c r="E261" t="s">
        <v>9</v>
      </c>
      <c r="F261" t="s">
        <v>15</v>
      </c>
      <c r="G261" t="s">
        <v>18</v>
      </c>
      <c r="H261">
        <v>0.12</v>
      </c>
    </row>
    <row r="262" spans="1:8" x14ac:dyDescent="0.3">
      <c r="A262">
        <v>261</v>
      </c>
      <c r="B262">
        <v>40555</v>
      </c>
      <c r="C262">
        <v>0.29166666666666669</v>
      </c>
      <c r="D262" t="s">
        <v>8</v>
      </c>
      <c r="E262" t="s">
        <v>9</v>
      </c>
      <c r="F262" t="s">
        <v>15</v>
      </c>
      <c r="G262" t="s">
        <v>18</v>
      </c>
      <c r="H262">
        <v>0.14000000000000001</v>
      </c>
    </row>
    <row r="263" spans="1:8" x14ac:dyDescent="0.3">
      <c r="A263">
        <v>262</v>
      </c>
      <c r="B263">
        <v>40555</v>
      </c>
      <c r="C263">
        <v>0.33333333333333331</v>
      </c>
      <c r="D263" t="s">
        <v>8</v>
      </c>
      <c r="E263" t="s">
        <v>9</v>
      </c>
      <c r="F263" t="s">
        <v>15</v>
      </c>
      <c r="G263" t="s">
        <v>18</v>
      </c>
      <c r="H263">
        <v>0.16</v>
      </c>
    </row>
    <row r="264" spans="1:8" x14ac:dyDescent="0.3">
      <c r="A264">
        <v>263</v>
      </c>
      <c r="B264">
        <v>40555</v>
      </c>
      <c r="C264">
        <v>0.375</v>
      </c>
      <c r="D264" t="s">
        <v>8</v>
      </c>
      <c r="E264" t="s">
        <v>9</v>
      </c>
      <c r="F264" t="s">
        <v>15</v>
      </c>
      <c r="G264" t="s">
        <v>18</v>
      </c>
      <c r="H264">
        <v>0.16</v>
      </c>
    </row>
    <row r="265" spans="1:8" x14ac:dyDescent="0.3">
      <c r="A265">
        <v>264</v>
      </c>
      <c r="B265">
        <v>40555</v>
      </c>
      <c r="C265">
        <v>0.41666666666666669</v>
      </c>
      <c r="D265" t="s">
        <v>8</v>
      </c>
      <c r="E265" t="s">
        <v>9</v>
      </c>
      <c r="F265" t="s">
        <v>15</v>
      </c>
      <c r="G265" t="s">
        <v>18</v>
      </c>
      <c r="H265">
        <v>0.18</v>
      </c>
    </row>
    <row r="266" spans="1:8" x14ac:dyDescent="0.3">
      <c r="A266">
        <v>265</v>
      </c>
      <c r="B266">
        <v>40555</v>
      </c>
      <c r="C266">
        <v>0.45833333333333331</v>
      </c>
      <c r="D266" t="s">
        <v>8</v>
      </c>
      <c r="E266" t="s">
        <v>9</v>
      </c>
      <c r="F266" t="s">
        <v>15</v>
      </c>
      <c r="G266" t="s">
        <v>18</v>
      </c>
      <c r="H266">
        <v>0.2</v>
      </c>
    </row>
    <row r="267" spans="1:8" x14ac:dyDescent="0.3">
      <c r="A267">
        <v>266</v>
      </c>
      <c r="B267">
        <v>40555</v>
      </c>
      <c r="C267">
        <v>0.5</v>
      </c>
      <c r="D267" t="s">
        <v>8</v>
      </c>
      <c r="E267" t="s">
        <v>9</v>
      </c>
      <c r="F267" t="s">
        <v>15</v>
      </c>
      <c r="G267" t="s">
        <v>18</v>
      </c>
      <c r="H267">
        <v>0.2</v>
      </c>
    </row>
    <row r="268" spans="1:8" x14ac:dyDescent="0.3">
      <c r="A268">
        <v>267</v>
      </c>
      <c r="B268">
        <v>40555</v>
      </c>
      <c r="C268">
        <v>0.54166666666666663</v>
      </c>
      <c r="D268" t="s">
        <v>8</v>
      </c>
      <c r="E268" t="s">
        <v>9</v>
      </c>
      <c r="F268" t="s">
        <v>15</v>
      </c>
      <c r="G268" t="s">
        <v>18</v>
      </c>
      <c r="H268">
        <v>0.22</v>
      </c>
    </row>
    <row r="269" spans="1:8" x14ac:dyDescent="0.3">
      <c r="A269">
        <v>268</v>
      </c>
      <c r="B269">
        <v>40555</v>
      </c>
      <c r="C269">
        <v>0.58333333333333337</v>
      </c>
      <c r="D269" t="s">
        <v>8</v>
      </c>
      <c r="E269" t="s">
        <v>9</v>
      </c>
      <c r="F269" t="s">
        <v>15</v>
      </c>
      <c r="G269" t="s">
        <v>18</v>
      </c>
      <c r="H269">
        <v>0.2</v>
      </c>
    </row>
    <row r="270" spans="1:8" x14ac:dyDescent="0.3">
      <c r="A270">
        <v>269</v>
      </c>
      <c r="B270">
        <v>40555</v>
      </c>
      <c r="C270">
        <v>0.625</v>
      </c>
      <c r="D270" t="s">
        <v>8</v>
      </c>
      <c r="E270" t="s">
        <v>9</v>
      </c>
      <c r="F270" t="s">
        <v>15</v>
      </c>
      <c r="G270" t="s">
        <v>18</v>
      </c>
      <c r="H270">
        <v>0.2</v>
      </c>
    </row>
    <row r="271" spans="1:8" x14ac:dyDescent="0.3">
      <c r="A271">
        <v>270</v>
      </c>
      <c r="B271">
        <v>40555</v>
      </c>
      <c r="C271">
        <v>0.66666666666666663</v>
      </c>
      <c r="D271" t="s">
        <v>8</v>
      </c>
      <c r="E271" t="s">
        <v>9</v>
      </c>
      <c r="F271" t="s">
        <v>15</v>
      </c>
      <c r="G271" t="s">
        <v>18</v>
      </c>
      <c r="H271">
        <v>0.22</v>
      </c>
    </row>
    <row r="272" spans="1:8" x14ac:dyDescent="0.3">
      <c r="A272">
        <v>271</v>
      </c>
      <c r="B272">
        <v>40555</v>
      </c>
      <c r="C272">
        <v>0.70833333333333337</v>
      </c>
      <c r="D272" t="s">
        <v>8</v>
      </c>
      <c r="E272" t="s">
        <v>9</v>
      </c>
      <c r="F272" t="s">
        <v>15</v>
      </c>
      <c r="G272" t="s">
        <v>18</v>
      </c>
      <c r="H272">
        <v>0.2</v>
      </c>
    </row>
    <row r="273" spans="1:8" x14ac:dyDescent="0.3">
      <c r="A273">
        <v>272</v>
      </c>
      <c r="B273">
        <v>40555</v>
      </c>
      <c r="C273">
        <v>0.75</v>
      </c>
      <c r="D273" t="s">
        <v>8</v>
      </c>
      <c r="E273" t="s">
        <v>9</v>
      </c>
      <c r="F273" t="s">
        <v>15</v>
      </c>
      <c r="G273" t="s">
        <v>18</v>
      </c>
      <c r="H273">
        <v>0.2</v>
      </c>
    </row>
    <row r="274" spans="1:8" x14ac:dyDescent="0.3">
      <c r="A274">
        <v>273</v>
      </c>
      <c r="B274">
        <v>40555</v>
      </c>
      <c r="C274">
        <v>0.79166666666666663</v>
      </c>
      <c r="D274" t="s">
        <v>8</v>
      </c>
      <c r="E274" t="s">
        <v>9</v>
      </c>
      <c r="F274" t="s">
        <v>15</v>
      </c>
      <c r="G274" t="s">
        <v>18</v>
      </c>
      <c r="H274">
        <v>0.18</v>
      </c>
    </row>
    <row r="275" spans="1:8" x14ac:dyDescent="0.3">
      <c r="A275">
        <v>274</v>
      </c>
      <c r="B275">
        <v>40555</v>
      </c>
      <c r="C275">
        <v>0.83333333333333337</v>
      </c>
      <c r="D275" t="s">
        <v>8</v>
      </c>
      <c r="E275" t="s">
        <v>9</v>
      </c>
      <c r="F275" t="s">
        <v>15</v>
      </c>
      <c r="G275" t="s">
        <v>18</v>
      </c>
      <c r="H275">
        <v>0.16</v>
      </c>
    </row>
    <row r="276" spans="1:8" x14ac:dyDescent="0.3">
      <c r="A276">
        <v>275</v>
      </c>
      <c r="B276">
        <v>40555</v>
      </c>
      <c r="C276">
        <v>0.875</v>
      </c>
      <c r="D276" t="s">
        <v>8</v>
      </c>
      <c r="E276" t="s">
        <v>9</v>
      </c>
      <c r="F276" t="s">
        <v>15</v>
      </c>
      <c r="G276" t="s">
        <v>18</v>
      </c>
      <c r="H276">
        <v>0.16</v>
      </c>
    </row>
    <row r="277" spans="1:8" x14ac:dyDescent="0.3">
      <c r="A277">
        <v>276</v>
      </c>
      <c r="B277">
        <v>40555</v>
      </c>
      <c r="C277">
        <v>0.91666666666666663</v>
      </c>
      <c r="D277" t="s">
        <v>8</v>
      </c>
      <c r="E277" t="s">
        <v>9</v>
      </c>
      <c r="F277" t="s">
        <v>15</v>
      </c>
      <c r="G277" t="s">
        <v>18</v>
      </c>
      <c r="H277">
        <v>0.16</v>
      </c>
    </row>
    <row r="278" spans="1:8" x14ac:dyDescent="0.3">
      <c r="A278">
        <v>277</v>
      </c>
      <c r="B278">
        <v>40555</v>
      </c>
      <c r="C278">
        <v>0.95833333333333337</v>
      </c>
      <c r="D278" t="s">
        <v>8</v>
      </c>
      <c r="E278" t="s">
        <v>9</v>
      </c>
      <c r="F278" t="s">
        <v>15</v>
      </c>
      <c r="G278" t="s">
        <v>18</v>
      </c>
      <c r="H278">
        <v>0.14000000000000001</v>
      </c>
    </row>
    <row r="279" spans="1:8" x14ac:dyDescent="0.3">
      <c r="A279">
        <v>278</v>
      </c>
      <c r="B279">
        <v>40556</v>
      </c>
      <c r="C279">
        <v>0</v>
      </c>
      <c r="D279" t="s">
        <v>8</v>
      </c>
      <c r="E279" t="s">
        <v>9</v>
      </c>
      <c r="F279" t="s">
        <v>16</v>
      </c>
      <c r="G279" t="s">
        <v>18</v>
      </c>
      <c r="H279">
        <v>0.14000000000000001</v>
      </c>
    </row>
    <row r="280" spans="1:8" x14ac:dyDescent="0.3">
      <c r="A280">
        <v>279</v>
      </c>
      <c r="B280">
        <v>40556</v>
      </c>
      <c r="C280">
        <v>4.1666666666666664E-2</v>
      </c>
      <c r="D280" t="s">
        <v>8</v>
      </c>
      <c r="E280" t="s">
        <v>9</v>
      </c>
      <c r="F280" t="s">
        <v>16</v>
      </c>
      <c r="G280" t="s">
        <v>18</v>
      </c>
      <c r="H280">
        <v>0.14000000000000001</v>
      </c>
    </row>
    <row r="281" spans="1:8" x14ac:dyDescent="0.3">
      <c r="A281">
        <v>280</v>
      </c>
      <c r="B281">
        <v>40556</v>
      </c>
      <c r="C281">
        <v>8.3333333333333329E-2</v>
      </c>
      <c r="D281" t="s">
        <v>8</v>
      </c>
      <c r="E281" t="s">
        <v>9</v>
      </c>
      <c r="F281" t="s">
        <v>16</v>
      </c>
      <c r="G281" t="s">
        <v>18</v>
      </c>
      <c r="H281">
        <v>0.14000000000000001</v>
      </c>
    </row>
    <row r="282" spans="1:8" x14ac:dyDescent="0.3">
      <c r="A282">
        <v>281</v>
      </c>
      <c r="B282">
        <v>40556</v>
      </c>
      <c r="C282">
        <v>0.125</v>
      </c>
      <c r="D282" t="s">
        <v>8</v>
      </c>
      <c r="E282" t="s">
        <v>9</v>
      </c>
      <c r="F282" t="s">
        <v>16</v>
      </c>
      <c r="G282" t="s">
        <v>18</v>
      </c>
      <c r="H282">
        <v>0.14000000000000001</v>
      </c>
    </row>
    <row r="283" spans="1:8" x14ac:dyDescent="0.3">
      <c r="A283">
        <v>282</v>
      </c>
      <c r="B283">
        <v>40556</v>
      </c>
      <c r="C283">
        <v>0.16666666666666666</v>
      </c>
      <c r="D283" t="s">
        <v>8</v>
      </c>
      <c r="E283" t="s">
        <v>9</v>
      </c>
      <c r="F283" t="s">
        <v>16</v>
      </c>
      <c r="G283" t="s">
        <v>18</v>
      </c>
      <c r="H283">
        <v>0.14000000000000001</v>
      </c>
    </row>
    <row r="284" spans="1:8" x14ac:dyDescent="0.3">
      <c r="A284">
        <v>283</v>
      </c>
      <c r="B284">
        <v>40556</v>
      </c>
      <c r="C284">
        <v>0.20833333333333334</v>
      </c>
      <c r="D284" t="s">
        <v>8</v>
      </c>
      <c r="E284" t="s">
        <v>9</v>
      </c>
      <c r="F284" t="s">
        <v>16</v>
      </c>
      <c r="G284" t="s">
        <v>18</v>
      </c>
      <c r="H284">
        <v>0.14000000000000001</v>
      </c>
    </row>
    <row r="285" spans="1:8" x14ac:dyDescent="0.3">
      <c r="A285">
        <v>284</v>
      </c>
      <c r="B285">
        <v>40556</v>
      </c>
      <c r="C285">
        <v>0.25</v>
      </c>
      <c r="D285" t="s">
        <v>8</v>
      </c>
      <c r="E285" t="s">
        <v>9</v>
      </c>
      <c r="F285" t="s">
        <v>16</v>
      </c>
      <c r="G285" t="s">
        <v>18</v>
      </c>
      <c r="H285">
        <v>0.12</v>
      </c>
    </row>
    <row r="286" spans="1:8" x14ac:dyDescent="0.3">
      <c r="A286">
        <v>285</v>
      </c>
      <c r="B286">
        <v>40556</v>
      </c>
      <c r="C286">
        <v>0.29166666666666669</v>
      </c>
      <c r="D286" t="s">
        <v>8</v>
      </c>
      <c r="E286" t="s">
        <v>9</v>
      </c>
      <c r="F286" t="s">
        <v>16</v>
      </c>
      <c r="G286" t="s">
        <v>18</v>
      </c>
      <c r="H286">
        <v>0.12</v>
      </c>
    </row>
    <row r="287" spans="1:8" x14ac:dyDescent="0.3">
      <c r="A287">
        <v>286</v>
      </c>
      <c r="B287">
        <v>40556</v>
      </c>
      <c r="C287">
        <v>0.33333333333333331</v>
      </c>
      <c r="D287" t="s">
        <v>8</v>
      </c>
      <c r="E287" t="s">
        <v>9</v>
      </c>
      <c r="F287" t="s">
        <v>16</v>
      </c>
      <c r="G287" t="s">
        <v>18</v>
      </c>
      <c r="H287">
        <v>0.14000000000000001</v>
      </c>
    </row>
    <row r="288" spans="1:8" x14ac:dyDescent="0.3">
      <c r="A288">
        <v>287</v>
      </c>
      <c r="B288">
        <v>40556</v>
      </c>
      <c r="C288">
        <v>0.375</v>
      </c>
      <c r="D288" t="s">
        <v>8</v>
      </c>
      <c r="E288" t="s">
        <v>9</v>
      </c>
      <c r="F288" t="s">
        <v>16</v>
      </c>
      <c r="G288" t="s">
        <v>18</v>
      </c>
      <c r="H288">
        <v>0.14000000000000001</v>
      </c>
    </row>
    <row r="289" spans="1:8" x14ac:dyDescent="0.3">
      <c r="A289">
        <v>288</v>
      </c>
      <c r="B289">
        <v>40556</v>
      </c>
      <c r="C289">
        <v>0.41666666666666669</v>
      </c>
      <c r="D289" t="s">
        <v>8</v>
      </c>
      <c r="E289" t="s">
        <v>9</v>
      </c>
      <c r="F289" t="s">
        <v>16</v>
      </c>
      <c r="G289" t="s">
        <v>19</v>
      </c>
      <c r="H289">
        <v>0.16</v>
      </c>
    </row>
    <row r="290" spans="1:8" x14ac:dyDescent="0.3">
      <c r="A290">
        <v>289</v>
      </c>
      <c r="B290">
        <v>40556</v>
      </c>
      <c r="C290">
        <v>0.45833333333333331</v>
      </c>
      <c r="D290" t="s">
        <v>8</v>
      </c>
      <c r="E290" t="s">
        <v>9</v>
      </c>
      <c r="F290" t="s">
        <v>16</v>
      </c>
      <c r="G290" t="s">
        <v>19</v>
      </c>
      <c r="H290">
        <v>0.2</v>
      </c>
    </row>
    <row r="291" spans="1:8" x14ac:dyDescent="0.3">
      <c r="A291">
        <v>290</v>
      </c>
      <c r="B291">
        <v>40556</v>
      </c>
      <c r="C291">
        <v>0.5</v>
      </c>
      <c r="D291" t="s">
        <v>8</v>
      </c>
      <c r="E291" t="s">
        <v>9</v>
      </c>
      <c r="F291" t="s">
        <v>16</v>
      </c>
      <c r="G291" t="s">
        <v>18</v>
      </c>
      <c r="H291">
        <v>0.2</v>
      </c>
    </row>
    <row r="292" spans="1:8" x14ac:dyDescent="0.3">
      <c r="A292">
        <v>291</v>
      </c>
      <c r="B292">
        <v>40556</v>
      </c>
      <c r="C292">
        <v>0.54166666666666663</v>
      </c>
      <c r="D292" t="s">
        <v>8</v>
      </c>
      <c r="E292" t="s">
        <v>9</v>
      </c>
      <c r="F292" t="s">
        <v>16</v>
      </c>
      <c r="G292" t="s">
        <v>18</v>
      </c>
      <c r="H292">
        <v>0.22</v>
      </c>
    </row>
    <row r="293" spans="1:8" x14ac:dyDescent="0.3">
      <c r="A293">
        <v>292</v>
      </c>
      <c r="B293">
        <v>40556</v>
      </c>
      <c r="C293">
        <v>0.58333333333333337</v>
      </c>
      <c r="D293" t="s">
        <v>8</v>
      </c>
      <c r="E293" t="s">
        <v>9</v>
      </c>
      <c r="F293" t="s">
        <v>16</v>
      </c>
      <c r="G293" t="s">
        <v>18</v>
      </c>
      <c r="H293">
        <v>0.22</v>
      </c>
    </row>
    <row r="294" spans="1:8" x14ac:dyDescent="0.3">
      <c r="A294">
        <v>293</v>
      </c>
      <c r="B294">
        <v>40556</v>
      </c>
      <c r="C294">
        <v>0.625</v>
      </c>
      <c r="D294" t="s">
        <v>8</v>
      </c>
      <c r="E294" t="s">
        <v>9</v>
      </c>
      <c r="F294" t="s">
        <v>16</v>
      </c>
      <c r="G294" t="s">
        <v>18</v>
      </c>
      <c r="H294">
        <v>0.24</v>
      </c>
    </row>
    <row r="295" spans="1:8" x14ac:dyDescent="0.3">
      <c r="A295">
        <v>294</v>
      </c>
      <c r="B295">
        <v>40556</v>
      </c>
      <c r="C295">
        <v>0.66666666666666663</v>
      </c>
      <c r="D295" t="s">
        <v>8</v>
      </c>
      <c r="E295" t="s">
        <v>9</v>
      </c>
      <c r="F295" t="s">
        <v>16</v>
      </c>
      <c r="G295" t="s">
        <v>18</v>
      </c>
      <c r="H295">
        <v>0.24</v>
      </c>
    </row>
    <row r="296" spans="1:8" x14ac:dyDescent="0.3">
      <c r="A296">
        <v>295</v>
      </c>
      <c r="B296">
        <v>40556</v>
      </c>
      <c r="C296">
        <v>0.70833333333333337</v>
      </c>
      <c r="D296" t="s">
        <v>8</v>
      </c>
      <c r="E296" t="s">
        <v>9</v>
      </c>
      <c r="F296" t="s">
        <v>16</v>
      </c>
      <c r="G296" t="s">
        <v>18</v>
      </c>
      <c r="H296">
        <v>0.2</v>
      </c>
    </row>
    <row r="297" spans="1:8" x14ac:dyDescent="0.3">
      <c r="A297">
        <v>296</v>
      </c>
      <c r="B297">
        <v>40556</v>
      </c>
      <c r="C297">
        <v>0.75</v>
      </c>
      <c r="D297" t="s">
        <v>8</v>
      </c>
      <c r="E297" t="s">
        <v>9</v>
      </c>
      <c r="F297" t="s">
        <v>16</v>
      </c>
      <c r="G297" t="s">
        <v>18</v>
      </c>
      <c r="H297">
        <v>0.2</v>
      </c>
    </row>
    <row r="298" spans="1:8" x14ac:dyDescent="0.3">
      <c r="A298">
        <v>297</v>
      </c>
      <c r="B298">
        <v>40556</v>
      </c>
      <c r="C298">
        <v>0.79166666666666663</v>
      </c>
      <c r="D298" t="s">
        <v>8</v>
      </c>
      <c r="E298" t="s">
        <v>9</v>
      </c>
      <c r="F298" t="s">
        <v>16</v>
      </c>
      <c r="G298" t="s">
        <v>18</v>
      </c>
      <c r="H298">
        <v>0.16</v>
      </c>
    </row>
    <row r="299" spans="1:8" x14ac:dyDescent="0.3">
      <c r="A299">
        <v>298</v>
      </c>
      <c r="B299">
        <v>40556</v>
      </c>
      <c r="C299">
        <v>0.83333333333333337</v>
      </c>
      <c r="D299" t="s">
        <v>8</v>
      </c>
      <c r="E299" t="s">
        <v>9</v>
      </c>
      <c r="F299" t="s">
        <v>16</v>
      </c>
      <c r="G299" t="s">
        <v>18</v>
      </c>
      <c r="H299">
        <v>0.16</v>
      </c>
    </row>
    <row r="300" spans="1:8" x14ac:dyDescent="0.3">
      <c r="A300">
        <v>299</v>
      </c>
      <c r="B300">
        <v>40556</v>
      </c>
      <c r="C300">
        <v>0.875</v>
      </c>
      <c r="D300" t="s">
        <v>8</v>
      </c>
      <c r="E300" t="s">
        <v>9</v>
      </c>
      <c r="F300" t="s">
        <v>16</v>
      </c>
      <c r="G300" t="s">
        <v>18</v>
      </c>
      <c r="H300">
        <v>0.14000000000000001</v>
      </c>
    </row>
    <row r="301" spans="1:8" x14ac:dyDescent="0.3">
      <c r="A301">
        <v>300</v>
      </c>
      <c r="B301">
        <v>40556</v>
      </c>
      <c r="C301">
        <v>0.91666666666666663</v>
      </c>
      <c r="D301" t="s">
        <v>8</v>
      </c>
      <c r="E301" t="s">
        <v>9</v>
      </c>
      <c r="F301" t="s">
        <v>16</v>
      </c>
      <c r="G301" t="s">
        <v>18</v>
      </c>
      <c r="H301">
        <v>0.14000000000000001</v>
      </c>
    </row>
    <row r="302" spans="1:8" x14ac:dyDescent="0.3">
      <c r="A302">
        <v>301</v>
      </c>
      <c r="B302">
        <v>40556</v>
      </c>
      <c r="C302">
        <v>0.95833333333333337</v>
      </c>
      <c r="D302" t="s">
        <v>8</v>
      </c>
      <c r="E302" t="s">
        <v>9</v>
      </c>
      <c r="F302" t="s">
        <v>16</v>
      </c>
      <c r="G302" t="s">
        <v>18</v>
      </c>
      <c r="H302">
        <v>0.12</v>
      </c>
    </row>
    <row r="303" spans="1:8" x14ac:dyDescent="0.3">
      <c r="A303">
        <v>302</v>
      </c>
      <c r="B303">
        <v>40557</v>
      </c>
      <c r="C303">
        <v>0</v>
      </c>
      <c r="D303" t="s">
        <v>8</v>
      </c>
      <c r="E303" t="s">
        <v>9</v>
      </c>
      <c r="F303" t="s">
        <v>17</v>
      </c>
      <c r="G303" t="s">
        <v>18</v>
      </c>
      <c r="H303">
        <v>0.12</v>
      </c>
    </row>
    <row r="304" spans="1:8" x14ac:dyDescent="0.3">
      <c r="A304">
        <v>303</v>
      </c>
      <c r="B304">
        <v>40557</v>
      </c>
      <c r="C304">
        <v>4.1666666666666664E-2</v>
      </c>
      <c r="D304" t="s">
        <v>8</v>
      </c>
      <c r="E304" t="s">
        <v>9</v>
      </c>
      <c r="F304" t="s">
        <v>17</v>
      </c>
      <c r="G304" t="s">
        <v>18</v>
      </c>
      <c r="H304">
        <v>0.1</v>
      </c>
    </row>
    <row r="305" spans="1:8" x14ac:dyDescent="0.3">
      <c r="A305">
        <v>304</v>
      </c>
      <c r="B305">
        <v>40557</v>
      </c>
      <c r="C305">
        <v>8.3333333333333329E-2</v>
      </c>
      <c r="D305" t="s">
        <v>8</v>
      </c>
      <c r="E305" t="s">
        <v>9</v>
      </c>
      <c r="F305" t="s">
        <v>17</v>
      </c>
      <c r="G305" t="s">
        <v>18</v>
      </c>
      <c r="H305">
        <v>0.1</v>
      </c>
    </row>
    <row r="306" spans="1:8" x14ac:dyDescent="0.3">
      <c r="A306">
        <v>305</v>
      </c>
      <c r="B306">
        <v>40557</v>
      </c>
      <c r="C306">
        <v>0.125</v>
      </c>
      <c r="D306" t="s">
        <v>8</v>
      </c>
      <c r="E306" t="s">
        <v>9</v>
      </c>
      <c r="F306" t="s">
        <v>17</v>
      </c>
      <c r="G306" t="s">
        <v>18</v>
      </c>
      <c r="H306">
        <v>0.1</v>
      </c>
    </row>
    <row r="307" spans="1:8" x14ac:dyDescent="0.3">
      <c r="A307">
        <v>306</v>
      </c>
      <c r="B307">
        <v>40557</v>
      </c>
      <c r="C307">
        <v>0.20833333333333334</v>
      </c>
      <c r="D307" t="s">
        <v>8</v>
      </c>
      <c r="E307" t="s">
        <v>9</v>
      </c>
      <c r="F307" t="s">
        <v>17</v>
      </c>
      <c r="G307" t="s">
        <v>18</v>
      </c>
      <c r="H307">
        <v>0.1</v>
      </c>
    </row>
    <row r="308" spans="1:8" x14ac:dyDescent="0.3">
      <c r="A308">
        <v>307</v>
      </c>
      <c r="B308">
        <v>40557</v>
      </c>
      <c r="C308">
        <v>0.25</v>
      </c>
      <c r="D308" t="s">
        <v>8</v>
      </c>
      <c r="E308" t="s">
        <v>9</v>
      </c>
      <c r="F308" t="s">
        <v>17</v>
      </c>
      <c r="G308" t="s">
        <v>18</v>
      </c>
      <c r="H308">
        <v>0.1</v>
      </c>
    </row>
    <row r="309" spans="1:8" x14ac:dyDescent="0.3">
      <c r="A309">
        <v>308</v>
      </c>
      <c r="B309">
        <v>40557</v>
      </c>
      <c r="C309">
        <v>0.29166666666666669</v>
      </c>
      <c r="D309" t="s">
        <v>8</v>
      </c>
      <c r="E309" t="s">
        <v>9</v>
      </c>
      <c r="F309" t="s">
        <v>17</v>
      </c>
      <c r="G309" t="s">
        <v>18</v>
      </c>
      <c r="H309">
        <v>0.1</v>
      </c>
    </row>
    <row r="310" spans="1:8" x14ac:dyDescent="0.3">
      <c r="A310">
        <v>309</v>
      </c>
      <c r="B310">
        <v>40557</v>
      </c>
      <c r="C310">
        <v>0.33333333333333331</v>
      </c>
      <c r="D310" t="s">
        <v>8</v>
      </c>
      <c r="E310" t="s">
        <v>9</v>
      </c>
      <c r="F310" t="s">
        <v>17</v>
      </c>
      <c r="G310" t="s">
        <v>18</v>
      </c>
      <c r="H310">
        <v>0.12</v>
      </c>
    </row>
    <row r="311" spans="1:8" x14ac:dyDescent="0.3">
      <c r="A311">
        <v>310</v>
      </c>
      <c r="B311">
        <v>40557</v>
      </c>
      <c r="C311">
        <v>0.375</v>
      </c>
      <c r="D311" t="s">
        <v>8</v>
      </c>
      <c r="E311" t="s">
        <v>9</v>
      </c>
      <c r="F311" t="s">
        <v>17</v>
      </c>
      <c r="G311" t="s">
        <v>18</v>
      </c>
      <c r="H311">
        <v>0.14000000000000001</v>
      </c>
    </row>
    <row r="312" spans="1:8" x14ac:dyDescent="0.3">
      <c r="A312">
        <v>311</v>
      </c>
      <c r="B312">
        <v>40557</v>
      </c>
      <c r="C312">
        <v>0.41666666666666669</v>
      </c>
      <c r="D312" t="s">
        <v>8</v>
      </c>
      <c r="E312" t="s">
        <v>9</v>
      </c>
      <c r="F312" t="s">
        <v>17</v>
      </c>
      <c r="G312" t="s">
        <v>18</v>
      </c>
      <c r="H312">
        <v>0.18</v>
      </c>
    </row>
    <row r="313" spans="1:8" x14ac:dyDescent="0.3">
      <c r="A313">
        <v>312</v>
      </c>
      <c r="B313">
        <v>40557</v>
      </c>
      <c r="C313">
        <v>0.45833333333333331</v>
      </c>
      <c r="D313" t="s">
        <v>8</v>
      </c>
      <c r="E313" t="s">
        <v>9</v>
      </c>
      <c r="F313" t="s">
        <v>17</v>
      </c>
      <c r="G313" t="s">
        <v>18</v>
      </c>
      <c r="H313">
        <v>0.18</v>
      </c>
    </row>
    <row r="314" spans="1:8" x14ac:dyDescent="0.3">
      <c r="A314">
        <v>313</v>
      </c>
      <c r="B314">
        <v>40557</v>
      </c>
      <c r="C314">
        <v>0.5</v>
      </c>
      <c r="D314" t="s">
        <v>8</v>
      </c>
      <c r="E314" t="s">
        <v>9</v>
      </c>
      <c r="F314" t="s">
        <v>17</v>
      </c>
      <c r="G314" t="s">
        <v>18</v>
      </c>
      <c r="H314">
        <v>0.2</v>
      </c>
    </row>
    <row r="315" spans="1:8" x14ac:dyDescent="0.3">
      <c r="A315">
        <v>314</v>
      </c>
      <c r="B315">
        <v>40557</v>
      </c>
      <c r="C315">
        <v>0.54166666666666663</v>
      </c>
      <c r="D315" t="s">
        <v>8</v>
      </c>
      <c r="E315" t="s">
        <v>9</v>
      </c>
      <c r="F315" t="s">
        <v>17</v>
      </c>
      <c r="G315" t="s">
        <v>18</v>
      </c>
      <c r="H315">
        <v>0.22</v>
      </c>
    </row>
    <row r="316" spans="1:8" x14ac:dyDescent="0.3">
      <c r="A316">
        <v>315</v>
      </c>
      <c r="B316">
        <v>40557</v>
      </c>
      <c r="C316">
        <v>0.58333333333333337</v>
      </c>
      <c r="D316" t="s">
        <v>8</v>
      </c>
      <c r="E316" t="s">
        <v>9</v>
      </c>
      <c r="F316" t="s">
        <v>17</v>
      </c>
      <c r="G316" t="s">
        <v>18</v>
      </c>
      <c r="H316">
        <v>0.22</v>
      </c>
    </row>
    <row r="317" spans="1:8" x14ac:dyDescent="0.3">
      <c r="A317">
        <v>316</v>
      </c>
      <c r="B317">
        <v>40557</v>
      </c>
      <c r="C317">
        <v>0.625</v>
      </c>
      <c r="D317" t="s">
        <v>8</v>
      </c>
      <c r="E317" t="s">
        <v>9</v>
      </c>
      <c r="F317" t="s">
        <v>17</v>
      </c>
      <c r="G317" t="s">
        <v>18</v>
      </c>
      <c r="H317">
        <v>0.24</v>
      </c>
    </row>
    <row r="318" spans="1:8" x14ac:dyDescent="0.3">
      <c r="A318">
        <v>317</v>
      </c>
      <c r="B318">
        <v>40557</v>
      </c>
      <c r="C318">
        <v>0.66666666666666663</v>
      </c>
      <c r="D318" t="s">
        <v>8</v>
      </c>
      <c r="E318" t="s">
        <v>9</v>
      </c>
      <c r="F318" t="s">
        <v>17</v>
      </c>
      <c r="G318" t="s">
        <v>18</v>
      </c>
      <c r="H318">
        <v>0.22</v>
      </c>
    </row>
    <row r="319" spans="1:8" x14ac:dyDescent="0.3">
      <c r="A319">
        <v>318</v>
      </c>
      <c r="B319">
        <v>40557</v>
      </c>
      <c r="C319">
        <v>0.70833333333333337</v>
      </c>
      <c r="D319" t="s">
        <v>8</v>
      </c>
      <c r="E319" t="s">
        <v>9</v>
      </c>
      <c r="F319" t="s">
        <v>17</v>
      </c>
      <c r="G319" t="s">
        <v>18</v>
      </c>
      <c r="H319">
        <v>0.22</v>
      </c>
    </row>
    <row r="320" spans="1:8" x14ac:dyDescent="0.3">
      <c r="A320">
        <v>319</v>
      </c>
      <c r="B320">
        <v>40557</v>
      </c>
      <c r="C320">
        <v>0.75</v>
      </c>
      <c r="D320" t="s">
        <v>8</v>
      </c>
      <c r="E320" t="s">
        <v>9</v>
      </c>
      <c r="F320" t="s">
        <v>17</v>
      </c>
      <c r="G320" t="s">
        <v>18</v>
      </c>
      <c r="H320">
        <v>0.2</v>
      </c>
    </row>
    <row r="321" spans="1:8" x14ac:dyDescent="0.3">
      <c r="A321">
        <v>320</v>
      </c>
      <c r="B321">
        <v>40557</v>
      </c>
      <c r="C321">
        <v>0.79166666666666663</v>
      </c>
      <c r="D321" t="s">
        <v>8</v>
      </c>
      <c r="E321" t="s">
        <v>9</v>
      </c>
      <c r="F321" t="s">
        <v>17</v>
      </c>
      <c r="G321" t="s">
        <v>18</v>
      </c>
      <c r="H321">
        <v>0.16</v>
      </c>
    </row>
    <row r="322" spans="1:8" x14ac:dyDescent="0.3">
      <c r="A322">
        <v>321</v>
      </c>
      <c r="B322">
        <v>40557</v>
      </c>
      <c r="C322">
        <v>0.83333333333333337</v>
      </c>
      <c r="D322" t="s">
        <v>8</v>
      </c>
      <c r="E322" t="s">
        <v>9</v>
      </c>
      <c r="F322" t="s">
        <v>17</v>
      </c>
      <c r="G322" t="s">
        <v>18</v>
      </c>
      <c r="H322">
        <v>0.18</v>
      </c>
    </row>
    <row r="323" spans="1:8" x14ac:dyDescent="0.3">
      <c r="A323">
        <v>322</v>
      </c>
      <c r="B323">
        <v>40557</v>
      </c>
      <c r="C323">
        <v>0.875</v>
      </c>
      <c r="D323" t="s">
        <v>8</v>
      </c>
      <c r="E323" t="s">
        <v>9</v>
      </c>
      <c r="F323" t="s">
        <v>17</v>
      </c>
      <c r="G323" t="s">
        <v>18</v>
      </c>
      <c r="H323">
        <v>0.16</v>
      </c>
    </row>
    <row r="324" spans="1:8" x14ac:dyDescent="0.3">
      <c r="A324">
        <v>323</v>
      </c>
      <c r="B324">
        <v>40557</v>
      </c>
      <c r="C324">
        <v>0.91666666666666663</v>
      </c>
      <c r="D324" t="s">
        <v>8</v>
      </c>
      <c r="E324" t="s">
        <v>9</v>
      </c>
      <c r="F324" t="s">
        <v>17</v>
      </c>
      <c r="G324" t="s">
        <v>19</v>
      </c>
      <c r="H324">
        <v>0.16</v>
      </c>
    </row>
    <row r="325" spans="1:8" x14ac:dyDescent="0.3">
      <c r="A325">
        <v>324</v>
      </c>
      <c r="B325">
        <v>40557</v>
      </c>
      <c r="C325">
        <v>0.95833333333333337</v>
      </c>
      <c r="D325" t="s">
        <v>8</v>
      </c>
      <c r="E325" t="s">
        <v>9</v>
      </c>
      <c r="F325" t="s">
        <v>17</v>
      </c>
      <c r="G325" t="s">
        <v>19</v>
      </c>
      <c r="H325">
        <v>0.18</v>
      </c>
    </row>
    <row r="326" spans="1:8" x14ac:dyDescent="0.3">
      <c r="A326">
        <v>325</v>
      </c>
      <c r="B326">
        <v>40558</v>
      </c>
      <c r="C326">
        <v>0</v>
      </c>
      <c r="D326" t="s">
        <v>8</v>
      </c>
      <c r="E326" t="s">
        <v>9</v>
      </c>
      <c r="F326" t="s">
        <v>11</v>
      </c>
      <c r="G326" t="s">
        <v>18</v>
      </c>
      <c r="H326">
        <v>0.18</v>
      </c>
    </row>
    <row r="327" spans="1:8" x14ac:dyDescent="0.3">
      <c r="A327">
        <v>326</v>
      </c>
      <c r="B327">
        <v>40558</v>
      </c>
      <c r="C327">
        <v>4.1666666666666664E-2</v>
      </c>
      <c r="D327" t="s">
        <v>8</v>
      </c>
      <c r="E327" t="s">
        <v>9</v>
      </c>
      <c r="F327" t="s">
        <v>11</v>
      </c>
      <c r="G327" t="s">
        <v>19</v>
      </c>
      <c r="H327">
        <v>0.16</v>
      </c>
    </row>
    <row r="328" spans="1:8" x14ac:dyDescent="0.3">
      <c r="A328">
        <v>327</v>
      </c>
      <c r="B328">
        <v>40558</v>
      </c>
      <c r="C328">
        <v>8.3333333333333329E-2</v>
      </c>
      <c r="D328" t="s">
        <v>8</v>
      </c>
      <c r="E328" t="s">
        <v>9</v>
      </c>
      <c r="F328" t="s">
        <v>11</v>
      </c>
      <c r="G328" t="s">
        <v>19</v>
      </c>
      <c r="H328">
        <v>0.16</v>
      </c>
    </row>
    <row r="329" spans="1:8" x14ac:dyDescent="0.3">
      <c r="A329">
        <v>328</v>
      </c>
      <c r="B329">
        <v>40558</v>
      </c>
      <c r="C329">
        <v>0.125</v>
      </c>
      <c r="D329" t="s">
        <v>8</v>
      </c>
      <c r="E329" t="s">
        <v>9</v>
      </c>
      <c r="F329" t="s">
        <v>11</v>
      </c>
      <c r="G329" t="s">
        <v>19</v>
      </c>
      <c r="H329">
        <v>0.16</v>
      </c>
    </row>
    <row r="330" spans="1:8" x14ac:dyDescent="0.3">
      <c r="A330">
        <v>329</v>
      </c>
      <c r="B330">
        <v>40558</v>
      </c>
      <c r="C330">
        <v>0.16666666666666666</v>
      </c>
      <c r="D330" t="s">
        <v>8</v>
      </c>
      <c r="E330" t="s">
        <v>9</v>
      </c>
      <c r="F330" t="s">
        <v>11</v>
      </c>
      <c r="G330" t="s">
        <v>19</v>
      </c>
      <c r="H330">
        <v>0.16</v>
      </c>
    </row>
    <row r="331" spans="1:8" x14ac:dyDescent="0.3">
      <c r="A331">
        <v>330</v>
      </c>
      <c r="B331">
        <v>40558</v>
      </c>
      <c r="C331">
        <v>0.20833333333333334</v>
      </c>
      <c r="D331" t="s">
        <v>8</v>
      </c>
      <c r="E331" t="s">
        <v>9</v>
      </c>
      <c r="F331" t="s">
        <v>11</v>
      </c>
      <c r="G331" t="s">
        <v>18</v>
      </c>
      <c r="H331">
        <v>0.16</v>
      </c>
    </row>
    <row r="332" spans="1:8" x14ac:dyDescent="0.3">
      <c r="A332">
        <v>331</v>
      </c>
      <c r="B332">
        <v>40558</v>
      </c>
      <c r="C332">
        <v>0.25</v>
      </c>
      <c r="D332" t="s">
        <v>8</v>
      </c>
      <c r="E332" t="s">
        <v>9</v>
      </c>
      <c r="F332" t="s">
        <v>11</v>
      </c>
      <c r="G332" t="s">
        <v>18</v>
      </c>
      <c r="H332">
        <v>0.14000000000000001</v>
      </c>
    </row>
    <row r="333" spans="1:8" x14ac:dyDescent="0.3">
      <c r="A333">
        <v>332</v>
      </c>
      <c r="B333">
        <v>40558</v>
      </c>
      <c r="C333">
        <v>0.29166666666666669</v>
      </c>
      <c r="D333" t="s">
        <v>8</v>
      </c>
      <c r="E333" t="s">
        <v>9</v>
      </c>
      <c r="F333" t="s">
        <v>11</v>
      </c>
      <c r="G333" t="s">
        <v>18</v>
      </c>
      <c r="H333">
        <v>0.14000000000000001</v>
      </c>
    </row>
    <row r="334" spans="1:8" x14ac:dyDescent="0.3">
      <c r="A334">
        <v>333</v>
      </c>
      <c r="B334">
        <v>40558</v>
      </c>
      <c r="C334">
        <v>0.33333333333333331</v>
      </c>
      <c r="D334" t="s">
        <v>8</v>
      </c>
      <c r="E334" t="s">
        <v>9</v>
      </c>
      <c r="F334" t="s">
        <v>11</v>
      </c>
      <c r="G334" t="s">
        <v>18</v>
      </c>
      <c r="H334">
        <v>0.14000000000000001</v>
      </c>
    </row>
    <row r="335" spans="1:8" x14ac:dyDescent="0.3">
      <c r="A335">
        <v>334</v>
      </c>
      <c r="B335">
        <v>40558</v>
      </c>
      <c r="C335">
        <v>0.375</v>
      </c>
      <c r="D335" t="s">
        <v>8</v>
      </c>
      <c r="E335" t="s">
        <v>9</v>
      </c>
      <c r="F335" t="s">
        <v>11</v>
      </c>
      <c r="G335" t="s">
        <v>18</v>
      </c>
      <c r="H335">
        <v>0.16</v>
      </c>
    </row>
    <row r="336" spans="1:8" x14ac:dyDescent="0.3">
      <c r="A336">
        <v>335</v>
      </c>
      <c r="B336">
        <v>40558</v>
      </c>
      <c r="C336">
        <v>0.41666666666666669</v>
      </c>
      <c r="D336" t="s">
        <v>8</v>
      </c>
      <c r="E336" t="s">
        <v>9</v>
      </c>
      <c r="F336" t="s">
        <v>11</v>
      </c>
      <c r="G336" t="s">
        <v>18</v>
      </c>
      <c r="H336">
        <v>0.18</v>
      </c>
    </row>
    <row r="337" spans="1:8" x14ac:dyDescent="0.3">
      <c r="A337">
        <v>336</v>
      </c>
      <c r="B337">
        <v>40558</v>
      </c>
      <c r="C337">
        <v>0.45833333333333331</v>
      </c>
      <c r="D337" t="s">
        <v>8</v>
      </c>
      <c r="E337" t="s">
        <v>9</v>
      </c>
      <c r="F337" t="s">
        <v>11</v>
      </c>
      <c r="G337" t="s">
        <v>18</v>
      </c>
      <c r="H337">
        <v>0.2</v>
      </c>
    </row>
    <row r="338" spans="1:8" x14ac:dyDescent="0.3">
      <c r="A338">
        <v>337</v>
      </c>
      <c r="B338">
        <v>40558</v>
      </c>
      <c r="C338">
        <v>0.5</v>
      </c>
      <c r="D338" t="s">
        <v>8</v>
      </c>
      <c r="E338" t="s">
        <v>9</v>
      </c>
      <c r="F338" t="s">
        <v>11</v>
      </c>
      <c r="G338" t="s">
        <v>18</v>
      </c>
      <c r="H338">
        <v>0.24</v>
      </c>
    </row>
    <row r="339" spans="1:8" x14ac:dyDescent="0.3">
      <c r="A339">
        <v>338</v>
      </c>
      <c r="B339">
        <v>40558</v>
      </c>
      <c r="C339">
        <v>0.54166666666666663</v>
      </c>
      <c r="D339" t="s">
        <v>8</v>
      </c>
      <c r="E339" t="s">
        <v>9</v>
      </c>
      <c r="F339" t="s">
        <v>11</v>
      </c>
      <c r="G339" t="s">
        <v>18</v>
      </c>
      <c r="H339">
        <v>0.28000000000000003</v>
      </c>
    </row>
    <row r="340" spans="1:8" x14ac:dyDescent="0.3">
      <c r="A340">
        <v>339</v>
      </c>
      <c r="B340">
        <v>40558</v>
      </c>
      <c r="C340">
        <v>0.58333333333333337</v>
      </c>
      <c r="D340" t="s">
        <v>8</v>
      </c>
      <c r="E340" t="s">
        <v>9</v>
      </c>
      <c r="F340" t="s">
        <v>11</v>
      </c>
      <c r="G340" t="s">
        <v>18</v>
      </c>
      <c r="H340">
        <v>0.3</v>
      </c>
    </row>
    <row r="341" spans="1:8" x14ac:dyDescent="0.3">
      <c r="A341">
        <v>340</v>
      </c>
      <c r="B341">
        <v>40558</v>
      </c>
      <c r="C341">
        <v>0.625</v>
      </c>
      <c r="D341" t="s">
        <v>8</v>
      </c>
      <c r="E341" t="s">
        <v>9</v>
      </c>
      <c r="F341" t="s">
        <v>11</v>
      </c>
      <c r="G341" t="s">
        <v>19</v>
      </c>
      <c r="H341">
        <v>0.32</v>
      </c>
    </row>
    <row r="342" spans="1:8" x14ac:dyDescent="0.3">
      <c r="A342">
        <v>341</v>
      </c>
      <c r="B342">
        <v>40558</v>
      </c>
      <c r="C342">
        <v>0.66666666666666663</v>
      </c>
      <c r="D342" t="s">
        <v>8</v>
      </c>
      <c r="E342" t="s">
        <v>9</v>
      </c>
      <c r="F342" t="s">
        <v>11</v>
      </c>
      <c r="G342" t="s">
        <v>19</v>
      </c>
      <c r="H342">
        <v>0.34</v>
      </c>
    </row>
    <row r="343" spans="1:8" x14ac:dyDescent="0.3">
      <c r="A343">
        <v>342</v>
      </c>
      <c r="B343">
        <v>40558</v>
      </c>
      <c r="C343">
        <v>0.70833333333333337</v>
      </c>
      <c r="D343" t="s">
        <v>8</v>
      </c>
      <c r="E343" t="s">
        <v>9</v>
      </c>
      <c r="F343" t="s">
        <v>11</v>
      </c>
      <c r="G343" t="s">
        <v>19</v>
      </c>
      <c r="H343">
        <v>0.32</v>
      </c>
    </row>
    <row r="344" spans="1:8" x14ac:dyDescent="0.3">
      <c r="A344">
        <v>343</v>
      </c>
      <c r="B344">
        <v>40558</v>
      </c>
      <c r="C344">
        <v>0.75</v>
      </c>
      <c r="D344" t="s">
        <v>8</v>
      </c>
      <c r="E344" t="s">
        <v>9</v>
      </c>
      <c r="F344" t="s">
        <v>11</v>
      </c>
      <c r="G344" t="s">
        <v>19</v>
      </c>
      <c r="H344">
        <v>0.3</v>
      </c>
    </row>
    <row r="345" spans="1:8" x14ac:dyDescent="0.3">
      <c r="A345">
        <v>344</v>
      </c>
      <c r="B345">
        <v>40558</v>
      </c>
      <c r="C345">
        <v>0.79166666666666663</v>
      </c>
      <c r="D345" t="s">
        <v>8</v>
      </c>
      <c r="E345" t="s">
        <v>9</v>
      </c>
      <c r="F345" t="s">
        <v>11</v>
      </c>
      <c r="G345" t="s">
        <v>19</v>
      </c>
      <c r="H345">
        <v>0.32</v>
      </c>
    </row>
    <row r="346" spans="1:8" x14ac:dyDescent="0.3">
      <c r="A346">
        <v>345</v>
      </c>
      <c r="B346">
        <v>40558</v>
      </c>
      <c r="C346">
        <v>0.83333333333333337</v>
      </c>
      <c r="D346" t="s">
        <v>8</v>
      </c>
      <c r="E346" t="s">
        <v>9</v>
      </c>
      <c r="F346" t="s">
        <v>11</v>
      </c>
      <c r="G346" t="s">
        <v>19</v>
      </c>
      <c r="H346">
        <v>0.32</v>
      </c>
    </row>
    <row r="347" spans="1:8" x14ac:dyDescent="0.3">
      <c r="A347">
        <v>346</v>
      </c>
      <c r="B347">
        <v>40558</v>
      </c>
      <c r="C347">
        <v>0.875</v>
      </c>
      <c r="D347" t="s">
        <v>8</v>
      </c>
      <c r="E347" t="s">
        <v>9</v>
      </c>
      <c r="F347" t="s">
        <v>11</v>
      </c>
      <c r="G347" t="s">
        <v>19</v>
      </c>
      <c r="H347">
        <v>0.32</v>
      </c>
    </row>
    <row r="348" spans="1:8" x14ac:dyDescent="0.3">
      <c r="A348">
        <v>347</v>
      </c>
      <c r="B348">
        <v>40558</v>
      </c>
      <c r="C348">
        <v>0.91666666666666663</v>
      </c>
      <c r="D348" t="s">
        <v>8</v>
      </c>
      <c r="E348" t="s">
        <v>9</v>
      </c>
      <c r="F348" t="s">
        <v>11</v>
      </c>
      <c r="G348" t="s">
        <v>19</v>
      </c>
      <c r="H348">
        <v>0.3</v>
      </c>
    </row>
    <row r="349" spans="1:8" x14ac:dyDescent="0.3">
      <c r="A349">
        <v>348</v>
      </c>
      <c r="B349">
        <v>40558</v>
      </c>
      <c r="C349">
        <v>0.95833333333333337</v>
      </c>
      <c r="D349" t="s">
        <v>8</v>
      </c>
      <c r="E349" t="s">
        <v>9</v>
      </c>
      <c r="F349" t="s">
        <v>11</v>
      </c>
      <c r="G349" t="s">
        <v>18</v>
      </c>
      <c r="H349">
        <v>0.3</v>
      </c>
    </row>
    <row r="350" spans="1:8" x14ac:dyDescent="0.3">
      <c r="A350">
        <v>349</v>
      </c>
      <c r="B350">
        <v>40559</v>
      </c>
      <c r="C350">
        <v>0</v>
      </c>
      <c r="D350" t="s">
        <v>8</v>
      </c>
      <c r="E350" t="s">
        <v>9</v>
      </c>
      <c r="F350" t="s">
        <v>12</v>
      </c>
      <c r="G350" t="s">
        <v>18</v>
      </c>
      <c r="H350">
        <v>0.26</v>
      </c>
    </row>
    <row r="351" spans="1:8" x14ac:dyDescent="0.3">
      <c r="A351">
        <v>350</v>
      </c>
      <c r="B351">
        <v>40559</v>
      </c>
      <c r="C351">
        <v>4.1666666666666664E-2</v>
      </c>
      <c r="D351" t="s">
        <v>8</v>
      </c>
      <c r="E351" t="s">
        <v>9</v>
      </c>
      <c r="F351" t="s">
        <v>12</v>
      </c>
      <c r="G351" t="s">
        <v>18</v>
      </c>
      <c r="H351">
        <v>0.26</v>
      </c>
    </row>
    <row r="352" spans="1:8" x14ac:dyDescent="0.3">
      <c r="A352">
        <v>351</v>
      </c>
      <c r="B352">
        <v>40559</v>
      </c>
      <c r="C352">
        <v>8.3333333333333329E-2</v>
      </c>
      <c r="D352" t="s">
        <v>8</v>
      </c>
      <c r="E352" t="s">
        <v>9</v>
      </c>
      <c r="F352" t="s">
        <v>12</v>
      </c>
      <c r="G352" t="s">
        <v>18</v>
      </c>
      <c r="H352">
        <v>0.26</v>
      </c>
    </row>
    <row r="353" spans="1:8" x14ac:dyDescent="0.3">
      <c r="A353">
        <v>352</v>
      </c>
      <c r="B353">
        <v>40559</v>
      </c>
      <c r="C353">
        <v>0.125</v>
      </c>
      <c r="D353" t="s">
        <v>8</v>
      </c>
      <c r="E353" t="s">
        <v>9</v>
      </c>
      <c r="F353" t="s">
        <v>12</v>
      </c>
      <c r="G353" t="s">
        <v>18</v>
      </c>
      <c r="H353">
        <v>0.22</v>
      </c>
    </row>
    <row r="354" spans="1:8" x14ac:dyDescent="0.3">
      <c r="A354">
        <v>353</v>
      </c>
      <c r="B354">
        <v>40559</v>
      </c>
      <c r="C354">
        <v>0.16666666666666666</v>
      </c>
      <c r="D354" t="s">
        <v>8</v>
      </c>
      <c r="E354" t="s">
        <v>9</v>
      </c>
      <c r="F354" t="s">
        <v>12</v>
      </c>
      <c r="G354" t="s">
        <v>18</v>
      </c>
      <c r="H354">
        <v>0.26</v>
      </c>
    </row>
    <row r="355" spans="1:8" x14ac:dyDescent="0.3">
      <c r="A355">
        <v>354</v>
      </c>
      <c r="B355">
        <v>40559</v>
      </c>
      <c r="C355">
        <v>0.20833333333333334</v>
      </c>
      <c r="D355" t="s">
        <v>8</v>
      </c>
      <c r="E355" t="s">
        <v>9</v>
      </c>
      <c r="F355" t="s">
        <v>12</v>
      </c>
      <c r="G355" t="s">
        <v>19</v>
      </c>
      <c r="H355">
        <v>0.26</v>
      </c>
    </row>
    <row r="356" spans="1:8" x14ac:dyDescent="0.3">
      <c r="A356">
        <v>355</v>
      </c>
      <c r="B356">
        <v>40559</v>
      </c>
      <c r="C356">
        <v>0.25</v>
      </c>
      <c r="D356" t="s">
        <v>8</v>
      </c>
      <c r="E356" t="s">
        <v>9</v>
      </c>
      <c r="F356" t="s">
        <v>12</v>
      </c>
      <c r="G356" t="s">
        <v>19</v>
      </c>
      <c r="H356">
        <v>0.26</v>
      </c>
    </row>
    <row r="357" spans="1:8" x14ac:dyDescent="0.3">
      <c r="A357">
        <v>356</v>
      </c>
      <c r="B357">
        <v>40559</v>
      </c>
      <c r="C357">
        <v>0.29166666666666669</v>
      </c>
      <c r="D357" t="s">
        <v>8</v>
      </c>
      <c r="E357" t="s">
        <v>9</v>
      </c>
      <c r="F357" t="s">
        <v>12</v>
      </c>
      <c r="G357" t="s">
        <v>19</v>
      </c>
      <c r="H357">
        <v>0.24</v>
      </c>
    </row>
    <row r="358" spans="1:8" x14ac:dyDescent="0.3">
      <c r="A358">
        <v>357</v>
      </c>
      <c r="B358">
        <v>40559</v>
      </c>
      <c r="C358">
        <v>0.33333333333333331</v>
      </c>
      <c r="D358" t="s">
        <v>8</v>
      </c>
      <c r="E358" t="s">
        <v>9</v>
      </c>
      <c r="F358" t="s">
        <v>12</v>
      </c>
      <c r="G358" t="s">
        <v>18</v>
      </c>
      <c r="H358">
        <v>0.22</v>
      </c>
    </row>
    <row r="359" spans="1:8" x14ac:dyDescent="0.3">
      <c r="A359">
        <v>358</v>
      </c>
      <c r="B359">
        <v>40559</v>
      </c>
      <c r="C359">
        <v>0.375</v>
      </c>
      <c r="D359" t="s">
        <v>8</v>
      </c>
      <c r="E359" t="s">
        <v>9</v>
      </c>
      <c r="F359" t="s">
        <v>12</v>
      </c>
      <c r="G359" t="s">
        <v>18</v>
      </c>
      <c r="H359">
        <v>0.22</v>
      </c>
    </row>
    <row r="360" spans="1:8" x14ac:dyDescent="0.3">
      <c r="A360">
        <v>359</v>
      </c>
      <c r="B360">
        <v>40559</v>
      </c>
      <c r="C360">
        <v>0.41666666666666669</v>
      </c>
      <c r="D360" t="s">
        <v>8</v>
      </c>
      <c r="E360" t="s">
        <v>9</v>
      </c>
      <c r="F360" t="s">
        <v>12</v>
      </c>
      <c r="G360" t="s">
        <v>18</v>
      </c>
      <c r="H360">
        <v>0.22</v>
      </c>
    </row>
    <row r="361" spans="1:8" x14ac:dyDescent="0.3">
      <c r="A361">
        <v>360</v>
      </c>
      <c r="B361">
        <v>40559</v>
      </c>
      <c r="C361">
        <v>0.45833333333333331</v>
      </c>
      <c r="D361" t="s">
        <v>8</v>
      </c>
      <c r="E361" t="s">
        <v>9</v>
      </c>
      <c r="F361" t="s">
        <v>12</v>
      </c>
      <c r="G361" t="s">
        <v>18</v>
      </c>
      <c r="H361">
        <v>0.24</v>
      </c>
    </row>
    <row r="362" spans="1:8" x14ac:dyDescent="0.3">
      <c r="A362">
        <v>361</v>
      </c>
      <c r="B362">
        <v>40559</v>
      </c>
      <c r="C362">
        <v>0.5</v>
      </c>
      <c r="D362" t="s">
        <v>8</v>
      </c>
      <c r="E362" t="s">
        <v>9</v>
      </c>
      <c r="F362" t="s">
        <v>12</v>
      </c>
      <c r="G362" t="s">
        <v>18</v>
      </c>
      <c r="H362">
        <v>0.24</v>
      </c>
    </row>
    <row r="363" spans="1:8" x14ac:dyDescent="0.3">
      <c r="A363">
        <v>362</v>
      </c>
      <c r="B363">
        <v>40559</v>
      </c>
      <c r="C363">
        <v>0.54166666666666663</v>
      </c>
      <c r="D363" t="s">
        <v>8</v>
      </c>
      <c r="E363" t="s">
        <v>9</v>
      </c>
      <c r="F363" t="s">
        <v>12</v>
      </c>
      <c r="G363" t="s">
        <v>18</v>
      </c>
      <c r="H363">
        <v>0.26</v>
      </c>
    </row>
    <row r="364" spans="1:8" x14ac:dyDescent="0.3">
      <c r="A364">
        <v>363</v>
      </c>
      <c r="B364">
        <v>40559</v>
      </c>
      <c r="C364">
        <v>0.58333333333333337</v>
      </c>
      <c r="D364" t="s">
        <v>8</v>
      </c>
      <c r="E364" t="s">
        <v>9</v>
      </c>
      <c r="F364" t="s">
        <v>12</v>
      </c>
      <c r="G364" t="s">
        <v>18</v>
      </c>
      <c r="H364">
        <v>0.28000000000000003</v>
      </c>
    </row>
    <row r="365" spans="1:8" x14ac:dyDescent="0.3">
      <c r="A365">
        <v>364</v>
      </c>
      <c r="B365">
        <v>40559</v>
      </c>
      <c r="C365">
        <v>0.625</v>
      </c>
      <c r="D365" t="s">
        <v>8</v>
      </c>
      <c r="E365" t="s">
        <v>9</v>
      </c>
      <c r="F365" t="s">
        <v>12</v>
      </c>
      <c r="G365" t="s">
        <v>18</v>
      </c>
      <c r="H365">
        <v>0.26</v>
      </c>
    </row>
    <row r="366" spans="1:8" x14ac:dyDescent="0.3">
      <c r="A366">
        <v>365</v>
      </c>
      <c r="B366">
        <v>40559</v>
      </c>
      <c r="C366">
        <v>0.66666666666666663</v>
      </c>
      <c r="D366" t="s">
        <v>8</v>
      </c>
      <c r="E366" t="s">
        <v>9</v>
      </c>
      <c r="F366" t="s">
        <v>12</v>
      </c>
      <c r="G366" t="s">
        <v>18</v>
      </c>
      <c r="H366">
        <v>0.24</v>
      </c>
    </row>
    <row r="367" spans="1:8" x14ac:dyDescent="0.3">
      <c r="A367">
        <v>366</v>
      </c>
      <c r="B367">
        <v>40559</v>
      </c>
      <c r="C367">
        <v>0.70833333333333337</v>
      </c>
      <c r="D367" t="s">
        <v>8</v>
      </c>
      <c r="E367" t="s">
        <v>9</v>
      </c>
      <c r="F367" t="s">
        <v>12</v>
      </c>
      <c r="G367" t="s">
        <v>18</v>
      </c>
      <c r="H367">
        <v>0.22</v>
      </c>
    </row>
    <row r="368" spans="1:8" x14ac:dyDescent="0.3">
      <c r="A368">
        <v>367</v>
      </c>
      <c r="B368">
        <v>40559</v>
      </c>
      <c r="C368">
        <v>0.75</v>
      </c>
      <c r="D368" t="s">
        <v>8</v>
      </c>
      <c r="E368" t="s">
        <v>9</v>
      </c>
      <c r="F368" t="s">
        <v>12</v>
      </c>
      <c r="G368" t="s">
        <v>18</v>
      </c>
      <c r="H368">
        <v>0.2</v>
      </c>
    </row>
    <row r="369" spans="1:8" x14ac:dyDescent="0.3">
      <c r="A369">
        <v>368</v>
      </c>
      <c r="B369">
        <v>40559</v>
      </c>
      <c r="C369">
        <v>0.79166666666666663</v>
      </c>
      <c r="D369" t="s">
        <v>8</v>
      </c>
      <c r="E369" t="s">
        <v>9</v>
      </c>
      <c r="F369" t="s">
        <v>12</v>
      </c>
      <c r="G369" t="s">
        <v>18</v>
      </c>
      <c r="H369">
        <v>0.18</v>
      </c>
    </row>
    <row r="370" spans="1:8" x14ac:dyDescent="0.3">
      <c r="A370">
        <v>369</v>
      </c>
      <c r="B370">
        <v>40559</v>
      </c>
      <c r="C370">
        <v>0.83333333333333337</v>
      </c>
      <c r="D370" t="s">
        <v>8</v>
      </c>
      <c r="E370" t="s">
        <v>9</v>
      </c>
      <c r="F370" t="s">
        <v>12</v>
      </c>
      <c r="G370" t="s">
        <v>18</v>
      </c>
      <c r="H370">
        <v>0.18</v>
      </c>
    </row>
    <row r="371" spans="1:8" x14ac:dyDescent="0.3">
      <c r="A371">
        <v>370</v>
      </c>
      <c r="B371">
        <v>40559</v>
      </c>
      <c r="C371">
        <v>0.875</v>
      </c>
      <c r="D371" t="s">
        <v>8</v>
      </c>
      <c r="E371" t="s">
        <v>9</v>
      </c>
      <c r="F371" t="s">
        <v>12</v>
      </c>
      <c r="G371" t="s">
        <v>18</v>
      </c>
      <c r="H371">
        <v>0.18</v>
      </c>
    </row>
    <row r="372" spans="1:8" x14ac:dyDescent="0.3">
      <c r="A372">
        <v>371</v>
      </c>
      <c r="B372">
        <v>40559</v>
      </c>
      <c r="C372">
        <v>0.91666666666666663</v>
      </c>
      <c r="D372" t="s">
        <v>8</v>
      </c>
      <c r="E372" t="s">
        <v>9</v>
      </c>
      <c r="F372" t="s">
        <v>12</v>
      </c>
      <c r="G372" t="s">
        <v>19</v>
      </c>
      <c r="H372">
        <v>0.2</v>
      </c>
    </row>
    <row r="373" spans="1:8" x14ac:dyDescent="0.3">
      <c r="A373">
        <v>372</v>
      </c>
      <c r="B373">
        <v>40559</v>
      </c>
      <c r="C373">
        <v>0.95833333333333337</v>
      </c>
      <c r="D373" t="s">
        <v>8</v>
      </c>
      <c r="E373" t="s">
        <v>9</v>
      </c>
      <c r="F373" t="s">
        <v>12</v>
      </c>
      <c r="G373" t="s">
        <v>19</v>
      </c>
      <c r="H373">
        <v>0.2</v>
      </c>
    </row>
    <row r="374" spans="1:8" x14ac:dyDescent="0.3">
      <c r="A374">
        <v>373</v>
      </c>
      <c r="B374">
        <v>40560</v>
      </c>
      <c r="C374">
        <v>0</v>
      </c>
      <c r="D374" t="s">
        <v>8</v>
      </c>
      <c r="E374" t="s">
        <v>10</v>
      </c>
      <c r="F374" t="s">
        <v>13</v>
      </c>
      <c r="G374" t="s">
        <v>19</v>
      </c>
      <c r="H374">
        <v>0.2</v>
      </c>
    </row>
    <row r="375" spans="1:8" x14ac:dyDescent="0.3">
      <c r="A375">
        <v>374</v>
      </c>
      <c r="B375">
        <v>40560</v>
      </c>
      <c r="C375">
        <v>4.1666666666666664E-2</v>
      </c>
      <c r="D375" t="s">
        <v>8</v>
      </c>
      <c r="E375" t="s">
        <v>10</v>
      </c>
      <c r="F375" t="s">
        <v>13</v>
      </c>
      <c r="G375" t="s">
        <v>19</v>
      </c>
      <c r="H375">
        <v>0.2</v>
      </c>
    </row>
    <row r="376" spans="1:8" x14ac:dyDescent="0.3">
      <c r="A376">
        <v>375</v>
      </c>
      <c r="B376">
        <v>40560</v>
      </c>
      <c r="C376">
        <v>8.3333333333333329E-2</v>
      </c>
      <c r="D376" t="s">
        <v>8</v>
      </c>
      <c r="E376" t="s">
        <v>10</v>
      </c>
      <c r="F376" t="s">
        <v>13</v>
      </c>
      <c r="G376" t="s">
        <v>19</v>
      </c>
      <c r="H376">
        <v>0.18</v>
      </c>
    </row>
    <row r="377" spans="1:8" x14ac:dyDescent="0.3">
      <c r="A377">
        <v>376</v>
      </c>
      <c r="B377">
        <v>40560</v>
      </c>
      <c r="C377">
        <v>0.125</v>
      </c>
      <c r="D377" t="s">
        <v>8</v>
      </c>
      <c r="E377" t="s">
        <v>10</v>
      </c>
      <c r="F377" t="s">
        <v>13</v>
      </c>
      <c r="G377" t="s">
        <v>19</v>
      </c>
      <c r="H377">
        <v>0.18</v>
      </c>
    </row>
    <row r="378" spans="1:8" x14ac:dyDescent="0.3">
      <c r="A378">
        <v>377</v>
      </c>
      <c r="B378">
        <v>40560</v>
      </c>
      <c r="C378">
        <v>0.16666666666666666</v>
      </c>
      <c r="D378" t="s">
        <v>8</v>
      </c>
      <c r="E378" t="s">
        <v>10</v>
      </c>
      <c r="F378" t="s">
        <v>13</v>
      </c>
      <c r="G378" t="s">
        <v>19</v>
      </c>
      <c r="H378">
        <v>0.18</v>
      </c>
    </row>
    <row r="379" spans="1:8" x14ac:dyDescent="0.3">
      <c r="A379">
        <v>378</v>
      </c>
      <c r="B379">
        <v>40560</v>
      </c>
      <c r="C379">
        <v>0.20833333333333334</v>
      </c>
      <c r="D379" t="s">
        <v>8</v>
      </c>
      <c r="E379" t="s">
        <v>10</v>
      </c>
      <c r="F379" t="s">
        <v>13</v>
      </c>
      <c r="G379" t="s">
        <v>19</v>
      </c>
      <c r="H379">
        <v>0.18</v>
      </c>
    </row>
    <row r="380" spans="1:8" x14ac:dyDescent="0.3">
      <c r="A380">
        <v>379</v>
      </c>
      <c r="B380">
        <v>40560</v>
      </c>
      <c r="C380">
        <v>0.25</v>
      </c>
      <c r="D380" t="s">
        <v>8</v>
      </c>
      <c r="E380" t="s">
        <v>10</v>
      </c>
      <c r="F380" t="s">
        <v>13</v>
      </c>
      <c r="G380" t="s">
        <v>19</v>
      </c>
      <c r="H380">
        <v>0.18</v>
      </c>
    </row>
    <row r="381" spans="1:8" x14ac:dyDescent="0.3">
      <c r="A381">
        <v>380</v>
      </c>
      <c r="B381">
        <v>40560</v>
      </c>
      <c r="C381">
        <v>0.29166666666666669</v>
      </c>
      <c r="D381" t="s">
        <v>8</v>
      </c>
      <c r="E381" t="s">
        <v>10</v>
      </c>
      <c r="F381" t="s">
        <v>13</v>
      </c>
      <c r="G381" t="s">
        <v>19</v>
      </c>
      <c r="H381">
        <v>0.16</v>
      </c>
    </row>
    <row r="382" spans="1:8" x14ac:dyDescent="0.3">
      <c r="A382">
        <v>381</v>
      </c>
      <c r="B382">
        <v>40560</v>
      </c>
      <c r="C382">
        <v>0.33333333333333331</v>
      </c>
      <c r="D382" t="s">
        <v>8</v>
      </c>
      <c r="E382" t="s">
        <v>10</v>
      </c>
      <c r="F382" t="s">
        <v>13</v>
      </c>
      <c r="G382" t="s">
        <v>19</v>
      </c>
      <c r="H382">
        <v>0.16</v>
      </c>
    </row>
    <row r="383" spans="1:8" x14ac:dyDescent="0.3">
      <c r="A383">
        <v>382</v>
      </c>
      <c r="B383">
        <v>40560</v>
      </c>
      <c r="C383">
        <v>0.375</v>
      </c>
      <c r="D383" t="s">
        <v>8</v>
      </c>
      <c r="E383" t="s">
        <v>10</v>
      </c>
      <c r="F383" t="s">
        <v>13</v>
      </c>
      <c r="G383" t="s">
        <v>19</v>
      </c>
      <c r="H383">
        <v>0.16</v>
      </c>
    </row>
    <row r="384" spans="1:8" x14ac:dyDescent="0.3">
      <c r="A384">
        <v>383</v>
      </c>
      <c r="B384">
        <v>40560</v>
      </c>
      <c r="C384">
        <v>0.41666666666666669</v>
      </c>
      <c r="D384" t="s">
        <v>8</v>
      </c>
      <c r="E384" t="s">
        <v>10</v>
      </c>
      <c r="F384" t="s">
        <v>13</v>
      </c>
      <c r="G384" t="s">
        <v>19</v>
      </c>
      <c r="H384">
        <v>0.16</v>
      </c>
    </row>
    <row r="385" spans="1:8" x14ac:dyDescent="0.3">
      <c r="A385">
        <v>384</v>
      </c>
      <c r="B385">
        <v>40560</v>
      </c>
      <c r="C385">
        <v>0.45833333333333331</v>
      </c>
      <c r="D385" t="s">
        <v>8</v>
      </c>
      <c r="E385" t="s">
        <v>10</v>
      </c>
      <c r="F385" t="s">
        <v>13</v>
      </c>
      <c r="G385" t="s">
        <v>19</v>
      </c>
      <c r="H385">
        <v>0.16</v>
      </c>
    </row>
    <row r="386" spans="1:8" x14ac:dyDescent="0.3">
      <c r="A386">
        <v>385</v>
      </c>
      <c r="B386">
        <v>40560</v>
      </c>
      <c r="C386">
        <v>0.5</v>
      </c>
      <c r="D386" t="s">
        <v>8</v>
      </c>
      <c r="E386" t="s">
        <v>10</v>
      </c>
      <c r="F386" t="s">
        <v>13</v>
      </c>
      <c r="G386" t="s">
        <v>19</v>
      </c>
      <c r="H386">
        <v>0.18</v>
      </c>
    </row>
    <row r="387" spans="1:8" x14ac:dyDescent="0.3">
      <c r="A387">
        <v>386</v>
      </c>
      <c r="B387">
        <v>40560</v>
      </c>
      <c r="C387">
        <v>0.54166666666666663</v>
      </c>
      <c r="D387" t="s">
        <v>8</v>
      </c>
      <c r="E387" t="s">
        <v>10</v>
      </c>
      <c r="F387" t="s">
        <v>13</v>
      </c>
      <c r="G387" t="s">
        <v>19</v>
      </c>
      <c r="H387">
        <v>0.18</v>
      </c>
    </row>
    <row r="388" spans="1:8" x14ac:dyDescent="0.3">
      <c r="A388">
        <v>387</v>
      </c>
      <c r="B388">
        <v>40560</v>
      </c>
      <c r="C388">
        <v>0.58333333333333337</v>
      </c>
      <c r="D388" t="s">
        <v>8</v>
      </c>
      <c r="E388" t="s">
        <v>10</v>
      </c>
      <c r="F388" t="s">
        <v>13</v>
      </c>
      <c r="G388" t="s">
        <v>19</v>
      </c>
      <c r="H388">
        <v>0.18</v>
      </c>
    </row>
    <row r="389" spans="1:8" x14ac:dyDescent="0.3">
      <c r="A389">
        <v>388</v>
      </c>
      <c r="B389">
        <v>40560</v>
      </c>
      <c r="C389">
        <v>0.625</v>
      </c>
      <c r="D389" t="s">
        <v>8</v>
      </c>
      <c r="E389" t="s">
        <v>10</v>
      </c>
      <c r="F389" t="s">
        <v>13</v>
      </c>
      <c r="G389" t="s">
        <v>19</v>
      </c>
      <c r="H389">
        <v>0.2</v>
      </c>
    </row>
    <row r="390" spans="1:8" x14ac:dyDescent="0.3">
      <c r="A390">
        <v>389</v>
      </c>
      <c r="B390">
        <v>40560</v>
      </c>
      <c r="C390">
        <v>0.66666666666666663</v>
      </c>
      <c r="D390" t="s">
        <v>8</v>
      </c>
      <c r="E390" t="s">
        <v>10</v>
      </c>
      <c r="F390" t="s">
        <v>13</v>
      </c>
      <c r="G390" t="s">
        <v>19</v>
      </c>
      <c r="H390">
        <v>0.2</v>
      </c>
    </row>
    <row r="391" spans="1:8" x14ac:dyDescent="0.3">
      <c r="A391">
        <v>390</v>
      </c>
      <c r="B391">
        <v>40560</v>
      </c>
      <c r="C391">
        <v>0.70833333333333337</v>
      </c>
      <c r="D391" t="s">
        <v>8</v>
      </c>
      <c r="E391" t="s">
        <v>10</v>
      </c>
      <c r="F391" t="s">
        <v>13</v>
      </c>
      <c r="G391" t="s">
        <v>18</v>
      </c>
      <c r="H391">
        <v>0.2</v>
      </c>
    </row>
    <row r="392" spans="1:8" x14ac:dyDescent="0.3">
      <c r="A392">
        <v>391</v>
      </c>
      <c r="B392">
        <v>40560</v>
      </c>
      <c r="C392">
        <v>0.75</v>
      </c>
      <c r="D392" t="s">
        <v>8</v>
      </c>
      <c r="E392" t="s">
        <v>10</v>
      </c>
      <c r="F392" t="s">
        <v>13</v>
      </c>
      <c r="G392" t="s">
        <v>19</v>
      </c>
      <c r="H392">
        <v>0.18</v>
      </c>
    </row>
    <row r="393" spans="1:8" x14ac:dyDescent="0.3">
      <c r="A393">
        <v>392</v>
      </c>
      <c r="B393">
        <v>40560</v>
      </c>
      <c r="C393">
        <v>0.79166666666666663</v>
      </c>
      <c r="D393" t="s">
        <v>8</v>
      </c>
      <c r="E393" t="s">
        <v>10</v>
      </c>
      <c r="F393" t="s">
        <v>13</v>
      </c>
      <c r="G393" t="s">
        <v>20</v>
      </c>
      <c r="H393">
        <v>0.18</v>
      </c>
    </row>
    <row r="394" spans="1:8" x14ac:dyDescent="0.3">
      <c r="A394">
        <v>393</v>
      </c>
      <c r="B394">
        <v>40560</v>
      </c>
      <c r="C394">
        <v>0.83333333333333337</v>
      </c>
      <c r="D394" t="s">
        <v>8</v>
      </c>
      <c r="E394" t="s">
        <v>10</v>
      </c>
      <c r="F394" t="s">
        <v>13</v>
      </c>
      <c r="G394" t="s">
        <v>20</v>
      </c>
      <c r="H394">
        <v>0.16</v>
      </c>
    </row>
    <row r="395" spans="1:8" x14ac:dyDescent="0.3">
      <c r="A395">
        <v>394</v>
      </c>
      <c r="B395">
        <v>40560</v>
      </c>
      <c r="C395">
        <v>0.875</v>
      </c>
      <c r="D395" t="s">
        <v>8</v>
      </c>
      <c r="E395" t="s">
        <v>10</v>
      </c>
      <c r="F395" t="s">
        <v>13</v>
      </c>
      <c r="G395" t="s">
        <v>20</v>
      </c>
      <c r="H395">
        <v>0.16</v>
      </c>
    </row>
    <row r="396" spans="1:8" x14ac:dyDescent="0.3">
      <c r="A396">
        <v>395</v>
      </c>
      <c r="B396">
        <v>40560</v>
      </c>
      <c r="C396">
        <v>0.91666666666666663</v>
      </c>
      <c r="D396" t="s">
        <v>8</v>
      </c>
      <c r="E396" t="s">
        <v>10</v>
      </c>
      <c r="F396" t="s">
        <v>13</v>
      </c>
      <c r="G396" t="s">
        <v>20</v>
      </c>
      <c r="H396">
        <v>0.14000000000000001</v>
      </c>
    </row>
    <row r="397" spans="1:8" x14ac:dyDescent="0.3">
      <c r="A397">
        <v>396</v>
      </c>
      <c r="B397">
        <v>40560</v>
      </c>
      <c r="C397">
        <v>0.95833333333333337</v>
      </c>
      <c r="D397" t="s">
        <v>8</v>
      </c>
      <c r="E397" t="s">
        <v>10</v>
      </c>
      <c r="F397" t="s">
        <v>13</v>
      </c>
      <c r="G397" t="s">
        <v>20</v>
      </c>
      <c r="H397">
        <v>0.16</v>
      </c>
    </row>
    <row r="398" spans="1:8" x14ac:dyDescent="0.3">
      <c r="A398">
        <v>397</v>
      </c>
      <c r="B398">
        <v>40561</v>
      </c>
      <c r="C398">
        <v>0.5</v>
      </c>
      <c r="D398" t="s">
        <v>8</v>
      </c>
      <c r="E398" t="s">
        <v>9</v>
      </c>
      <c r="F398" t="s">
        <v>14</v>
      </c>
      <c r="G398" t="s">
        <v>19</v>
      </c>
      <c r="H398">
        <v>0.2</v>
      </c>
    </row>
    <row r="399" spans="1:8" x14ac:dyDescent="0.3">
      <c r="A399">
        <v>398</v>
      </c>
      <c r="B399">
        <v>40561</v>
      </c>
      <c r="C399">
        <v>0.54166666666666663</v>
      </c>
      <c r="D399" t="s">
        <v>8</v>
      </c>
      <c r="E399" t="s">
        <v>9</v>
      </c>
      <c r="F399" t="s">
        <v>14</v>
      </c>
      <c r="G399" t="s">
        <v>19</v>
      </c>
      <c r="H399">
        <v>0.2</v>
      </c>
    </row>
    <row r="400" spans="1:8" x14ac:dyDescent="0.3">
      <c r="A400">
        <v>399</v>
      </c>
      <c r="B400">
        <v>40561</v>
      </c>
      <c r="C400">
        <v>0.58333333333333337</v>
      </c>
      <c r="D400" t="s">
        <v>8</v>
      </c>
      <c r="E400" t="s">
        <v>9</v>
      </c>
      <c r="F400" t="s">
        <v>14</v>
      </c>
      <c r="G400" t="s">
        <v>19</v>
      </c>
      <c r="H400">
        <v>0.22</v>
      </c>
    </row>
    <row r="401" spans="1:8" x14ac:dyDescent="0.3">
      <c r="A401">
        <v>400</v>
      </c>
      <c r="B401">
        <v>40561</v>
      </c>
      <c r="C401">
        <v>0.625</v>
      </c>
      <c r="D401" t="s">
        <v>8</v>
      </c>
      <c r="E401" t="s">
        <v>9</v>
      </c>
      <c r="F401" t="s">
        <v>14</v>
      </c>
      <c r="G401" t="s">
        <v>19</v>
      </c>
      <c r="H401">
        <v>0.22</v>
      </c>
    </row>
    <row r="402" spans="1:8" x14ac:dyDescent="0.3">
      <c r="A402">
        <v>401</v>
      </c>
      <c r="B402">
        <v>40561</v>
      </c>
      <c r="C402">
        <v>0.66666666666666663</v>
      </c>
      <c r="D402" t="s">
        <v>8</v>
      </c>
      <c r="E402" t="s">
        <v>9</v>
      </c>
      <c r="F402" t="s">
        <v>14</v>
      </c>
      <c r="G402" t="s">
        <v>19</v>
      </c>
      <c r="H402">
        <v>0.22</v>
      </c>
    </row>
    <row r="403" spans="1:8" x14ac:dyDescent="0.3">
      <c r="A403">
        <v>402</v>
      </c>
      <c r="B403">
        <v>40561</v>
      </c>
      <c r="C403">
        <v>0.70833333333333337</v>
      </c>
      <c r="D403" t="s">
        <v>8</v>
      </c>
      <c r="E403" t="s">
        <v>9</v>
      </c>
      <c r="F403" t="s">
        <v>14</v>
      </c>
      <c r="G403" t="s">
        <v>19</v>
      </c>
      <c r="H403">
        <v>0.22</v>
      </c>
    </row>
    <row r="404" spans="1:8" x14ac:dyDescent="0.3">
      <c r="A404">
        <v>403</v>
      </c>
      <c r="B404">
        <v>40561</v>
      </c>
      <c r="C404">
        <v>0.75</v>
      </c>
      <c r="D404" t="s">
        <v>8</v>
      </c>
      <c r="E404" t="s">
        <v>9</v>
      </c>
      <c r="F404" t="s">
        <v>14</v>
      </c>
      <c r="G404" t="s">
        <v>19</v>
      </c>
      <c r="H404">
        <v>0.22</v>
      </c>
    </row>
    <row r="405" spans="1:8" x14ac:dyDescent="0.3">
      <c r="A405">
        <v>404</v>
      </c>
      <c r="B405">
        <v>40561</v>
      </c>
      <c r="C405">
        <v>0.79166666666666663</v>
      </c>
      <c r="D405" t="s">
        <v>8</v>
      </c>
      <c r="E405" t="s">
        <v>9</v>
      </c>
      <c r="F405" t="s">
        <v>14</v>
      </c>
      <c r="G405" t="s">
        <v>19</v>
      </c>
      <c r="H405">
        <v>0.22</v>
      </c>
    </row>
    <row r="406" spans="1:8" x14ac:dyDescent="0.3">
      <c r="A406">
        <v>405</v>
      </c>
      <c r="B406">
        <v>40561</v>
      </c>
      <c r="C406">
        <v>0.83333333333333337</v>
      </c>
      <c r="D406" t="s">
        <v>8</v>
      </c>
      <c r="E406" t="s">
        <v>9</v>
      </c>
      <c r="F406" t="s">
        <v>14</v>
      </c>
      <c r="G406" t="s">
        <v>19</v>
      </c>
      <c r="H406">
        <v>0.22</v>
      </c>
    </row>
    <row r="407" spans="1:8" x14ac:dyDescent="0.3">
      <c r="A407">
        <v>406</v>
      </c>
      <c r="B407">
        <v>40561</v>
      </c>
      <c r="C407">
        <v>0.875</v>
      </c>
      <c r="D407" t="s">
        <v>8</v>
      </c>
      <c r="E407" t="s">
        <v>9</v>
      </c>
      <c r="F407" t="s">
        <v>14</v>
      </c>
      <c r="G407" t="s">
        <v>19</v>
      </c>
      <c r="H407">
        <v>0.22</v>
      </c>
    </row>
    <row r="408" spans="1:8" x14ac:dyDescent="0.3">
      <c r="A408">
        <v>407</v>
      </c>
      <c r="B408">
        <v>40561</v>
      </c>
      <c r="C408">
        <v>0.91666666666666663</v>
      </c>
      <c r="D408" t="s">
        <v>8</v>
      </c>
      <c r="E408" t="s">
        <v>9</v>
      </c>
      <c r="F408" t="s">
        <v>14</v>
      </c>
      <c r="G408" t="s">
        <v>19</v>
      </c>
      <c r="H408">
        <v>0.22</v>
      </c>
    </row>
    <row r="409" spans="1:8" x14ac:dyDescent="0.3">
      <c r="A409">
        <v>408</v>
      </c>
      <c r="B409">
        <v>40561</v>
      </c>
      <c r="C409">
        <v>0.95833333333333337</v>
      </c>
      <c r="D409" t="s">
        <v>8</v>
      </c>
      <c r="E409" t="s">
        <v>9</v>
      </c>
      <c r="F409" t="s">
        <v>14</v>
      </c>
      <c r="G409" t="s">
        <v>19</v>
      </c>
      <c r="H409">
        <v>0.22</v>
      </c>
    </row>
    <row r="410" spans="1:8" x14ac:dyDescent="0.3">
      <c r="A410">
        <v>409</v>
      </c>
      <c r="B410">
        <v>40562</v>
      </c>
      <c r="C410">
        <v>0</v>
      </c>
      <c r="D410" t="s">
        <v>8</v>
      </c>
      <c r="E410" t="s">
        <v>9</v>
      </c>
      <c r="F410" t="s">
        <v>15</v>
      </c>
      <c r="G410" t="s">
        <v>19</v>
      </c>
      <c r="H410">
        <v>0.22</v>
      </c>
    </row>
    <row r="411" spans="1:8" x14ac:dyDescent="0.3">
      <c r="A411">
        <v>410</v>
      </c>
      <c r="B411">
        <v>40562</v>
      </c>
      <c r="C411">
        <v>4.1666666666666664E-2</v>
      </c>
      <c r="D411" t="s">
        <v>8</v>
      </c>
      <c r="E411" t="s">
        <v>9</v>
      </c>
      <c r="F411" t="s">
        <v>15</v>
      </c>
      <c r="G411" t="s">
        <v>20</v>
      </c>
      <c r="H411">
        <v>0.22</v>
      </c>
    </row>
    <row r="412" spans="1:8" x14ac:dyDescent="0.3">
      <c r="A412">
        <v>411</v>
      </c>
      <c r="B412">
        <v>40562</v>
      </c>
      <c r="C412">
        <v>8.3333333333333329E-2</v>
      </c>
      <c r="D412" t="s">
        <v>8</v>
      </c>
      <c r="E412" t="s">
        <v>9</v>
      </c>
      <c r="F412" t="s">
        <v>15</v>
      </c>
      <c r="G412" t="s">
        <v>20</v>
      </c>
      <c r="H412">
        <v>0.22</v>
      </c>
    </row>
    <row r="413" spans="1:8" x14ac:dyDescent="0.3">
      <c r="A413">
        <v>412</v>
      </c>
      <c r="B413">
        <v>40562</v>
      </c>
      <c r="C413">
        <v>0.16666666666666666</v>
      </c>
      <c r="D413" t="s">
        <v>8</v>
      </c>
      <c r="E413" t="s">
        <v>9</v>
      </c>
      <c r="F413" t="s">
        <v>15</v>
      </c>
      <c r="G413" t="s">
        <v>20</v>
      </c>
      <c r="H413">
        <v>0.22</v>
      </c>
    </row>
    <row r="414" spans="1:8" x14ac:dyDescent="0.3">
      <c r="A414">
        <v>413</v>
      </c>
      <c r="B414">
        <v>40562</v>
      </c>
      <c r="C414">
        <v>0.20833333333333334</v>
      </c>
      <c r="D414" t="s">
        <v>8</v>
      </c>
      <c r="E414" t="s">
        <v>9</v>
      </c>
      <c r="F414" t="s">
        <v>15</v>
      </c>
      <c r="G414" t="s">
        <v>19</v>
      </c>
      <c r="H414">
        <v>0.22</v>
      </c>
    </row>
    <row r="415" spans="1:8" x14ac:dyDescent="0.3">
      <c r="A415">
        <v>414</v>
      </c>
      <c r="B415">
        <v>40562</v>
      </c>
      <c r="C415">
        <v>0.25</v>
      </c>
      <c r="D415" t="s">
        <v>8</v>
      </c>
      <c r="E415" t="s">
        <v>9</v>
      </c>
      <c r="F415" t="s">
        <v>15</v>
      </c>
      <c r="G415" t="s">
        <v>19</v>
      </c>
      <c r="H415">
        <v>0.22</v>
      </c>
    </row>
    <row r="416" spans="1:8" x14ac:dyDescent="0.3">
      <c r="A416">
        <v>415</v>
      </c>
      <c r="B416">
        <v>40562</v>
      </c>
      <c r="C416">
        <v>0.29166666666666669</v>
      </c>
      <c r="D416" t="s">
        <v>8</v>
      </c>
      <c r="E416" t="s">
        <v>9</v>
      </c>
      <c r="F416" t="s">
        <v>15</v>
      </c>
      <c r="G416" t="s">
        <v>19</v>
      </c>
      <c r="H416">
        <v>0.24</v>
      </c>
    </row>
    <row r="417" spans="1:8" x14ac:dyDescent="0.3">
      <c r="A417">
        <v>416</v>
      </c>
      <c r="B417">
        <v>40562</v>
      </c>
      <c r="C417">
        <v>0.33333333333333331</v>
      </c>
      <c r="D417" t="s">
        <v>8</v>
      </c>
      <c r="E417" t="s">
        <v>9</v>
      </c>
      <c r="F417" t="s">
        <v>15</v>
      </c>
      <c r="G417" t="s">
        <v>19</v>
      </c>
      <c r="H417">
        <v>0.24</v>
      </c>
    </row>
    <row r="418" spans="1:8" x14ac:dyDescent="0.3">
      <c r="A418">
        <v>417</v>
      </c>
      <c r="B418">
        <v>40562</v>
      </c>
      <c r="C418">
        <v>0.375</v>
      </c>
      <c r="D418" t="s">
        <v>8</v>
      </c>
      <c r="E418" t="s">
        <v>9</v>
      </c>
      <c r="F418" t="s">
        <v>15</v>
      </c>
      <c r="G418" t="s">
        <v>19</v>
      </c>
      <c r="H418">
        <v>0.24</v>
      </c>
    </row>
    <row r="419" spans="1:8" x14ac:dyDescent="0.3">
      <c r="A419">
        <v>418</v>
      </c>
      <c r="B419">
        <v>40562</v>
      </c>
      <c r="C419">
        <v>0.41666666666666669</v>
      </c>
      <c r="D419" t="s">
        <v>8</v>
      </c>
      <c r="E419" t="s">
        <v>9</v>
      </c>
      <c r="F419" t="s">
        <v>15</v>
      </c>
      <c r="G419" t="s">
        <v>19</v>
      </c>
      <c r="H419">
        <v>0.26</v>
      </c>
    </row>
    <row r="420" spans="1:8" x14ac:dyDescent="0.3">
      <c r="A420">
        <v>419</v>
      </c>
      <c r="B420">
        <v>40562</v>
      </c>
      <c r="C420">
        <v>0.45833333333333331</v>
      </c>
      <c r="D420" t="s">
        <v>8</v>
      </c>
      <c r="E420" t="s">
        <v>9</v>
      </c>
      <c r="F420" t="s">
        <v>15</v>
      </c>
      <c r="G420" t="s">
        <v>19</v>
      </c>
      <c r="H420">
        <v>0.28000000000000003</v>
      </c>
    </row>
    <row r="421" spans="1:8" x14ac:dyDescent="0.3">
      <c r="A421">
        <v>420</v>
      </c>
      <c r="B421">
        <v>40562</v>
      </c>
      <c r="C421">
        <v>0.5</v>
      </c>
      <c r="D421" t="s">
        <v>8</v>
      </c>
      <c r="E421" t="s">
        <v>9</v>
      </c>
      <c r="F421" t="s">
        <v>15</v>
      </c>
      <c r="G421" t="s">
        <v>19</v>
      </c>
      <c r="H421">
        <v>0.3</v>
      </c>
    </row>
    <row r="422" spans="1:8" x14ac:dyDescent="0.3">
      <c r="A422">
        <v>421</v>
      </c>
      <c r="B422">
        <v>40562</v>
      </c>
      <c r="C422">
        <v>0.54166666666666663</v>
      </c>
      <c r="D422" t="s">
        <v>8</v>
      </c>
      <c r="E422" t="s">
        <v>9</v>
      </c>
      <c r="F422" t="s">
        <v>15</v>
      </c>
      <c r="G422" t="s">
        <v>18</v>
      </c>
      <c r="H422">
        <v>0.4</v>
      </c>
    </row>
    <row r="423" spans="1:8" x14ac:dyDescent="0.3">
      <c r="A423">
        <v>422</v>
      </c>
      <c r="B423">
        <v>40562</v>
      </c>
      <c r="C423">
        <v>0.58333333333333337</v>
      </c>
      <c r="D423" t="s">
        <v>8</v>
      </c>
      <c r="E423" t="s">
        <v>9</v>
      </c>
      <c r="F423" t="s">
        <v>15</v>
      </c>
      <c r="G423" t="s">
        <v>18</v>
      </c>
      <c r="H423">
        <v>0.4</v>
      </c>
    </row>
    <row r="424" spans="1:8" x14ac:dyDescent="0.3">
      <c r="A424">
        <v>423</v>
      </c>
      <c r="B424">
        <v>40562</v>
      </c>
      <c r="C424">
        <v>0.625</v>
      </c>
      <c r="D424" t="s">
        <v>8</v>
      </c>
      <c r="E424" t="s">
        <v>9</v>
      </c>
      <c r="F424" t="s">
        <v>15</v>
      </c>
      <c r="G424" t="s">
        <v>18</v>
      </c>
      <c r="H424">
        <v>0.4</v>
      </c>
    </row>
    <row r="425" spans="1:8" x14ac:dyDescent="0.3">
      <c r="A425">
        <v>424</v>
      </c>
      <c r="B425">
        <v>40562</v>
      </c>
      <c r="C425">
        <v>0.66666666666666663</v>
      </c>
      <c r="D425" t="s">
        <v>8</v>
      </c>
      <c r="E425" t="s">
        <v>9</v>
      </c>
      <c r="F425" t="s">
        <v>15</v>
      </c>
      <c r="G425" t="s">
        <v>18</v>
      </c>
      <c r="H425">
        <v>0.38</v>
      </c>
    </row>
    <row r="426" spans="1:8" x14ac:dyDescent="0.3">
      <c r="A426">
        <v>425</v>
      </c>
      <c r="B426">
        <v>40562</v>
      </c>
      <c r="C426">
        <v>0.70833333333333337</v>
      </c>
      <c r="D426" t="s">
        <v>8</v>
      </c>
      <c r="E426" t="s">
        <v>9</v>
      </c>
      <c r="F426" t="s">
        <v>15</v>
      </c>
      <c r="G426" t="s">
        <v>18</v>
      </c>
      <c r="H426">
        <v>0.36</v>
      </c>
    </row>
    <row r="427" spans="1:8" x14ac:dyDescent="0.3">
      <c r="A427">
        <v>426</v>
      </c>
      <c r="B427">
        <v>40562</v>
      </c>
      <c r="C427">
        <v>0.75</v>
      </c>
      <c r="D427" t="s">
        <v>8</v>
      </c>
      <c r="E427" t="s">
        <v>9</v>
      </c>
      <c r="F427" t="s">
        <v>15</v>
      </c>
      <c r="G427" t="s">
        <v>18</v>
      </c>
      <c r="H427">
        <v>0.34</v>
      </c>
    </row>
    <row r="428" spans="1:8" x14ac:dyDescent="0.3">
      <c r="A428">
        <v>427</v>
      </c>
      <c r="B428">
        <v>40562</v>
      </c>
      <c r="C428">
        <v>0.79166666666666663</v>
      </c>
      <c r="D428" t="s">
        <v>8</v>
      </c>
      <c r="E428" t="s">
        <v>9</v>
      </c>
      <c r="F428" t="s">
        <v>15</v>
      </c>
      <c r="G428" t="s">
        <v>18</v>
      </c>
      <c r="H428">
        <v>0.32</v>
      </c>
    </row>
    <row r="429" spans="1:8" x14ac:dyDescent="0.3">
      <c r="A429">
        <v>428</v>
      </c>
      <c r="B429">
        <v>40562</v>
      </c>
      <c r="C429">
        <v>0.83333333333333337</v>
      </c>
      <c r="D429" t="s">
        <v>8</v>
      </c>
      <c r="E429" t="s">
        <v>9</v>
      </c>
      <c r="F429" t="s">
        <v>15</v>
      </c>
      <c r="G429" t="s">
        <v>18</v>
      </c>
      <c r="H429">
        <v>0.32</v>
      </c>
    </row>
    <row r="430" spans="1:8" x14ac:dyDescent="0.3">
      <c r="A430">
        <v>429</v>
      </c>
      <c r="B430">
        <v>40562</v>
      </c>
      <c r="C430">
        <v>0.875</v>
      </c>
      <c r="D430" t="s">
        <v>8</v>
      </c>
      <c r="E430" t="s">
        <v>9</v>
      </c>
      <c r="F430" t="s">
        <v>15</v>
      </c>
      <c r="G430" t="s">
        <v>18</v>
      </c>
      <c r="H430">
        <v>0.32</v>
      </c>
    </row>
    <row r="431" spans="1:8" x14ac:dyDescent="0.3">
      <c r="A431">
        <v>430</v>
      </c>
      <c r="B431">
        <v>40562</v>
      </c>
      <c r="C431">
        <v>0.91666666666666663</v>
      </c>
      <c r="D431" t="s">
        <v>8</v>
      </c>
      <c r="E431" t="s">
        <v>9</v>
      </c>
      <c r="F431" t="s">
        <v>15</v>
      </c>
      <c r="G431" t="s">
        <v>18</v>
      </c>
      <c r="H431">
        <v>0.3</v>
      </c>
    </row>
    <row r="432" spans="1:8" x14ac:dyDescent="0.3">
      <c r="A432">
        <v>431</v>
      </c>
      <c r="B432">
        <v>40562</v>
      </c>
      <c r="C432">
        <v>0.95833333333333337</v>
      </c>
      <c r="D432" t="s">
        <v>8</v>
      </c>
      <c r="E432" t="s">
        <v>9</v>
      </c>
      <c r="F432" t="s">
        <v>15</v>
      </c>
      <c r="G432" t="s">
        <v>18</v>
      </c>
      <c r="H432">
        <v>0.3</v>
      </c>
    </row>
    <row r="433" spans="1:8" x14ac:dyDescent="0.3">
      <c r="A433">
        <v>432</v>
      </c>
      <c r="B433">
        <v>40563</v>
      </c>
      <c r="C433">
        <v>0</v>
      </c>
      <c r="D433" t="s">
        <v>8</v>
      </c>
      <c r="E433" t="s">
        <v>9</v>
      </c>
      <c r="F433" t="s">
        <v>16</v>
      </c>
      <c r="G433" t="s">
        <v>18</v>
      </c>
      <c r="H433">
        <v>0.26</v>
      </c>
    </row>
    <row r="434" spans="1:8" x14ac:dyDescent="0.3">
      <c r="A434">
        <v>433</v>
      </c>
      <c r="B434">
        <v>40563</v>
      </c>
      <c r="C434">
        <v>4.1666666666666664E-2</v>
      </c>
      <c r="D434" t="s">
        <v>8</v>
      </c>
      <c r="E434" t="s">
        <v>9</v>
      </c>
      <c r="F434" t="s">
        <v>16</v>
      </c>
      <c r="G434" t="s">
        <v>18</v>
      </c>
      <c r="H434">
        <v>0.26</v>
      </c>
    </row>
    <row r="435" spans="1:8" x14ac:dyDescent="0.3">
      <c r="A435">
        <v>434</v>
      </c>
      <c r="B435">
        <v>40563</v>
      </c>
      <c r="C435">
        <v>8.3333333333333329E-2</v>
      </c>
      <c r="D435" t="s">
        <v>8</v>
      </c>
      <c r="E435" t="s">
        <v>9</v>
      </c>
      <c r="F435" t="s">
        <v>16</v>
      </c>
      <c r="G435" t="s">
        <v>18</v>
      </c>
      <c r="H435">
        <v>0.26</v>
      </c>
    </row>
    <row r="436" spans="1:8" x14ac:dyDescent="0.3">
      <c r="A436">
        <v>435</v>
      </c>
      <c r="B436">
        <v>40563</v>
      </c>
      <c r="C436">
        <v>0.125</v>
      </c>
      <c r="D436" t="s">
        <v>8</v>
      </c>
      <c r="E436" t="s">
        <v>9</v>
      </c>
      <c r="F436" t="s">
        <v>16</v>
      </c>
      <c r="G436" t="s">
        <v>18</v>
      </c>
      <c r="H436">
        <v>0.26</v>
      </c>
    </row>
    <row r="437" spans="1:8" x14ac:dyDescent="0.3">
      <c r="A437">
        <v>436</v>
      </c>
      <c r="B437">
        <v>40563</v>
      </c>
      <c r="C437">
        <v>0.16666666666666666</v>
      </c>
      <c r="D437" t="s">
        <v>8</v>
      </c>
      <c r="E437" t="s">
        <v>9</v>
      </c>
      <c r="F437" t="s">
        <v>16</v>
      </c>
      <c r="G437" t="s">
        <v>18</v>
      </c>
      <c r="H437">
        <v>0.26</v>
      </c>
    </row>
    <row r="438" spans="1:8" x14ac:dyDescent="0.3">
      <c r="A438">
        <v>437</v>
      </c>
      <c r="B438">
        <v>40563</v>
      </c>
      <c r="C438">
        <v>0.20833333333333334</v>
      </c>
      <c r="D438" t="s">
        <v>8</v>
      </c>
      <c r="E438" t="s">
        <v>9</v>
      </c>
      <c r="F438" t="s">
        <v>16</v>
      </c>
      <c r="G438" t="s">
        <v>18</v>
      </c>
      <c r="H438">
        <v>0.24</v>
      </c>
    </row>
    <row r="439" spans="1:8" x14ac:dyDescent="0.3">
      <c r="A439">
        <v>438</v>
      </c>
      <c r="B439">
        <v>40563</v>
      </c>
      <c r="C439">
        <v>0.25</v>
      </c>
      <c r="D439" t="s">
        <v>8</v>
      </c>
      <c r="E439" t="s">
        <v>9</v>
      </c>
      <c r="F439" t="s">
        <v>16</v>
      </c>
      <c r="G439" t="s">
        <v>18</v>
      </c>
      <c r="H439">
        <v>0.22</v>
      </c>
    </row>
    <row r="440" spans="1:8" x14ac:dyDescent="0.3">
      <c r="A440">
        <v>439</v>
      </c>
      <c r="B440">
        <v>40563</v>
      </c>
      <c r="C440">
        <v>0.29166666666666669</v>
      </c>
      <c r="D440" t="s">
        <v>8</v>
      </c>
      <c r="E440" t="s">
        <v>9</v>
      </c>
      <c r="F440" t="s">
        <v>16</v>
      </c>
      <c r="G440" t="s">
        <v>18</v>
      </c>
      <c r="H440">
        <v>0.22</v>
      </c>
    </row>
    <row r="441" spans="1:8" x14ac:dyDescent="0.3">
      <c r="A441">
        <v>440</v>
      </c>
      <c r="B441">
        <v>40563</v>
      </c>
      <c r="C441">
        <v>0.33333333333333331</v>
      </c>
      <c r="D441" t="s">
        <v>8</v>
      </c>
      <c r="E441" t="s">
        <v>9</v>
      </c>
      <c r="F441" t="s">
        <v>16</v>
      </c>
      <c r="G441" t="s">
        <v>18</v>
      </c>
      <c r="H441">
        <v>0.22</v>
      </c>
    </row>
    <row r="442" spans="1:8" x14ac:dyDescent="0.3">
      <c r="A442">
        <v>441</v>
      </c>
      <c r="B442">
        <v>40563</v>
      </c>
      <c r="C442">
        <v>0.375</v>
      </c>
      <c r="D442" t="s">
        <v>8</v>
      </c>
      <c r="E442" t="s">
        <v>9</v>
      </c>
      <c r="F442" t="s">
        <v>16</v>
      </c>
      <c r="G442" t="s">
        <v>19</v>
      </c>
      <c r="H442">
        <v>0.24</v>
      </c>
    </row>
    <row r="443" spans="1:8" x14ac:dyDescent="0.3">
      <c r="A443">
        <v>442</v>
      </c>
      <c r="B443">
        <v>40563</v>
      </c>
      <c r="C443">
        <v>0.41666666666666669</v>
      </c>
      <c r="D443" t="s">
        <v>8</v>
      </c>
      <c r="E443" t="s">
        <v>9</v>
      </c>
      <c r="F443" t="s">
        <v>16</v>
      </c>
      <c r="G443" t="s">
        <v>18</v>
      </c>
      <c r="H443">
        <v>0.26</v>
      </c>
    </row>
    <row r="444" spans="1:8" x14ac:dyDescent="0.3">
      <c r="A444">
        <v>443</v>
      </c>
      <c r="B444">
        <v>40563</v>
      </c>
      <c r="C444">
        <v>0.45833333333333331</v>
      </c>
      <c r="D444" t="s">
        <v>8</v>
      </c>
      <c r="E444" t="s">
        <v>9</v>
      </c>
      <c r="F444" t="s">
        <v>16</v>
      </c>
      <c r="G444" t="s">
        <v>19</v>
      </c>
      <c r="H444">
        <v>0.28000000000000003</v>
      </c>
    </row>
    <row r="445" spans="1:8" x14ac:dyDescent="0.3">
      <c r="A445">
        <v>444</v>
      </c>
      <c r="B445">
        <v>40563</v>
      </c>
      <c r="C445">
        <v>0.5</v>
      </c>
      <c r="D445" t="s">
        <v>8</v>
      </c>
      <c r="E445" t="s">
        <v>9</v>
      </c>
      <c r="F445" t="s">
        <v>16</v>
      </c>
      <c r="G445" t="s">
        <v>19</v>
      </c>
      <c r="H445">
        <v>0.3</v>
      </c>
    </row>
    <row r="446" spans="1:8" x14ac:dyDescent="0.3">
      <c r="A446">
        <v>445</v>
      </c>
      <c r="B446">
        <v>40563</v>
      </c>
      <c r="C446">
        <v>0.54166666666666663</v>
      </c>
      <c r="D446" t="s">
        <v>8</v>
      </c>
      <c r="E446" t="s">
        <v>9</v>
      </c>
      <c r="F446" t="s">
        <v>16</v>
      </c>
      <c r="G446" t="s">
        <v>19</v>
      </c>
      <c r="H446">
        <v>0.28000000000000003</v>
      </c>
    </row>
    <row r="447" spans="1:8" x14ac:dyDescent="0.3">
      <c r="A447">
        <v>446</v>
      </c>
      <c r="B447">
        <v>40563</v>
      </c>
      <c r="C447">
        <v>0.58333333333333337</v>
      </c>
      <c r="D447" t="s">
        <v>8</v>
      </c>
      <c r="E447" t="s">
        <v>9</v>
      </c>
      <c r="F447" t="s">
        <v>16</v>
      </c>
      <c r="G447" t="s">
        <v>19</v>
      </c>
      <c r="H447">
        <v>0.3</v>
      </c>
    </row>
    <row r="448" spans="1:8" x14ac:dyDescent="0.3">
      <c r="A448">
        <v>447</v>
      </c>
      <c r="B448">
        <v>40563</v>
      </c>
      <c r="C448">
        <v>0.625</v>
      </c>
      <c r="D448" t="s">
        <v>8</v>
      </c>
      <c r="E448" t="s">
        <v>9</v>
      </c>
      <c r="F448" t="s">
        <v>16</v>
      </c>
      <c r="G448" t="s">
        <v>19</v>
      </c>
      <c r="H448">
        <v>0.32</v>
      </c>
    </row>
    <row r="449" spans="1:8" x14ac:dyDescent="0.3">
      <c r="A449">
        <v>448</v>
      </c>
      <c r="B449">
        <v>40563</v>
      </c>
      <c r="C449">
        <v>0.66666666666666663</v>
      </c>
      <c r="D449" t="s">
        <v>8</v>
      </c>
      <c r="E449" t="s">
        <v>9</v>
      </c>
      <c r="F449" t="s">
        <v>16</v>
      </c>
      <c r="G449" t="s">
        <v>19</v>
      </c>
      <c r="H449">
        <v>0.3</v>
      </c>
    </row>
    <row r="450" spans="1:8" x14ac:dyDescent="0.3">
      <c r="A450">
        <v>449</v>
      </c>
      <c r="B450">
        <v>40563</v>
      </c>
      <c r="C450">
        <v>0.70833333333333337</v>
      </c>
      <c r="D450" t="s">
        <v>8</v>
      </c>
      <c r="E450" t="s">
        <v>9</v>
      </c>
      <c r="F450" t="s">
        <v>16</v>
      </c>
      <c r="G450" t="s">
        <v>19</v>
      </c>
      <c r="H450">
        <v>0.3</v>
      </c>
    </row>
    <row r="451" spans="1:8" x14ac:dyDescent="0.3">
      <c r="A451">
        <v>450</v>
      </c>
      <c r="B451">
        <v>40563</v>
      </c>
      <c r="C451">
        <v>0.75</v>
      </c>
      <c r="D451" t="s">
        <v>8</v>
      </c>
      <c r="E451" t="s">
        <v>9</v>
      </c>
      <c r="F451" t="s">
        <v>16</v>
      </c>
      <c r="G451" t="s">
        <v>19</v>
      </c>
      <c r="H451">
        <v>0.26</v>
      </c>
    </row>
    <row r="452" spans="1:8" x14ac:dyDescent="0.3">
      <c r="A452">
        <v>451</v>
      </c>
      <c r="B452">
        <v>40563</v>
      </c>
      <c r="C452">
        <v>0.79166666666666663</v>
      </c>
      <c r="D452" t="s">
        <v>8</v>
      </c>
      <c r="E452" t="s">
        <v>9</v>
      </c>
      <c r="F452" t="s">
        <v>16</v>
      </c>
      <c r="G452" t="s">
        <v>18</v>
      </c>
      <c r="H452">
        <v>0.26</v>
      </c>
    </row>
    <row r="453" spans="1:8" x14ac:dyDescent="0.3">
      <c r="A453">
        <v>452</v>
      </c>
      <c r="B453">
        <v>40563</v>
      </c>
      <c r="C453">
        <v>0.83333333333333337</v>
      </c>
      <c r="D453" t="s">
        <v>8</v>
      </c>
      <c r="E453" t="s">
        <v>9</v>
      </c>
      <c r="F453" t="s">
        <v>16</v>
      </c>
      <c r="G453" t="s">
        <v>19</v>
      </c>
      <c r="H453">
        <v>0.26</v>
      </c>
    </row>
    <row r="454" spans="1:8" x14ac:dyDescent="0.3">
      <c r="A454">
        <v>453</v>
      </c>
      <c r="B454">
        <v>40563</v>
      </c>
      <c r="C454">
        <v>0.875</v>
      </c>
      <c r="D454" t="s">
        <v>8</v>
      </c>
      <c r="E454" t="s">
        <v>9</v>
      </c>
      <c r="F454" t="s">
        <v>16</v>
      </c>
      <c r="G454" t="s">
        <v>19</v>
      </c>
      <c r="H454">
        <v>0.24</v>
      </c>
    </row>
    <row r="455" spans="1:8" x14ac:dyDescent="0.3">
      <c r="A455">
        <v>454</v>
      </c>
      <c r="B455">
        <v>40563</v>
      </c>
      <c r="C455">
        <v>0.91666666666666663</v>
      </c>
      <c r="D455" t="s">
        <v>8</v>
      </c>
      <c r="E455" t="s">
        <v>9</v>
      </c>
      <c r="F455" t="s">
        <v>16</v>
      </c>
      <c r="G455" t="s">
        <v>19</v>
      </c>
      <c r="H455">
        <v>0.24</v>
      </c>
    </row>
    <row r="456" spans="1:8" x14ac:dyDescent="0.3">
      <c r="A456">
        <v>455</v>
      </c>
      <c r="B456">
        <v>40563</v>
      </c>
      <c r="C456">
        <v>0.95833333333333337</v>
      </c>
      <c r="D456" t="s">
        <v>8</v>
      </c>
      <c r="E456" t="s">
        <v>9</v>
      </c>
      <c r="F456" t="s">
        <v>16</v>
      </c>
      <c r="G456" t="s">
        <v>19</v>
      </c>
      <c r="H456">
        <v>0.24</v>
      </c>
    </row>
    <row r="457" spans="1:8" x14ac:dyDescent="0.3">
      <c r="A457">
        <v>456</v>
      </c>
      <c r="B457">
        <v>40564</v>
      </c>
      <c r="C457">
        <v>0</v>
      </c>
      <c r="D457" t="s">
        <v>8</v>
      </c>
      <c r="E457" t="s">
        <v>9</v>
      </c>
      <c r="F457" t="s">
        <v>17</v>
      </c>
      <c r="G457" t="s">
        <v>19</v>
      </c>
      <c r="H457">
        <v>0.24</v>
      </c>
    </row>
    <row r="458" spans="1:8" x14ac:dyDescent="0.3">
      <c r="A458">
        <v>457</v>
      </c>
      <c r="B458">
        <v>40564</v>
      </c>
      <c r="C458">
        <v>4.1666666666666664E-2</v>
      </c>
      <c r="D458" t="s">
        <v>8</v>
      </c>
      <c r="E458" t="s">
        <v>9</v>
      </c>
      <c r="F458" t="s">
        <v>17</v>
      </c>
      <c r="G458" t="s">
        <v>19</v>
      </c>
      <c r="H458">
        <v>0.24</v>
      </c>
    </row>
    <row r="459" spans="1:8" x14ac:dyDescent="0.3">
      <c r="A459">
        <v>458</v>
      </c>
      <c r="B459">
        <v>40564</v>
      </c>
      <c r="C459">
        <v>8.3333333333333329E-2</v>
      </c>
      <c r="D459" t="s">
        <v>8</v>
      </c>
      <c r="E459" t="s">
        <v>9</v>
      </c>
      <c r="F459" t="s">
        <v>17</v>
      </c>
      <c r="G459" t="s">
        <v>20</v>
      </c>
      <c r="H459">
        <v>0.24</v>
      </c>
    </row>
    <row r="460" spans="1:8" x14ac:dyDescent="0.3">
      <c r="A460">
        <v>459</v>
      </c>
      <c r="B460">
        <v>40564</v>
      </c>
      <c r="C460">
        <v>0.125</v>
      </c>
      <c r="D460" t="s">
        <v>8</v>
      </c>
      <c r="E460" t="s">
        <v>9</v>
      </c>
      <c r="F460" t="s">
        <v>17</v>
      </c>
      <c r="G460" t="s">
        <v>20</v>
      </c>
      <c r="H460">
        <v>0.22</v>
      </c>
    </row>
    <row r="461" spans="1:8" x14ac:dyDescent="0.3">
      <c r="A461">
        <v>460</v>
      </c>
      <c r="B461">
        <v>40564</v>
      </c>
      <c r="C461">
        <v>0.16666666666666666</v>
      </c>
      <c r="D461" t="s">
        <v>8</v>
      </c>
      <c r="E461" t="s">
        <v>9</v>
      </c>
      <c r="F461" t="s">
        <v>17</v>
      </c>
      <c r="G461" t="s">
        <v>19</v>
      </c>
      <c r="H461">
        <v>0.22</v>
      </c>
    </row>
    <row r="462" spans="1:8" x14ac:dyDescent="0.3">
      <c r="A462">
        <v>461</v>
      </c>
      <c r="B462">
        <v>40564</v>
      </c>
      <c r="C462">
        <v>0.20833333333333334</v>
      </c>
      <c r="D462" t="s">
        <v>8</v>
      </c>
      <c r="E462" t="s">
        <v>9</v>
      </c>
      <c r="F462" t="s">
        <v>17</v>
      </c>
      <c r="G462" t="s">
        <v>18</v>
      </c>
      <c r="H462">
        <v>0.24</v>
      </c>
    </row>
    <row r="463" spans="1:8" x14ac:dyDescent="0.3">
      <c r="A463">
        <v>462</v>
      </c>
      <c r="B463">
        <v>40564</v>
      </c>
      <c r="C463">
        <v>0.25</v>
      </c>
      <c r="D463" t="s">
        <v>8</v>
      </c>
      <c r="E463" t="s">
        <v>9</v>
      </c>
      <c r="F463" t="s">
        <v>17</v>
      </c>
      <c r="G463" t="s">
        <v>18</v>
      </c>
      <c r="H463">
        <v>0.22</v>
      </c>
    </row>
    <row r="464" spans="1:8" x14ac:dyDescent="0.3">
      <c r="A464">
        <v>463</v>
      </c>
      <c r="B464">
        <v>40564</v>
      </c>
      <c r="C464">
        <v>0.29166666666666669</v>
      </c>
      <c r="D464" t="s">
        <v>8</v>
      </c>
      <c r="E464" t="s">
        <v>9</v>
      </c>
      <c r="F464" t="s">
        <v>17</v>
      </c>
      <c r="G464" t="s">
        <v>18</v>
      </c>
      <c r="H464">
        <v>0.2</v>
      </c>
    </row>
    <row r="465" spans="1:8" x14ac:dyDescent="0.3">
      <c r="A465">
        <v>464</v>
      </c>
      <c r="B465">
        <v>40564</v>
      </c>
      <c r="C465">
        <v>0.33333333333333331</v>
      </c>
      <c r="D465" t="s">
        <v>8</v>
      </c>
      <c r="E465" t="s">
        <v>9</v>
      </c>
      <c r="F465" t="s">
        <v>17</v>
      </c>
      <c r="G465" t="s">
        <v>18</v>
      </c>
      <c r="H465">
        <v>0.2</v>
      </c>
    </row>
    <row r="466" spans="1:8" x14ac:dyDescent="0.3">
      <c r="A466">
        <v>465</v>
      </c>
      <c r="B466">
        <v>40564</v>
      </c>
      <c r="C466">
        <v>0.375</v>
      </c>
      <c r="D466" t="s">
        <v>8</v>
      </c>
      <c r="E466" t="s">
        <v>9</v>
      </c>
      <c r="F466" t="s">
        <v>17</v>
      </c>
      <c r="G466" t="s">
        <v>18</v>
      </c>
      <c r="H466">
        <v>0.2</v>
      </c>
    </row>
    <row r="467" spans="1:8" x14ac:dyDescent="0.3">
      <c r="A467">
        <v>466</v>
      </c>
      <c r="B467">
        <v>40564</v>
      </c>
      <c r="C467">
        <v>0.41666666666666669</v>
      </c>
      <c r="D467" t="s">
        <v>8</v>
      </c>
      <c r="E467" t="s">
        <v>9</v>
      </c>
      <c r="F467" t="s">
        <v>17</v>
      </c>
      <c r="G467" t="s">
        <v>18</v>
      </c>
      <c r="H467">
        <v>0.2</v>
      </c>
    </row>
    <row r="468" spans="1:8" x14ac:dyDescent="0.3">
      <c r="A468">
        <v>467</v>
      </c>
      <c r="B468">
        <v>40564</v>
      </c>
      <c r="C468">
        <v>0.45833333333333331</v>
      </c>
      <c r="D468" t="s">
        <v>8</v>
      </c>
      <c r="E468" t="s">
        <v>9</v>
      </c>
      <c r="F468" t="s">
        <v>17</v>
      </c>
      <c r="G468" t="s">
        <v>18</v>
      </c>
      <c r="H468">
        <v>0.22</v>
      </c>
    </row>
    <row r="469" spans="1:8" x14ac:dyDescent="0.3">
      <c r="A469">
        <v>468</v>
      </c>
      <c r="B469">
        <v>40564</v>
      </c>
      <c r="C469">
        <v>0.5</v>
      </c>
      <c r="D469" t="s">
        <v>8</v>
      </c>
      <c r="E469" t="s">
        <v>9</v>
      </c>
      <c r="F469" t="s">
        <v>17</v>
      </c>
      <c r="G469" t="s">
        <v>18</v>
      </c>
      <c r="H469">
        <v>0.22</v>
      </c>
    </row>
    <row r="470" spans="1:8" x14ac:dyDescent="0.3">
      <c r="A470">
        <v>469</v>
      </c>
      <c r="B470">
        <v>40564</v>
      </c>
      <c r="C470">
        <v>0.54166666666666663</v>
      </c>
      <c r="D470" t="s">
        <v>8</v>
      </c>
      <c r="E470" t="s">
        <v>9</v>
      </c>
      <c r="F470" t="s">
        <v>17</v>
      </c>
      <c r="G470" t="s">
        <v>18</v>
      </c>
      <c r="H470">
        <v>0.2</v>
      </c>
    </row>
    <row r="471" spans="1:8" x14ac:dyDescent="0.3">
      <c r="A471">
        <v>470</v>
      </c>
      <c r="B471">
        <v>40564</v>
      </c>
      <c r="C471">
        <v>0.58333333333333337</v>
      </c>
      <c r="D471" t="s">
        <v>8</v>
      </c>
      <c r="E471" t="s">
        <v>9</v>
      </c>
      <c r="F471" t="s">
        <v>17</v>
      </c>
      <c r="G471" t="s">
        <v>18</v>
      </c>
      <c r="H471">
        <v>0.2</v>
      </c>
    </row>
    <row r="472" spans="1:8" x14ac:dyDescent="0.3">
      <c r="A472">
        <v>471</v>
      </c>
      <c r="B472">
        <v>40564</v>
      </c>
      <c r="C472">
        <v>0.625</v>
      </c>
      <c r="D472" t="s">
        <v>8</v>
      </c>
      <c r="E472" t="s">
        <v>9</v>
      </c>
      <c r="F472" t="s">
        <v>17</v>
      </c>
      <c r="G472" t="s">
        <v>18</v>
      </c>
      <c r="H472">
        <v>0.16</v>
      </c>
    </row>
    <row r="473" spans="1:8" x14ac:dyDescent="0.3">
      <c r="A473">
        <v>472</v>
      </c>
      <c r="B473">
        <v>40564</v>
      </c>
      <c r="C473">
        <v>0.66666666666666663</v>
      </c>
      <c r="D473" t="s">
        <v>8</v>
      </c>
      <c r="E473" t="s">
        <v>9</v>
      </c>
      <c r="F473" t="s">
        <v>17</v>
      </c>
      <c r="G473" t="s">
        <v>18</v>
      </c>
      <c r="H473">
        <v>0.16</v>
      </c>
    </row>
    <row r="474" spans="1:8" x14ac:dyDescent="0.3">
      <c r="A474">
        <v>473</v>
      </c>
      <c r="B474">
        <v>40564</v>
      </c>
      <c r="C474">
        <v>0.70833333333333337</v>
      </c>
      <c r="D474" t="s">
        <v>8</v>
      </c>
      <c r="E474" t="s">
        <v>9</v>
      </c>
      <c r="F474" t="s">
        <v>17</v>
      </c>
      <c r="G474" t="s">
        <v>18</v>
      </c>
      <c r="H474">
        <v>0.14000000000000001</v>
      </c>
    </row>
    <row r="475" spans="1:8" x14ac:dyDescent="0.3">
      <c r="A475">
        <v>474</v>
      </c>
      <c r="B475">
        <v>40564</v>
      </c>
      <c r="C475">
        <v>0.75</v>
      </c>
      <c r="D475" t="s">
        <v>8</v>
      </c>
      <c r="E475" t="s">
        <v>9</v>
      </c>
      <c r="F475" t="s">
        <v>17</v>
      </c>
      <c r="G475" t="s">
        <v>18</v>
      </c>
      <c r="H475">
        <v>0.12</v>
      </c>
    </row>
    <row r="476" spans="1:8" x14ac:dyDescent="0.3">
      <c r="A476">
        <v>475</v>
      </c>
      <c r="B476">
        <v>40564</v>
      </c>
      <c r="C476">
        <v>0.79166666666666663</v>
      </c>
      <c r="D476" t="s">
        <v>8</v>
      </c>
      <c r="E476" t="s">
        <v>9</v>
      </c>
      <c r="F476" t="s">
        <v>17</v>
      </c>
      <c r="G476" t="s">
        <v>18</v>
      </c>
      <c r="H476">
        <v>0.12</v>
      </c>
    </row>
    <row r="477" spans="1:8" x14ac:dyDescent="0.3">
      <c r="A477">
        <v>476</v>
      </c>
      <c r="B477">
        <v>40564</v>
      </c>
      <c r="C477">
        <v>0.83333333333333337</v>
      </c>
      <c r="D477" t="s">
        <v>8</v>
      </c>
      <c r="E477" t="s">
        <v>9</v>
      </c>
      <c r="F477" t="s">
        <v>17</v>
      </c>
      <c r="G477" t="s">
        <v>18</v>
      </c>
      <c r="H477">
        <v>0.1</v>
      </c>
    </row>
    <row r="478" spans="1:8" x14ac:dyDescent="0.3">
      <c r="A478">
        <v>477</v>
      </c>
      <c r="B478">
        <v>40564</v>
      </c>
      <c r="C478">
        <v>0.875</v>
      </c>
      <c r="D478" t="s">
        <v>8</v>
      </c>
      <c r="E478" t="s">
        <v>9</v>
      </c>
      <c r="F478" t="s">
        <v>17</v>
      </c>
      <c r="G478" t="s">
        <v>18</v>
      </c>
      <c r="H478">
        <v>0.08</v>
      </c>
    </row>
    <row r="479" spans="1:8" x14ac:dyDescent="0.3">
      <c r="A479">
        <v>478</v>
      </c>
      <c r="B479">
        <v>40564</v>
      </c>
      <c r="C479">
        <v>0.91666666666666663</v>
      </c>
      <c r="D479" t="s">
        <v>8</v>
      </c>
      <c r="E479" t="s">
        <v>9</v>
      </c>
      <c r="F479" t="s">
        <v>17</v>
      </c>
      <c r="G479" t="s">
        <v>18</v>
      </c>
      <c r="H479">
        <v>0.06</v>
      </c>
    </row>
    <row r="480" spans="1:8" x14ac:dyDescent="0.3">
      <c r="A480">
        <v>479</v>
      </c>
      <c r="B480">
        <v>40564</v>
      </c>
      <c r="C480">
        <v>0.95833333333333337</v>
      </c>
      <c r="D480" t="s">
        <v>8</v>
      </c>
      <c r="E480" t="s">
        <v>9</v>
      </c>
      <c r="F480" t="s">
        <v>17</v>
      </c>
      <c r="G480" t="s">
        <v>18</v>
      </c>
      <c r="H480">
        <v>0.06</v>
      </c>
    </row>
    <row r="481" spans="1:8" x14ac:dyDescent="0.3">
      <c r="A481">
        <v>480</v>
      </c>
      <c r="B481">
        <v>40565</v>
      </c>
      <c r="C481">
        <v>0</v>
      </c>
      <c r="D481" t="s">
        <v>8</v>
      </c>
      <c r="E481" t="s">
        <v>9</v>
      </c>
      <c r="F481" t="s">
        <v>11</v>
      </c>
      <c r="G481" t="s">
        <v>18</v>
      </c>
      <c r="H481">
        <v>0.04</v>
      </c>
    </row>
    <row r="482" spans="1:8" x14ac:dyDescent="0.3">
      <c r="A482">
        <v>481</v>
      </c>
      <c r="B482">
        <v>40565</v>
      </c>
      <c r="C482">
        <v>4.1666666666666664E-2</v>
      </c>
      <c r="D482" t="s">
        <v>8</v>
      </c>
      <c r="E482" t="s">
        <v>9</v>
      </c>
      <c r="F482" t="s">
        <v>11</v>
      </c>
      <c r="G482" t="s">
        <v>19</v>
      </c>
      <c r="H482">
        <v>0.04</v>
      </c>
    </row>
    <row r="483" spans="1:8" x14ac:dyDescent="0.3">
      <c r="A483">
        <v>482</v>
      </c>
      <c r="B483">
        <v>40565</v>
      </c>
      <c r="C483">
        <v>8.3333333333333329E-2</v>
      </c>
      <c r="D483" t="s">
        <v>8</v>
      </c>
      <c r="E483" t="s">
        <v>9</v>
      </c>
      <c r="F483" t="s">
        <v>11</v>
      </c>
      <c r="G483" t="s">
        <v>19</v>
      </c>
      <c r="H483">
        <v>0.04</v>
      </c>
    </row>
    <row r="484" spans="1:8" x14ac:dyDescent="0.3">
      <c r="A484">
        <v>483</v>
      </c>
      <c r="B484">
        <v>40565</v>
      </c>
      <c r="C484">
        <v>0.125</v>
      </c>
      <c r="D484" t="s">
        <v>8</v>
      </c>
      <c r="E484" t="s">
        <v>9</v>
      </c>
      <c r="F484" t="s">
        <v>11</v>
      </c>
      <c r="G484" t="s">
        <v>19</v>
      </c>
      <c r="H484">
        <v>0.04</v>
      </c>
    </row>
    <row r="485" spans="1:8" x14ac:dyDescent="0.3">
      <c r="A485">
        <v>484</v>
      </c>
      <c r="B485">
        <v>40565</v>
      </c>
      <c r="C485">
        <v>0.16666666666666666</v>
      </c>
      <c r="D485" t="s">
        <v>8</v>
      </c>
      <c r="E485" t="s">
        <v>9</v>
      </c>
      <c r="F485" t="s">
        <v>11</v>
      </c>
      <c r="G485" t="s">
        <v>19</v>
      </c>
      <c r="H485">
        <v>0.02</v>
      </c>
    </row>
    <row r="486" spans="1:8" x14ac:dyDescent="0.3">
      <c r="A486">
        <v>485</v>
      </c>
      <c r="B486">
        <v>40565</v>
      </c>
      <c r="C486">
        <v>0.25</v>
      </c>
      <c r="D486" t="s">
        <v>8</v>
      </c>
      <c r="E486" t="s">
        <v>9</v>
      </c>
      <c r="F486" t="s">
        <v>11</v>
      </c>
      <c r="G486" t="s">
        <v>19</v>
      </c>
      <c r="H486">
        <v>0.02</v>
      </c>
    </row>
    <row r="487" spans="1:8" x14ac:dyDescent="0.3">
      <c r="A487">
        <v>486</v>
      </c>
      <c r="B487">
        <v>40565</v>
      </c>
      <c r="C487">
        <v>0.29166666666666669</v>
      </c>
      <c r="D487" t="s">
        <v>8</v>
      </c>
      <c r="E487" t="s">
        <v>9</v>
      </c>
      <c r="F487" t="s">
        <v>11</v>
      </c>
      <c r="G487" t="s">
        <v>18</v>
      </c>
      <c r="H487">
        <v>0.02</v>
      </c>
    </row>
    <row r="488" spans="1:8" x14ac:dyDescent="0.3">
      <c r="A488">
        <v>487</v>
      </c>
      <c r="B488">
        <v>40565</v>
      </c>
      <c r="C488">
        <v>0.33333333333333331</v>
      </c>
      <c r="D488" t="s">
        <v>8</v>
      </c>
      <c r="E488" t="s">
        <v>9</v>
      </c>
      <c r="F488" t="s">
        <v>11</v>
      </c>
      <c r="G488" t="s">
        <v>18</v>
      </c>
      <c r="H488">
        <v>0.02</v>
      </c>
    </row>
    <row r="489" spans="1:8" x14ac:dyDescent="0.3">
      <c r="A489">
        <v>488</v>
      </c>
      <c r="B489">
        <v>40565</v>
      </c>
      <c r="C489">
        <v>0.375</v>
      </c>
      <c r="D489" t="s">
        <v>8</v>
      </c>
      <c r="E489" t="s">
        <v>9</v>
      </c>
      <c r="F489" t="s">
        <v>11</v>
      </c>
      <c r="G489" t="s">
        <v>18</v>
      </c>
      <c r="H489">
        <v>0.04</v>
      </c>
    </row>
    <row r="490" spans="1:8" x14ac:dyDescent="0.3">
      <c r="A490">
        <v>489</v>
      </c>
      <c r="B490">
        <v>40565</v>
      </c>
      <c r="C490">
        <v>0.41666666666666669</v>
      </c>
      <c r="D490" t="s">
        <v>8</v>
      </c>
      <c r="E490" t="s">
        <v>9</v>
      </c>
      <c r="F490" t="s">
        <v>11</v>
      </c>
      <c r="G490" t="s">
        <v>19</v>
      </c>
      <c r="H490">
        <v>0.04</v>
      </c>
    </row>
    <row r="491" spans="1:8" x14ac:dyDescent="0.3">
      <c r="A491">
        <v>490</v>
      </c>
      <c r="B491">
        <v>40565</v>
      </c>
      <c r="C491">
        <v>0.45833333333333331</v>
      </c>
      <c r="D491" t="s">
        <v>8</v>
      </c>
      <c r="E491" t="s">
        <v>9</v>
      </c>
      <c r="F491" t="s">
        <v>11</v>
      </c>
      <c r="G491" t="s">
        <v>19</v>
      </c>
      <c r="H491">
        <v>0.06</v>
      </c>
    </row>
    <row r="492" spans="1:8" x14ac:dyDescent="0.3">
      <c r="A492">
        <v>491</v>
      </c>
      <c r="B492">
        <v>40565</v>
      </c>
      <c r="C492">
        <v>0.5</v>
      </c>
      <c r="D492" t="s">
        <v>8</v>
      </c>
      <c r="E492" t="s">
        <v>9</v>
      </c>
      <c r="F492" t="s">
        <v>11</v>
      </c>
      <c r="G492" t="s">
        <v>19</v>
      </c>
      <c r="H492">
        <v>0.06</v>
      </c>
    </row>
    <row r="493" spans="1:8" x14ac:dyDescent="0.3">
      <c r="A493">
        <v>492</v>
      </c>
      <c r="B493">
        <v>40565</v>
      </c>
      <c r="C493">
        <v>0.54166666666666663</v>
      </c>
      <c r="D493" t="s">
        <v>8</v>
      </c>
      <c r="E493" t="s">
        <v>9</v>
      </c>
      <c r="F493" t="s">
        <v>11</v>
      </c>
      <c r="G493" t="s">
        <v>18</v>
      </c>
      <c r="H493">
        <v>0.08</v>
      </c>
    </row>
    <row r="494" spans="1:8" x14ac:dyDescent="0.3">
      <c r="A494">
        <v>493</v>
      </c>
      <c r="B494">
        <v>40565</v>
      </c>
      <c r="C494">
        <v>0.58333333333333337</v>
      </c>
      <c r="D494" t="s">
        <v>8</v>
      </c>
      <c r="E494" t="s">
        <v>9</v>
      </c>
      <c r="F494" t="s">
        <v>11</v>
      </c>
      <c r="G494" t="s">
        <v>18</v>
      </c>
      <c r="H494">
        <v>0.1</v>
      </c>
    </row>
    <row r="495" spans="1:8" x14ac:dyDescent="0.3">
      <c r="A495">
        <v>494</v>
      </c>
      <c r="B495">
        <v>40565</v>
      </c>
      <c r="C495">
        <v>0.625</v>
      </c>
      <c r="D495" t="s">
        <v>8</v>
      </c>
      <c r="E495" t="s">
        <v>9</v>
      </c>
      <c r="F495" t="s">
        <v>11</v>
      </c>
      <c r="G495" t="s">
        <v>18</v>
      </c>
      <c r="H495">
        <v>0.12</v>
      </c>
    </row>
    <row r="496" spans="1:8" x14ac:dyDescent="0.3">
      <c r="A496">
        <v>495</v>
      </c>
      <c r="B496">
        <v>40565</v>
      </c>
      <c r="C496">
        <v>0.66666666666666663</v>
      </c>
      <c r="D496" t="s">
        <v>8</v>
      </c>
      <c r="E496" t="s">
        <v>9</v>
      </c>
      <c r="F496" t="s">
        <v>11</v>
      </c>
      <c r="G496" t="s">
        <v>18</v>
      </c>
      <c r="H496">
        <v>0.12</v>
      </c>
    </row>
    <row r="497" spans="1:8" x14ac:dyDescent="0.3">
      <c r="A497">
        <v>496</v>
      </c>
      <c r="B497">
        <v>40565</v>
      </c>
      <c r="C497">
        <v>0.70833333333333337</v>
      </c>
      <c r="D497" t="s">
        <v>8</v>
      </c>
      <c r="E497" t="s">
        <v>9</v>
      </c>
      <c r="F497" t="s">
        <v>11</v>
      </c>
      <c r="G497" t="s">
        <v>18</v>
      </c>
      <c r="H497">
        <v>0.12</v>
      </c>
    </row>
    <row r="498" spans="1:8" x14ac:dyDescent="0.3">
      <c r="A498">
        <v>497</v>
      </c>
      <c r="B498">
        <v>40565</v>
      </c>
      <c r="C498">
        <v>0.75</v>
      </c>
      <c r="D498" t="s">
        <v>8</v>
      </c>
      <c r="E498" t="s">
        <v>9</v>
      </c>
      <c r="F498" t="s">
        <v>11</v>
      </c>
      <c r="G498" t="s">
        <v>18</v>
      </c>
      <c r="H498">
        <v>0.08</v>
      </c>
    </row>
    <row r="499" spans="1:8" x14ac:dyDescent="0.3">
      <c r="A499">
        <v>498</v>
      </c>
      <c r="B499">
        <v>40565</v>
      </c>
      <c r="C499">
        <v>0.79166666666666663</v>
      </c>
      <c r="D499" t="s">
        <v>8</v>
      </c>
      <c r="E499" t="s">
        <v>9</v>
      </c>
      <c r="F499" t="s">
        <v>11</v>
      </c>
      <c r="G499" t="s">
        <v>18</v>
      </c>
      <c r="H499">
        <v>0.08</v>
      </c>
    </row>
    <row r="500" spans="1:8" x14ac:dyDescent="0.3">
      <c r="A500">
        <v>499</v>
      </c>
      <c r="B500">
        <v>40565</v>
      </c>
      <c r="C500">
        <v>0.83333333333333337</v>
      </c>
      <c r="D500" t="s">
        <v>8</v>
      </c>
      <c r="E500" t="s">
        <v>9</v>
      </c>
      <c r="F500" t="s">
        <v>11</v>
      </c>
      <c r="G500" t="s">
        <v>18</v>
      </c>
      <c r="H500">
        <v>0.06</v>
      </c>
    </row>
    <row r="501" spans="1:8" x14ac:dyDescent="0.3">
      <c r="A501">
        <v>500</v>
      </c>
      <c r="B501">
        <v>40565</v>
      </c>
      <c r="C501">
        <v>0.875</v>
      </c>
      <c r="D501" t="s">
        <v>8</v>
      </c>
      <c r="E501" t="s">
        <v>9</v>
      </c>
      <c r="F501" t="s">
        <v>11</v>
      </c>
      <c r="G501" t="s">
        <v>18</v>
      </c>
      <c r="H501">
        <v>0.06</v>
      </c>
    </row>
    <row r="502" spans="1:8" x14ac:dyDescent="0.3">
      <c r="A502">
        <v>501</v>
      </c>
      <c r="B502">
        <v>40565</v>
      </c>
      <c r="C502">
        <v>0.91666666666666663</v>
      </c>
      <c r="D502" t="s">
        <v>8</v>
      </c>
      <c r="E502" t="s">
        <v>9</v>
      </c>
      <c r="F502" t="s">
        <v>11</v>
      </c>
      <c r="G502" t="s">
        <v>18</v>
      </c>
      <c r="H502">
        <v>0.06</v>
      </c>
    </row>
    <row r="503" spans="1:8" x14ac:dyDescent="0.3">
      <c r="A503">
        <v>502</v>
      </c>
      <c r="B503">
        <v>40565</v>
      </c>
      <c r="C503">
        <v>0.95833333333333337</v>
      </c>
      <c r="D503" t="s">
        <v>8</v>
      </c>
      <c r="E503" t="s">
        <v>9</v>
      </c>
      <c r="F503" t="s">
        <v>11</v>
      </c>
      <c r="G503" t="s">
        <v>18</v>
      </c>
      <c r="H503">
        <v>0.04</v>
      </c>
    </row>
    <row r="504" spans="1:8" x14ac:dyDescent="0.3">
      <c r="A504">
        <v>503</v>
      </c>
      <c r="B504">
        <v>40566</v>
      </c>
      <c r="C504">
        <v>0</v>
      </c>
      <c r="D504" t="s">
        <v>8</v>
      </c>
      <c r="E504" t="s">
        <v>9</v>
      </c>
      <c r="F504" t="s">
        <v>12</v>
      </c>
      <c r="G504" t="s">
        <v>18</v>
      </c>
      <c r="H504">
        <v>0.04</v>
      </c>
    </row>
    <row r="505" spans="1:8" x14ac:dyDescent="0.3">
      <c r="A505">
        <v>504</v>
      </c>
      <c r="B505">
        <v>40566</v>
      </c>
      <c r="C505">
        <v>4.1666666666666664E-2</v>
      </c>
      <c r="D505" t="s">
        <v>8</v>
      </c>
      <c r="E505" t="s">
        <v>9</v>
      </c>
      <c r="F505" t="s">
        <v>12</v>
      </c>
      <c r="G505" t="s">
        <v>18</v>
      </c>
      <c r="H505">
        <v>0.04</v>
      </c>
    </row>
    <row r="506" spans="1:8" x14ac:dyDescent="0.3">
      <c r="A506">
        <v>505</v>
      </c>
      <c r="B506">
        <v>40566</v>
      </c>
      <c r="C506">
        <v>8.3333333333333329E-2</v>
      </c>
      <c r="D506" t="s">
        <v>8</v>
      </c>
      <c r="E506" t="s">
        <v>9</v>
      </c>
      <c r="F506" t="s">
        <v>12</v>
      </c>
      <c r="G506" t="s">
        <v>18</v>
      </c>
      <c r="H506">
        <v>0.02</v>
      </c>
    </row>
    <row r="507" spans="1:8" x14ac:dyDescent="0.3">
      <c r="A507">
        <v>506</v>
      </c>
      <c r="B507">
        <v>40566</v>
      </c>
      <c r="C507">
        <v>0.125</v>
      </c>
      <c r="D507" t="s">
        <v>8</v>
      </c>
      <c r="E507" t="s">
        <v>9</v>
      </c>
      <c r="F507" t="s">
        <v>12</v>
      </c>
      <c r="G507" t="s">
        <v>18</v>
      </c>
      <c r="H507">
        <v>0.02</v>
      </c>
    </row>
    <row r="508" spans="1:8" x14ac:dyDescent="0.3">
      <c r="A508">
        <v>507</v>
      </c>
      <c r="B508">
        <v>40566</v>
      </c>
      <c r="C508">
        <v>0.20833333333333334</v>
      </c>
      <c r="D508" t="s">
        <v>8</v>
      </c>
      <c r="E508" t="s">
        <v>9</v>
      </c>
      <c r="F508" t="s">
        <v>12</v>
      </c>
      <c r="G508" t="s">
        <v>19</v>
      </c>
      <c r="H508">
        <v>0.04</v>
      </c>
    </row>
    <row r="509" spans="1:8" x14ac:dyDescent="0.3">
      <c r="A509">
        <v>508</v>
      </c>
      <c r="B509">
        <v>40566</v>
      </c>
      <c r="C509">
        <v>0.25</v>
      </c>
      <c r="D509" t="s">
        <v>8</v>
      </c>
      <c r="E509" t="s">
        <v>9</v>
      </c>
      <c r="F509" t="s">
        <v>12</v>
      </c>
      <c r="G509" t="s">
        <v>19</v>
      </c>
      <c r="H509">
        <v>0.04</v>
      </c>
    </row>
    <row r="510" spans="1:8" x14ac:dyDescent="0.3">
      <c r="A510">
        <v>509</v>
      </c>
      <c r="B510">
        <v>40566</v>
      </c>
      <c r="C510">
        <v>0.29166666666666669</v>
      </c>
      <c r="D510" t="s">
        <v>8</v>
      </c>
      <c r="E510" t="s">
        <v>9</v>
      </c>
      <c r="F510" t="s">
        <v>12</v>
      </c>
      <c r="G510" t="s">
        <v>18</v>
      </c>
      <c r="H510">
        <v>0.08</v>
      </c>
    </row>
    <row r="511" spans="1:8" x14ac:dyDescent="0.3">
      <c r="A511">
        <v>510</v>
      </c>
      <c r="B511">
        <v>40566</v>
      </c>
      <c r="C511">
        <v>0.33333333333333331</v>
      </c>
      <c r="D511" t="s">
        <v>8</v>
      </c>
      <c r="E511" t="s">
        <v>9</v>
      </c>
      <c r="F511" t="s">
        <v>12</v>
      </c>
      <c r="G511" t="s">
        <v>18</v>
      </c>
      <c r="H511">
        <v>0.06</v>
      </c>
    </row>
    <row r="512" spans="1:8" x14ac:dyDescent="0.3">
      <c r="A512">
        <v>511</v>
      </c>
      <c r="B512">
        <v>40566</v>
      </c>
      <c r="C512">
        <v>0.375</v>
      </c>
      <c r="D512" t="s">
        <v>8</v>
      </c>
      <c r="E512" t="s">
        <v>9</v>
      </c>
      <c r="F512" t="s">
        <v>12</v>
      </c>
      <c r="G512" t="s">
        <v>18</v>
      </c>
      <c r="H512">
        <v>0.1</v>
      </c>
    </row>
    <row r="513" spans="1:8" x14ac:dyDescent="0.3">
      <c r="A513">
        <v>512</v>
      </c>
      <c r="B513">
        <v>40566</v>
      </c>
      <c r="C513">
        <v>0.41666666666666669</v>
      </c>
      <c r="D513" t="s">
        <v>8</v>
      </c>
      <c r="E513" t="s">
        <v>9</v>
      </c>
      <c r="F513" t="s">
        <v>12</v>
      </c>
      <c r="G513" t="s">
        <v>18</v>
      </c>
      <c r="H513">
        <v>0.14000000000000001</v>
      </c>
    </row>
    <row r="514" spans="1:8" x14ac:dyDescent="0.3">
      <c r="A514">
        <v>513</v>
      </c>
      <c r="B514">
        <v>40566</v>
      </c>
      <c r="C514">
        <v>0.45833333333333331</v>
      </c>
      <c r="D514" t="s">
        <v>8</v>
      </c>
      <c r="E514" t="s">
        <v>9</v>
      </c>
      <c r="F514" t="s">
        <v>12</v>
      </c>
      <c r="G514" t="s">
        <v>18</v>
      </c>
      <c r="H514">
        <v>0.14000000000000001</v>
      </c>
    </row>
    <row r="515" spans="1:8" x14ac:dyDescent="0.3">
      <c r="A515">
        <v>514</v>
      </c>
      <c r="B515">
        <v>40566</v>
      </c>
      <c r="C515">
        <v>0.5</v>
      </c>
      <c r="D515" t="s">
        <v>8</v>
      </c>
      <c r="E515" t="s">
        <v>9</v>
      </c>
      <c r="F515" t="s">
        <v>12</v>
      </c>
      <c r="G515" t="s">
        <v>18</v>
      </c>
      <c r="H515">
        <v>0.16</v>
      </c>
    </row>
    <row r="516" spans="1:8" x14ac:dyDescent="0.3">
      <c r="A516">
        <v>515</v>
      </c>
      <c r="B516">
        <v>40566</v>
      </c>
      <c r="C516">
        <v>0.54166666666666663</v>
      </c>
      <c r="D516" t="s">
        <v>8</v>
      </c>
      <c r="E516" t="s">
        <v>9</v>
      </c>
      <c r="F516" t="s">
        <v>12</v>
      </c>
      <c r="G516" t="s">
        <v>18</v>
      </c>
      <c r="H516">
        <v>0.14000000000000001</v>
      </c>
    </row>
    <row r="517" spans="1:8" x14ac:dyDescent="0.3">
      <c r="A517">
        <v>516</v>
      </c>
      <c r="B517">
        <v>40566</v>
      </c>
      <c r="C517">
        <v>0.58333333333333337</v>
      </c>
      <c r="D517" t="s">
        <v>8</v>
      </c>
      <c r="E517" t="s">
        <v>9</v>
      </c>
      <c r="F517" t="s">
        <v>12</v>
      </c>
      <c r="G517" t="s">
        <v>18</v>
      </c>
      <c r="H517">
        <v>0.16</v>
      </c>
    </row>
    <row r="518" spans="1:8" x14ac:dyDescent="0.3">
      <c r="A518">
        <v>517</v>
      </c>
      <c r="B518">
        <v>40566</v>
      </c>
      <c r="C518">
        <v>0.625</v>
      </c>
      <c r="D518" t="s">
        <v>8</v>
      </c>
      <c r="E518" t="s">
        <v>9</v>
      </c>
      <c r="F518" t="s">
        <v>12</v>
      </c>
      <c r="G518" t="s">
        <v>18</v>
      </c>
      <c r="H518">
        <v>0.16</v>
      </c>
    </row>
    <row r="519" spans="1:8" x14ac:dyDescent="0.3">
      <c r="A519">
        <v>518</v>
      </c>
      <c r="B519">
        <v>40566</v>
      </c>
      <c r="C519">
        <v>0.66666666666666663</v>
      </c>
      <c r="D519" t="s">
        <v>8</v>
      </c>
      <c r="E519" t="s">
        <v>9</v>
      </c>
      <c r="F519" t="s">
        <v>12</v>
      </c>
      <c r="G519" t="s">
        <v>18</v>
      </c>
      <c r="H519">
        <v>0.16</v>
      </c>
    </row>
    <row r="520" spans="1:8" x14ac:dyDescent="0.3">
      <c r="A520">
        <v>519</v>
      </c>
      <c r="B520">
        <v>40566</v>
      </c>
      <c r="C520">
        <v>0.70833333333333337</v>
      </c>
      <c r="D520" t="s">
        <v>8</v>
      </c>
      <c r="E520" t="s">
        <v>9</v>
      </c>
      <c r="F520" t="s">
        <v>12</v>
      </c>
      <c r="G520" t="s">
        <v>18</v>
      </c>
      <c r="H520">
        <v>0.14000000000000001</v>
      </c>
    </row>
    <row r="521" spans="1:8" x14ac:dyDescent="0.3">
      <c r="A521">
        <v>520</v>
      </c>
      <c r="B521">
        <v>40566</v>
      </c>
      <c r="C521">
        <v>0.75</v>
      </c>
      <c r="D521" t="s">
        <v>8</v>
      </c>
      <c r="E521" t="s">
        <v>9</v>
      </c>
      <c r="F521" t="s">
        <v>12</v>
      </c>
      <c r="G521" t="s">
        <v>18</v>
      </c>
      <c r="H521">
        <v>0.12</v>
      </c>
    </row>
    <row r="522" spans="1:8" x14ac:dyDescent="0.3">
      <c r="A522">
        <v>521</v>
      </c>
      <c r="B522">
        <v>40566</v>
      </c>
      <c r="C522">
        <v>0.79166666666666663</v>
      </c>
      <c r="D522" t="s">
        <v>8</v>
      </c>
      <c r="E522" t="s">
        <v>9</v>
      </c>
      <c r="F522" t="s">
        <v>12</v>
      </c>
      <c r="G522" t="s">
        <v>18</v>
      </c>
      <c r="H522">
        <v>0.12</v>
      </c>
    </row>
    <row r="523" spans="1:8" x14ac:dyDescent="0.3">
      <c r="A523">
        <v>522</v>
      </c>
      <c r="B523">
        <v>40566</v>
      </c>
      <c r="C523">
        <v>0.83333333333333337</v>
      </c>
      <c r="D523" t="s">
        <v>8</v>
      </c>
      <c r="E523" t="s">
        <v>9</v>
      </c>
      <c r="F523" t="s">
        <v>12</v>
      </c>
      <c r="G523" t="s">
        <v>18</v>
      </c>
      <c r="H523">
        <v>0.1</v>
      </c>
    </row>
    <row r="524" spans="1:8" x14ac:dyDescent="0.3">
      <c r="A524">
        <v>523</v>
      </c>
      <c r="B524">
        <v>40566</v>
      </c>
      <c r="C524">
        <v>0.875</v>
      </c>
      <c r="D524" t="s">
        <v>8</v>
      </c>
      <c r="E524" t="s">
        <v>9</v>
      </c>
      <c r="F524" t="s">
        <v>12</v>
      </c>
      <c r="G524" t="s">
        <v>18</v>
      </c>
      <c r="H524">
        <v>0.1</v>
      </c>
    </row>
    <row r="525" spans="1:8" x14ac:dyDescent="0.3">
      <c r="A525">
        <v>524</v>
      </c>
      <c r="B525">
        <v>40566</v>
      </c>
      <c r="C525">
        <v>0.91666666666666663</v>
      </c>
      <c r="D525" t="s">
        <v>8</v>
      </c>
      <c r="E525" t="s">
        <v>9</v>
      </c>
      <c r="F525" t="s">
        <v>12</v>
      </c>
      <c r="G525" t="s">
        <v>18</v>
      </c>
      <c r="H525">
        <v>0.08</v>
      </c>
    </row>
    <row r="526" spans="1:8" x14ac:dyDescent="0.3">
      <c r="A526">
        <v>525</v>
      </c>
      <c r="B526">
        <v>40566</v>
      </c>
      <c r="C526">
        <v>0.95833333333333337</v>
      </c>
      <c r="D526" t="s">
        <v>8</v>
      </c>
      <c r="E526" t="s">
        <v>9</v>
      </c>
      <c r="F526" t="s">
        <v>12</v>
      </c>
      <c r="G526" t="s">
        <v>18</v>
      </c>
      <c r="H526">
        <v>0.06</v>
      </c>
    </row>
    <row r="527" spans="1:8" x14ac:dyDescent="0.3">
      <c r="A527">
        <v>526</v>
      </c>
      <c r="B527">
        <v>40567</v>
      </c>
      <c r="C527">
        <v>0</v>
      </c>
      <c r="D527" t="s">
        <v>8</v>
      </c>
      <c r="E527" t="s">
        <v>9</v>
      </c>
      <c r="F527" t="s">
        <v>13</v>
      </c>
      <c r="G527" t="s">
        <v>18</v>
      </c>
      <c r="H527">
        <v>0.06</v>
      </c>
    </row>
    <row r="528" spans="1:8" x14ac:dyDescent="0.3">
      <c r="A528">
        <v>527</v>
      </c>
      <c r="B528">
        <v>40567</v>
      </c>
      <c r="C528">
        <v>4.1666666666666664E-2</v>
      </c>
      <c r="D528" t="s">
        <v>8</v>
      </c>
      <c r="E528" t="s">
        <v>9</v>
      </c>
      <c r="F528" t="s">
        <v>13</v>
      </c>
      <c r="G528" t="s">
        <v>18</v>
      </c>
      <c r="H528">
        <v>0.04</v>
      </c>
    </row>
    <row r="529" spans="1:8" x14ac:dyDescent="0.3">
      <c r="A529">
        <v>528</v>
      </c>
      <c r="B529">
        <v>40567</v>
      </c>
      <c r="C529">
        <v>0.125</v>
      </c>
      <c r="D529" t="s">
        <v>8</v>
      </c>
      <c r="E529" t="s">
        <v>9</v>
      </c>
      <c r="F529" t="s">
        <v>13</v>
      </c>
      <c r="G529" t="s">
        <v>18</v>
      </c>
      <c r="H529">
        <v>0.04</v>
      </c>
    </row>
    <row r="530" spans="1:8" x14ac:dyDescent="0.3">
      <c r="A530">
        <v>529</v>
      </c>
      <c r="B530">
        <v>40567</v>
      </c>
      <c r="C530">
        <v>0.16666666666666666</v>
      </c>
      <c r="D530" t="s">
        <v>8</v>
      </c>
      <c r="E530" t="s">
        <v>9</v>
      </c>
      <c r="F530" t="s">
        <v>13</v>
      </c>
      <c r="G530" t="s">
        <v>18</v>
      </c>
      <c r="H530">
        <v>0.02</v>
      </c>
    </row>
    <row r="531" spans="1:8" x14ac:dyDescent="0.3">
      <c r="A531">
        <v>530</v>
      </c>
      <c r="B531">
        <v>40567</v>
      </c>
      <c r="C531">
        <v>0.20833333333333334</v>
      </c>
      <c r="D531" t="s">
        <v>8</v>
      </c>
      <c r="E531" t="s">
        <v>9</v>
      </c>
      <c r="F531" t="s">
        <v>13</v>
      </c>
      <c r="G531" t="s">
        <v>18</v>
      </c>
      <c r="H531">
        <v>0.02</v>
      </c>
    </row>
    <row r="532" spans="1:8" x14ac:dyDescent="0.3">
      <c r="A532">
        <v>531</v>
      </c>
      <c r="B532">
        <v>40567</v>
      </c>
      <c r="C532">
        <v>0.25</v>
      </c>
      <c r="D532" t="s">
        <v>8</v>
      </c>
      <c r="E532" t="s">
        <v>9</v>
      </c>
      <c r="F532" t="s">
        <v>13</v>
      </c>
      <c r="G532" t="s">
        <v>18</v>
      </c>
      <c r="H532">
        <v>0.02</v>
      </c>
    </row>
    <row r="533" spans="1:8" x14ac:dyDescent="0.3">
      <c r="A533">
        <v>532</v>
      </c>
      <c r="B533">
        <v>40567</v>
      </c>
      <c r="C533">
        <v>0.29166666666666669</v>
      </c>
      <c r="D533" t="s">
        <v>8</v>
      </c>
      <c r="E533" t="s">
        <v>9</v>
      </c>
      <c r="F533" t="s">
        <v>13</v>
      </c>
      <c r="G533" t="s">
        <v>18</v>
      </c>
      <c r="H533">
        <v>0.02</v>
      </c>
    </row>
    <row r="534" spans="1:8" x14ac:dyDescent="0.3">
      <c r="A534">
        <v>533</v>
      </c>
      <c r="B534">
        <v>40567</v>
      </c>
      <c r="C534">
        <v>0.33333333333333331</v>
      </c>
      <c r="D534" t="s">
        <v>8</v>
      </c>
      <c r="E534" t="s">
        <v>9</v>
      </c>
      <c r="F534" t="s">
        <v>13</v>
      </c>
      <c r="G534" t="s">
        <v>18</v>
      </c>
      <c r="H534">
        <v>0.04</v>
      </c>
    </row>
    <row r="535" spans="1:8" x14ac:dyDescent="0.3">
      <c r="A535">
        <v>534</v>
      </c>
      <c r="B535">
        <v>40567</v>
      </c>
      <c r="C535">
        <v>0.375</v>
      </c>
      <c r="D535" t="s">
        <v>8</v>
      </c>
      <c r="E535" t="s">
        <v>9</v>
      </c>
      <c r="F535" t="s">
        <v>13</v>
      </c>
      <c r="G535" t="s">
        <v>18</v>
      </c>
      <c r="H535">
        <v>0.06</v>
      </c>
    </row>
    <row r="536" spans="1:8" x14ac:dyDescent="0.3">
      <c r="A536">
        <v>535</v>
      </c>
      <c r="B536">
        <v>40567</v>
      </c>
      <c r="C536">
        <v>0.41666666666666669</v>
      </c>
      <c r="D536" t="s">
        <v>8</v>
      </c>
      <c r="E536" t="s">
        <v>9</v>
      </c>
      <c r="F536" t="s">
        <v>13</v>
      </c>
      <c r="G536" t="s">
        <v>18</v>
      </c>
      <c r="H536">
        <v>0.1</v>
      </c>
    </row>
    <row r="537" spans="1:8" x14ac:dyDescent="0.3">
      <c r="A537">
        <v>536</v>
      </c>
      <c r="B537">
        <v>40567</v>
      </c>
      <c r="C537">
        <v>0.45833333333333331</v>
      </c>
      <c r="D537" t="s">
        <v>8</v>
      </c>
      <c r="E537" t="s">
        <v>9</v>
      </c>
      <c r="F537" t="s">
        <v>13</v>
      </c>
      <c r="G537" t="s">
        <v>18</v>
      </c>
      <c r="H537">
        <v>0.1</v>
      </c>
    </row>
    <row r="538" spans="1:8" x14ac:dyDescent="0.3">
      <c r="A538">
        <v>537</v>
      </c>
      <c r="B538">
        <v>40567</v>
      </c>
      <c r="C538">
        <v>0.5</v>
      </c>
      <c r="D538" t="s">
        <v>8</v>
      </c>
      <c r="E538" t="s">
        <v>9</v>
      </c>
      <c r="F538" t="s">
        <v>13</v>
      </c>
      <c r="G538" t="s">
        <v>19</v>
      </c>
      <c r="H538">
        <v>0.12</v>
      </c>
    </row>
    <row r="539" spans="1:8" x14ac:dyDescent="0.3">
      <c r="A539">
        <v>538</v>
      </c>
      <c r="B539">
        <v>40567</v>
      </c>
      <c r="C539">
        <v>0.54166666666666663</v>
      </c>
      <c r="D539" t="s">
        <v>8</v>
      </c>
      <c r="E539" t="s">
        <v>9</v>
      </c>
      <c r="F539" t="s">
        <v>13</v>
      </c>
      <c r="G539" t="s">
        <v>19</v>
      </c>
      <c r="H539">
        <v>0.14000000000000001</v>
      </c>
    </row>
    <row r="540" spans="1:8" x14ac:dyDescent="0.3">
      <c r="A540">
        <v>539</v>
      </c>
      <c r="B540">
        <v>40567</v>
      </c>
      <c r="C540">
        <v>0.58333333333333337</v>
      </c>
      <c r="D540" t="s">
        <v>8</v>
      </c>
      <c r="E540" t="s">
        <v>9</v>
      </c>
      <c r="F540" t="s">
        <v>13</v>
      </c>
      <c r="G540" t="s">
        <v>19</v>
      </c>
      <c r="H540">
        <v>0.14000000000000001</v>
      </c>
    </row>
    <row r="541" spans="1:8" x14ac:dyDescent="0.3">
      <c r="A541">
        <v>540</v>
      </c>
      <c r="B541">
        <v>40567</v>
      </c>
      <c r="C541">
        <v>0.625</v>
      </c>
      <c r="D541" t="s">
        <v>8</v>
      </c>
      <c r="E541" t="s">
        <v>9</v>
      </c>
      <c r="F541" t="s">
        <v>13</v>
      </c>
      <c r="G541" t="s">
        <v>18</v>
      </c>
      <c r="H541">
        <v>0.16</v>
      </c>
    </row>
    <row r="542" spans="1:8" x14ac:dyDescent="0.3">
      <c r="A542">
        <v>541</v>
      </c>
      <c r="B542">
        <v>40567</v>
      </c>
      <c r="C542">
        <v>0.66666666666666663</v>
      </c>
      <c r="D542" t="s">
        <v>8</v>
      </c>
      <c r="E542" t="s">
        <v>9</v>
      </c>
      <c r="F542" t="s">
        <v>13</v>
      </c>
      <c r="G542" t="s">
        <v>18</v>
      </c>
      <c r="H542">
        <v>0.16</v>
      </c>
    </row>
    <row r="543" spans="1:8" x14ac:dyDescent="0.3">
      <c r="A543">
        <v>542</v>
      </c>
      <c r="B543">
        <v>40567</v>
      </c>
      <c r="C543">
        <v>0.70833333333333337</v>
      </c>
      <c r="D543" t="s">
        <v>8</v>
      </c>
      <c r="E543" t="s">
        <v>9</v>
      </c>
      <c r="F543" t="s">
        <v>13</v>
      </c>
      <c r="G543" t="s">
        <v>18</v>
      </c>
      <c r="H543">
        <v>0.14000000000000001</v>
      </c>
    </row>
    <row r="544" spans="1:8" x14ac:dyDescent="0.3">
      <c r="A544">
        <v>543</v>
      </c>
      <c r="B544">
        <v>40567</v>
      </c>
      <c r="C544">
        <v>0.75</v>
      </c>
      <c r="D544" t="s">
        <v>8</v>
      </c>
      <c r="E544" t="s">
        <v>9</v>
      </c>
      <c r="F544" t="s">
        <v>13</v>
      </c>
      <c r="G544" t="s">
        <v>18</v>
      </c>
      <c r="H544">
        <v>0.14000000000000001</v>
      </c>
    </row>
    <row r="545" spans="1:8" x14ac:dyDescent="0.3">
      <c r="A545">
        <v>544</v>
      </c>
      <c r="B545">
        <v>40567</v>
      </c>
      <c r="C545">
        <v>0.79166666666666663</v>
      </c>
      <c r="D545" t="s">
        <v>8</v>
      </c>
      <c r="E545" t="s">
        <v>9</v>
      </c>
      <c r="F545" t="s">
        <v>13</v>
      </c>
      <c r="G545" t="s">
        <v>18</v>
      </c>
      <c r="H545">
        <v>0.14000000000000001</v>
      </c>
    </row>
    <row r="546" spans="1:8" x14ac:dyDescent="0.3">
      <c r="A546">
        <v>545</v>
      </c>
      <c r="B546">
        <v>40567</v>
      </c>
      <c r="C546">
        <v>0.83333333333333337</v>
      </c>
      <c r="D546" t="s">
        <v>8</v>
      </c>
      <c r="E546" t="s">
        <v>9</v>
      </c>
      <c r="F546" t="s">
        <v>13</v>
      </c>
      <c r="G546" t="s">
        <v>18</v>
      </c>
      <c r="H546">
        <v>0.14000000000000001</v>
      </c>
    </row>
    <row r="547" spans="1:8" x14ac:dyDescent="0.3">
      <c r="A547">
        <v>546</v>
      </c>
      <c r="B547">
        <v>40567</v>
      </c>
      <c r="C547">
        <v>0.875</v>
      </c>
      <c r="D547" t="s">
        <v>8</v>
      </c>
      <c r="E547" t="s">
        <v>9</v>
      </c>
      <c r="F547" t="s">
        <v>13</v>
      </c>
      <c r="G547" t="s">
        <v>18</v>
      </c>
      <c r="H547">
        <v>0.14000000000000001</v>
      </c>
    </row>
    <row r="548" spans="1:8" x14ac:dyDescent="0.3">
      <c r="A548">
        <v>547</v>
      </c>
      <c r="B548">
        <v>40567</v>
      </c>
      <c r="C548">
        <v>0.91666666666666663</v>
      </c>
      <c r="D548" t="s">
        <v>8</v>
      </c>
      <c r="E548" t="s">
        <v>9</v>
      </c>
      <c r="F548" t="s">
        <v>13</v>
      </c>
      <c r="G548" t="s">
        <v>19</v>
      </c>
      <c r="H548">
        <v>0.14000000000000001</v>
      </c>
    </row>
    <row r="549" spans="1:8" x14ac:dyDescent="0.3">
      <c r="A549">
        <v>548</v>
      </c>
      <c r="B549">
        <v>40567</v>
      </c>
      <c r="C549">
        <v>0.95833333333333337</v>
      </c>
      <c r="D549" t="s">
        <v>8</v>
      </c>
      <c r="E549" t="s">
        <v>9</v>
      </c>
      <c r="F549" t="s">
        <v>13</v>
      </c>
      <c r="G549" t="s">
        <v>19</v>
      </c>
      <c r="H549">
        <v>0.16</v>
      </c>
    </row>
    <row r="550" spans="1:8" x14ac:dyDescent="0.3">
      <c r="A550">
        <v>549</v>
      </c>
      <c r="B550">
        <v>40568</v>
      </c>
      <c r="C550">
        <v>0</v>
      </c>
      <c r="D550" t="s">
        <v>8</v>
      </c>
      <c r="E550" t="s">
        <v>9</v>
      </c>
      <c r="F550" t="s">
        <v>14</v>
      </c>
      <c r="G550" t="s">
        <v>19</v>
      </c>
      <c r="H550">
        <v>0.16</v>
      </c>
    </row>
    <row r="551" spans="1:8" x14ac:dyDescent="0.3">
      <c r="A551">
        <v>550</v>
      </c>
      <c r="B551">
        <v>40568</v>
      </c>
      <c r="C551">
        <v>4.1666666666666664E-2</v>
      </c>
      <c r="D551" t="s">
        <v>8</v>
      </c>
      <c r="E551" t="s">
        <v>9</v>
      </c>
      <c r="F551" t="s">
        <v>14</v>
      </c>
      <c r="G551" t="s">
        <v>19</v>
      </c>
      <c r="H551">
        <v>0.16</v>
      </c>
    </row>
    <row r="552" spans="1:8" x14ac:dyDescent="0.3">
      <c r="A552">
        <v>551</v>
      </c>
      <c r="B552">
        <v>40568</v>
      </c>
      <c r="C552">
        <v>8.3333333333333329E-2</v>
      </c>
      <c r="D552" t="s">
        <v>8</v>
      </c>
      <c r="E552" t="s">
        <v>9</v>
      </c>
      <c r="F552" t="s">
        <v>14</v>
      </c>
      <c r="G552" t="s">
        <v>18</v>
      </c>
      <c r="H552">
        <v>0.16</v>
      </c>
    </row>
    <row r="553" spans="1:8" x14ac:dyDescent="0.3">
      <c r="A553">
        <v>552</v>
      </c>
      <c r="B553">
        <v>40568</v>
      </c>
      <c r="C553">
        <v>0.16666666666666666</v>
      </c>
      <c r="D553" t="s">
        <v>8</v>
      </c>
      <c r="E553" t="s">
        <v>9</v>
      </c>
      <c r="F553" t="s">
        <v>14</v>
      </c>
      <c r="G553" t="s">
        <v>18</v>
      </c>
      <c r="H553">
        <v>0.14000000000000001</v>
      </c>
    </row>
    <row r="554" spans="1:8" x14ac:dyDescent="0.3">
      <c r="A554">
        <v>553</v>
      </c>
      <c r="B554">
        <v>40568</v>
      </c>
      <c r="C554">
        <v>0.20833333333333334</v>
      </c>
      <c r="D554" t="s">
        <v>8</v>
      </c>
      <c r="E554" t="s">
        <v>9</v>
      </c>
      <c r="F554" t="s">
        <v>14</v>
      </c>
      <c r="G554" t="s">
        <v>18</v>
      </c>
      <c r="H554">
        <v>0.14000000000000001</v>
      </c>
    </row>
    <row r="555" spans="1:8" x14ac:dyDescent="0.3">
      <c r="A555">
        <v>554</v>
      </c>
      <c r="B555">
        <v>40568</v>
      </c>
      <c r="C555">
        <v>0.25</v>
      </c>
      <c r="D555" t="s">
        <v>8</v>
      </c>
      <c r="E555" t="s">
        <v>9</v>
      </c>
      <c r="F555" t="s">
        <v>14</v>
      </c>
      <c r="G555" t="s">
        <v>18</v>
      </c>
      <c r="H555">
        <v>0.16</v>
      </c>
    </row>
    <row r="556" spans="1:8" x14ac:dyDescent="0.3">
      <c r="A556">
        <v>555</v>
      </c>
      <c r="B556">
        <v>40568</v>
      </c>
      <c r="C556">
        <v>0.29166666666666669</v>
      </c>
      <c r="D556" t="s">
        <v>8</v>
      </c>
      <c r="E556" t="s">
        <v>9</v>
      </c>
      <c r="F556" t="s">
        <v>14</v>
      </c>
      <c r="G556" t="s">
        <v>18</v>
      </c>
      <c r="H556">
        <v>0.16</v>
      </c>
    </row>
    <row r="557" spans="1:8" x14ac:dyDescent="0.3">
      <c r="A557">
        <v>556</v>
      </c>
      <c r="B557">
        <v>40568</v>
      </c>
      <c r="C557">
        <v>0.33333333333333331</v>
      </c>
      <c r="D557" t="s">
        <v>8</v>
      </c>
      <c r="E557" t="s">
        <v>9</v>
      </c>
      <c r="F557" t="s">
        <v>14</v>
      </c>
      <c r="G557" t="s">
        <v>19</v>
      </c>
      <c r="H557">
        <v>0.16</v>
      </c>
    </row>
    <row r="558" spans="1:8" x14ac:dyDescent="0.3">
      <c r="A558">
        <v>557</v>
      </c>
      <c r="B558">
        <v>40568</v>
      </c>
      <c r="C558">
        <v>0.375</v>
      </c>
      <c r="D558" t="s">
        <v>8</v>
      </c>
      <c r="E558" t="s">
        <v>9</v>
      </c>
      <c r="F558" t="s">
        <v>14</v>
      </c>
      <c r="G558" t="s">
        <v>19</v>
      </c>
      <c r="H558">
        <v>0.2</v>
      </c>
    </row>
    <row r="559" spans="1:8" x14ac:dyDescent="0.3">
      <c r="A559">
        <v>558</v>
      </c>
      <c r="B559">
        <v>40568</v>
      </c>
      <c r="C559">
        <v>0.41666666666666669</v>
      </c>
      <c r="D559" t="s">
        <v>8</v>
      </c>
      <c r="E559" t="s">
        <v>9</v>
      </c>
      <c r="F559" t="s">
        <v>14</v>
      </c>
      <c r="G559" t="s">
        <v>19</v>
      </c>
      <c r="H559">
        <v>0.22</v>
      </c>
    </row>
    <row r="560" spans="1:8" x14ac:dyDescent="0.3">
      <c r="A560">
        <v>559</v>
      </c>
      <c r="B560">
        <v>40568</v>
      </c>
      <c r="C560">
        <v>0.45833333333333331</v>
      </c>
      <c r="D560" t="s">
        <v>8</v>
      </c>
      <c r="E560" t="s">
        <v>9</v>
      </c>
      <c r="F560" t="s">
        <v>14</v>
      </c>
      <c r="G560" t="s">
        <v>19</v>
      </c>
      <c r="H560">
        <v>0.24</v>
      </c>
    </row>
    <row r="561" spans="1:8" x14ac:dyDescent="0.3">
      <c r="A561">
        <v>560</v>
      </c>
      <c r="B561">
        <v>40568</v>
      </c>
      <c r="C561">
        <v>0.5</v>
      </c>
      <c r="D561" t="s">
        <v>8</v>
      </c>
      <c r="E561" t="s">
        <v>9</v>
      </c>
      <c r="F561" t="s">
        <v>14</v>
      </c>
      <c r="G561" t="s">
        <v>19</v>
      </c>
      <c r="H561">
        <v>0.26</v>
      </c>
    </row>
    <row r="562" spans="1:8" x14ac:dyDescent="0.3">
      <c r="A562">
        <v>561</v>
      </c>
      <c r="B562">
        <v>40568</v>
      </c>
      <c r="C562">
        <v>0.54166666666666663</v>
      </c>
      <c r="D562" t="s">
        <v>8</v>
      </c>
      <c r="E562" t="s">
        <v>9</v>
      </c>
      <c r="F562" t="s">
        <v>14</v>
      </c>
      <c r="G562" t="s">
        <v>19</v>
      </c>
      <c r="H562">
        <v>0.26</v>
      </c>
    </row>
    <row r="563" spans="1:8" x14ac:dyDescent="0.3">
      <c r="A563">
        <v>562</v>
      </c>
      <c r="B563">
        <v>40568</v>
      </c>
      <c r="C563">
        <v>0.58333333333333337</v>
      </c>
      <c r="D563" t="s">
        <v>8</v>
      </c>
      <c r="E563" t="s">
        <v>9</v>
      </c>
      <c r="F563" t="s">
        <v>14</v>
      </c>
      <c r="G563" t="s">
        <v>19</v>
      </c>
      <c r="H563">
        <v>0.3</v>
      </c>
    </row>
    <row r="564" spans="1:8" x14ac:dyDescent="0.3">
      <c r="A564">
        <v>563</v>
      </c>
      <c r="B564">
        <v>40568</v>
      </c>
      <c r="C564">
        <v>0.625</v>
      </c>
      <c r="D564" t="s">
        <v>8</v>
      </c>
      <c r="E564" t="s">
        <v>9</v>
      </c>
      <c r="F564" t="s">
        <v>14</v>
      </c>
      <c r="G564" t="s">
        <v>19</v>
      </c>
      <c r="H564">
        <v>0.32</v>
      </c>
    </row>
    <row r="565" spans="1:8" x14ac:dyDescent="0.3">
      <c r="A565">
        <v>564</v>
      </c>
      <c r="B565">
        <v>40568</v>
      </c>
      <c r="C565">
        <v>0.66666666666666663</v>
      </c>
      <c r="D565" t="s">
        <v>8</v>
      </c>
      <c r="E565" t="s">
        <v>9</v>
      </c>
      <c r="F565" t="s">
        <v>14</v>
      </c>
      <c r="G565" t="s">
        <v>19</v>
      </c>
      <c r="H565">
        <v>0.32</v>
      </c>
    </row>
    <row r="566" spans="1:8" x14ac:dyDescent="0.3">
      <c r="A566">
        <v>565</v>
      </c>
      <c r="B566">
        <v>40568</v>
      </c>
      <c r="C566">
        <v>0.70833333333333337</v>
      </c>
      <c r="D566" t="s">
        <v>8</v>
      </c>
      <c r="E566" t="s">
        <v>9</v>
      </c>
      <c r="F566" t="s">
        <v>14</v>
      </c>
      <c r="G566" t="s">
        <v>18</v>
      </c>
      <c r="H566">
        <v>0.3</v>
      </c>
    </row>
    <row r="567" spans="1:8" x14ac:dyDescent="0.3">
      <c r="A567">
        <v>566</v>
      </c>
      <c r="B567">
        <v>40568</v>
      </c>
      <c r="C567">
        <v>0.75</v>
      </c>
      <c r="D567" t="s">
        <v>8</v>
      </c>
      <c r="E567" t="s">
        <v>9</v>
      </c>
      <c r="F567" t="s">
        <v>14</v>
      </c>
      <c r="G567" t="s">
        <v>19</v>
      </c>
      <c r="H567">
        <v>0.3</v>
      </c>
    </row>
    <row r="568" spans="1:8" x14ac:dyDescent="0.3">
      <c r="A568">
        <v>567</v>
      </c>
      <c r="B568">
        <v>40568</v>
      </c>
      <c r="C568">
        <v>0.79166666666666663</v>
      </c>
      <c r="D568" t="s">
        <v>8</v>
      </c>
      <c r="E568" t="s">
        <v>9</v>
      </c>
      <c r="F568" t="s">
        <v>14</v>
      </c>
      <c r="G568" t="s">
        <v>19</v>
      </c>
      <c r="H568">
        <v>0.26</v>
      </c>
    </row>
    <row r="569" spans="1:8" x14ac:dyDescent="0.3">
      <c r="A569">
        <v>568</v>
      </c>
      <c r="B569">
        <v>40568</v>
      </c>
      <c r="C569">
        <v>0.83333333333333337</v>
      </c>
      <c r="D569" t="s">
        <v>8</v>
      </c>
      <c r="E569" t="s">
        <v>9</v>
      </c>
      <c r="F569" t="s">
        <v>14</v>
      </c>
      <c r="G569" t="s">
        <v>18</v>
      </c>
      <c r="H569">
        <v>0.24</v>
      </c>
    </row>
    <row r="570" spans="1:8" x14ac:dyDescent="0.3">
      <c r="A570">
        <v>569</v>
      </c>
      <c r="B570">
        <v>40568</v>
      </c>
      <c r="C570">
        <v>0.875</v>
      </c>
      <c r="D570" t="s">
        <v>8</v>
      </c>
      <c r="E570" t="s">
        <v>9</v>
      </c>
      <c r="F570" t="s">
        <v>14</v>
      </c>
      <c r="G570" t="s">
        <v>18</v>
      </c>
      <c r="H570">
        <v>0.24</v>
      </c>
    </row>
    <row r="571" spans="1:8" x14ac:dyDescent="0.3">
      <c r="A571">
        <v>570</v>
      </c>
      <c r="B571">
        <v>40568</v>
      </c>
      <c r="C571">
        <v>0.91666666666666663</v>
      </c>
      <c r="D571" t="s">
        <v>8</v>
      </c>
      <c r="E571" t="s">
        <v>9</v>
      </c>
      <c r="F571" t="s">
        <v>14</v>
      </c>
      <c r="G571" t="s">
        <v>18</v>
      </c>
      <c r="H571">
        <v>0.22</v>
      </c>
    </row>
    <row r="572" spans="1:8" x14ac:dyDescent="0.3">
      <c r="A572">
        <v>571</v>
      </c>
      <c r="B572">
        <v>40568</v>
      </c>
      <c r="C572">
        <v>0.95833333333333337</v>
      </c>
      <c r="D572" t="s">
        <v>8</v>
      </c>
      <c r="E572" t="s">
        <v>9</v>
      </c>
      <c r="F572" t="s">
        <v>14</v>
      </c>
      <c r="G572" t="s">
        <v>19</v>
      </c>
      <c r="H572">
        <v>0.22</v>
      </c>
    </row>
    <row r="573" spans="1:8" x14ac:dyDescent="0.3">
      <c r="A573">
        <v>572</v>
      </c>
      <c r="B573">
        <v>40569</v>
      </c>
      <c r="C573">
        <v>0</v>
      </c>
      <c r="D573" t="s">
        <v>8</v>
      </c>
      <c r="E573" t="s">
        <v>9</v>
      </c>
      <c r="F573" t="s">
        <v>15</v>
      </c>
      <c r="G573" t="s">
        <v>19</v>
      </c>
      <c r="H573">
        <v>0.22</v>
      </c>
    </row>
    <row r="574" spans="1:8" x14ac:dyDescent="0.3">
      <c r="A574">
        <v>573</v>
      </c>
      <c r="B574">
        <v>40569</v>
      </c>
      <c r="C574">
        <v>4.1666666666666664E-2</v>
      </c>
      <c r="D574" t="s">
        <v>8</v>
      </c>
      <c r="E574" t="s">
        <v>9</v>
      </c>
      <c r="F574" t="s">
        <v>15</v>
      </c>
      <c r="G574" t="s">
        <v>19</v>
      </c>
      <c r="H574">
        <v>0.24</v>
      </c>
    </row>
    <row r="575" spans="1:8" x14ac:dyDescent="0.3">
      <c r="A575">
        <v>574</v>
      </c>
      <c r="B575">
        <v>40569</v>
      </c>
      <c r="C575">
        <v>8.3333333333333329E-2</v>
      </c>
      <c r="D575" t="s">
        <v>8</v>
      </c>
      <c r="E575" t="s">
        <v>9</v>
      </c>
      <c r="F575" t="s">
        <v>15</v>
      </c>
      <c r="G575" t="s">
        <v>20</v>
      </c>
      <c r="H575">
        <v>0.22</v>
      </c>
    </row>
    <row r="576" spans="1:8" x14ac:dyDescent="0.3">
      <c r="A576">
        <v>575</v>
      </c>
      <c r="B576">
        <v>40569</v>
      </c>
      <c r="C576">
        <v>0.20833333333333334</v>
      </c>
      <c r="D576" t="s">
        <v>8</v>
      </c>
      <c r="E576" t="s">
        <v>9</v>
      </c>
      <c r="F576" t="s">
        <v>15</v>
      </c>
      <c r="G576" t="s">
        <v>20</v>
      </c>
      <c r="H576">
        <v>0.2</v>
      </c>
    </row>
    <row r="577" spans="1:8" x14ac:dyDescent="0.3">
      <c r="A577">
        <v>576</v>
      </c>
      <c r="B577">
        <v>40569</v>
      </c>
      <c r="C577">
        <v>0.25</v>
      </c>
      <c r="D577" t="s">
        <v>8</v>
      </c>
      <c r="E577" t="s">
        <v>9</v>
      </c>
      <c r="F577" t="s">
        <v>15</v>
      </c>
      <c r="G577" t="s">
        <v>20</v>
      </c>
      <c r="H577">
        <v>0.2</v>
      </c>
    </row>
    <row r="578" spans="1:8" x14ac:dyDescent="0.3">
      <c r="A578">
        <v>577</v>
      </c>
      <c r="B578">
        <v>40569</v>
      </c>
      <c r="C578">
        <v>0.29166666666666669</v>
      </c>
      <c r="D578" t="s">
        <v>8</v>
      </c>
      <c r="E578" t="s">
        <v>9</v>
      </c>
      <c r="F578" t="s">
        <v>15</v>
      </c>
      <c r="G578" t="s">
        <v>20</v>
      </c>
      <c r="H578">
        <v>0.22</v>
      </c>
    </row>
    <row r="579" spans="1:8" x14ac:dyDescent="0.3">
      <c r="A579">
        <v>578</v>
      </c>
      <c r="B579">
        <v>40569</v>
      </c>
      <c r="C579">
        <v>0.33333333333333331</v>
      </c>
      <c r="D579" t="s">
        <v>8</v>
      </c>
      <c r="E579" t="s">
        <v>9</v>
      </c>
      <c r="F579" t="s">
        <v>15</v>
      </c>
      <c r="G579" t="s">
        <v>20</v>
      </c>
      <c r="H579">
        <v>0.22</v>
      </c>
    </row>
    <row r="580" spans="1:8" x14ac:dyDescent="0.3">
      <c r="A580">
        <v>579</v>
      </c>
      <c r="B580">
        <v>40569</v>
      </c>
      <c r="C580">
        <v>0.375</v>
      </c>
      <c r="D580" t="s">
        <v>8</v>
      </c>
      <c r="E580" t="s">
        <v>9</v>
      </c>
      <c r="F580" t="s">
        <v>15</v>
      </c>
      <c r="G580" t="s">
        <v>20</v>
      </c>
      <c r="H580">
        <v>0.22</v>
      </c>
    </row>
    <row r="581" spans="1:8" x14ac:dyDescent="0.3">
      <c r="A581">
        <v>580</v>
      </c>
      <c r="B581">
        <v>40569</v>
      </c>
      <c r="C581">
        <v>0.41666666666666669</v>
      </c>
      <c r="D581" t="s">
        <v>8</v>
      </c>
      <c r="E581" t="s">
        <v>9</v>
      </c>
      <c r="F581" t="s">
        <v>15</v>
      </c>
      <c r="G581" t="s">
        <v>20</v>
      </c>
      <c r="H581">
        <v>0.22</v>
      </c>
    </row>
    <row r="582" spans="1:8" x14ac:dyDescent="0.3">
      <c r="A582">
        <v>581</v>
      </c>
      <c r="B582">
        <v>40569</v>
      </c>
      <c r="C582">
        <v>0.45833333333333331</v>
      </c>
      <c r="D582" t="s">
        <v>8</v>
      </c>
      <c r="E582" t="s">
        <v>9</v>
      </c>
      <c r="F582" t="s">
        <v>15</v>
      </c>
      <c r="G582" t="s">
        <v>20</v>
      </c>
      <c r="H582">
        <v>0.22</v>
      </c>
    </row>
    <row r="583" spans="1:8" x14ac:dyDescent="0.3">
      <c r="A583">
        <v>582</v>
      </c>
      <c r="B583">
        <v>40569</v>
      </c>
      <c r="C583">
        <v>0.5</v>
      </c>
      <c r="D583" t="s">
        <v>8</v>
      </c>
      <c r="E583" t="s">
        <v>9</v>
      </c>
      <c r="F583" t="s">
        <v>15</v>
      </c>
      <c r="G583" t="s">
        <v>20</v>
      </c>
      <c r="H583">
        <v>0.22</v>
      </c>
    </row>
    <row r="584" spans="1:8" x14ac:dyDescent="0.3">
      <c r="A584">
        <v>583</v>
      </c>
      <c r="B584">
        <v>40569</v>
      </c>
      <c r="C584">
        <v>0.54166666666666663</v>
      </c>
      <c r="D584" t="s">
        <v>8</v>
      </c>
      <c r="E584" t="s">
        <v>9</v>
      </c>
      <c r="F584" t="s">
        <v>15</v>
      </c>
      <c r="G584" t="s">
        <v>20</v>
      </c>
      <c r="H584">
        <v>0.22</v>
      </c>
    </row>
    <row r="585" spans="1:8" x14ac:dyDescent="0.3">
      <c r="A585">
        <v>584</v>
      </c>
      <c r="B585">
        <v>40569</v>
      </c>
      <c r="C585">
        <v>0.58333333333333337</v>
      </c>
      <c r="D585" t="s">
        <v>8</v>
      </c>
      <c r="E585" t="s">
        <v>9</v>
      </c>
      <c r="F585" t="s">
        <v>15</v>
      </c>
      <c r="G585" t="s">
        <v>20</v>
      </c>
      <c r="H585">
        <v>0.22</v>
      </c>
    </row>
    <row r="586" spans="1:8" x14ac:dyDescent="0.3">
      <c r="A586">
        <v>585</v>
      </c>
      <c r="B586">
        <v>40569</v>
      </c>
      <c r="C586">
        <v>0.625</v>
      </c>
      <c r="D586" t="s">
        <v>8</v>
      </c>
      <c r="E586" t="s">
        <v>9</v>
      </c>
      <c r="F586" t="s">
        <v>15</v>
      </c>
      <c r="G586" t="s">
        <v>20</v>
      </c>
      <c r="H586">
        <v>0.22</v>
      </c>
    </row>
    <row r="587" spans="1:8" x14ac:dyDescent="0.3">
      <c r="A587">
        <v>586</v>
      </c>
      <c r="B587">
        <v>40569</v>
      </c>
      <c r="C587">
        <v>0.66666666666666663</v>
      </c>
      <c r="D587" t="s">
        <v>8</v>
      </c>
      <c r="E587" t="s">
        <v>9</v>
      </c>
      <c r="F587" t="s">
        <v>15</v>
      </c>
      <c r="G587" t="s">
        <v>21</v>
      </c>
      <c r="H587">
        <v>0.22</v>
      </c>
    </row>
    <row r="588" spans="1:8" x14ac:dyDescent="0.3">
      <c r="A588">
        <v>587</v>
      </c>
      <c r="B588">
        <v>40569</v>
      </c>
      <c r="C588">
        <v>0.70833333333333337</v>
      </c>
      <c r="D588" t="s">
        <v>8</v>
      </c>
      <c r="E588" t="s">
        <v>9</v>
      </c>
      <c r="F588" t="s">
        <v>15</v>
      </c>
      <c r="G588" t="s">
        <v>20</v>
      </c>
      <c r="H588">
        <v>0.2</v>
      </c>
    </row>
    <row r="589" spans="1:8" x14ac:dyDescent="0.3">
      <c r="A589">
        <v>588</v>
      </c>
      <c r="B589">
        <v>40570</v>
      </c>
      <c r="C589">
        <v>0.66666666666666663</v>
      </c>
      <c r="D589" t="s">
        <v>8</v>
      </c>
      <c r="E589" t="s">
        <v>9</v>
      </c>
      <c r="F589" t="s">
        <v>16</v>
      </c>
      <c r="G589" t="s">
        <v>18</v>
      </c>
      <c r="H589">
        <v>0.22</v>
      </c>
    </row>
    <row r="590" spans="1:8" x14ac:dyDescent="0.3">
      <c r="A590">
        <v>589</v>
      </c>
      <c r="B590">
        <v>40570</v>
      </c>
      <c r="C590">
        <v>0.70833333333333337</v>
      </c>
      <c r="D590" t="s">
        <v>8</v>
      </c>
      <c r="E590" t="s">
        <v>9</v>
      </c>
      <c r="F590" t="s">
        <v>16</v>
      </c>
      <c r="G590" t="s">
        <v>18</v>
      </c>
      <c r="H590">
        <v>0.22</v>
      </c>
    </row>
    <row r="591" spans="1:8" x14ac:dyDescent="0.3">
      <c r="A591">
        <v>590</v>
      </c>
      <c r="B591">
        <v>40570</v>
      </c>
      <c r="C591">
        <v>0.75</v>
      </c>
      <c r="D591" t="s">
        <v>8</v>
      </c>
      <c r="E591" t="s">
        <v>9</v>
      </c>
      <c r="F591" t="s">
        <v>16</v>
      </c>
      <c r="G591" t="s">
        <v>18</v>
      </c>
      <c r="H591">
        <v>0.2</v>
      </c>
    </row>
    <row r="592" spans="1:8" x14ac:dyDescent="0.3">
      <c r="A592">
        <v>591</v>
      </c>
      <c r="B592">
        <v>40570</v>
      </c>
      <c r="C592">
        <v>0.79166666666666663</v>
      </c>
      <c r="D592" t="s">
        <v>8</v>
      </c>
      <c r="E592" t="s">
        <v>9</v>
      </c>
      <c r="F592" t="s">
        <v>16</v>
      </c>
      <c r="G592" t="s">
        <v>18</v>
      </c>
      <c r="H592">
        <v>0.2</v>
      </c>
    </row>
    <row r="593" spans="1:8" x14ac:dyDescent="0.3">
      <c r="A593">
        <v>592</v>
      </c>
      <c r="B593">
        <v>40570</v>
      </c>
      <c r="C593">
        <v>0.83333333333333337</v>
      </c>
      <c r="D593" t="s">
        <v>8</v>
      </c>
      <c r="E593" t="s">
        <v>9</v>
      </c>
      <c r="F593" t="s">
        <v>16</v>
      </c>
      <c r="G593" t="s">
        <v>18</v>
      </c>
      <c r="H593">
        <v>0.18</v>
      </c>
    </row>
    <row r="594" spans="1:8" x14ac:dyDescent="0.3">
      <c r="A594">
        <v>593</v>
      </c>
      <c r="B594">
        <v>40570</v>
      </c>
      <c r="C594">
        <v>0.875</v>
      </c>
      <c r="D594" t="s">
        <v>8</v>
      </c>
      <c r="E594" t="s">
        <v>9</v>
      </c>
      <c r="F594" t="s">
        <v>16</v>
      </c>
      <c r="G594" t="s">
        <v>18</v>
      </c>
      <c r="H594">
        <v>0.18</v>
      </c>
    </row>
    <row r="595" spans="1:8" x14ac:dyDescent="0.3">
      <c r="A595">
        <v>594</v>
      </c>
      <c r="B595">
        <v>40570</v>
      </c>
      <c r="C595">
        <v>0.91666666666666663</v>
      </c>
      <c r="D595" t="s">
        <v>8</v>
      </c>
      <c r="E595" t="s">
        <v>9</v>
      </c>
      <c r="F595" t="s">
        <v>16</v>
      </c>
      <c r="G595" t="s">
        <v>18</v>
      </c>
      <c r="H595">
        <v>0.18</v>
      </c>
    </row>
    <row r="596" spans="1:8" x14ac:dyDescent="0.3">
      <c r="A596">
        <v>595</v>
      </c>
      <c r="B596">
        <v>40570</v>
      </c>
      <c r="C596">
        <v>0.95833333333333337</v>
      </c>
      <c r="D596" t="s">
        <v>8</v>
      </c>
      <c r="E596" t="s">
        <v>9</v>
      </c>
      <c r="F596" t="s">
        <v>16</v>
      </c>
      <c r="G596" t="s">
        <v>18</v>
      </c>
      <c r="H596">
        <v>0.18</v>
      </c>
    </row>
    <row r="597" spans="1:8" x14ac:dyDescent="0.3">
      <c r="A597">
        <v>596</v>
      </c>
      <c r="B597">
        <v>40571</v>
      </c>
      <c r="C597">
        <v>0</v>
      </c>
      <c r="D597" t="s">
        <v>8</v>
      </c>
      <c r="E597" t="s">
        <v>9</v>
      </c>
      <c r="F597" t="s">
        <v>17</v>
      </c>
      <c r="G597" t="s">
        <v>19</v>
      </c>
      <c r="H597">
        <v>0.2</v>
      </c>
    </row>
    <row r="598" spans="1:8" x14ac:dyDescent="0.3">
      <c r="A598">
        <v>597</v>
      </c>
      <c r="B598">
        <v>40571</v>
      </c>
      <c r="C598">
        <v>4.1666666666666664E-2</v>
      </c>
      <c r="D598" t="s">
        <v>8</v>
      </c>
      <c r="E598" t="s">
        <v>9</v>
      </c>
      <c r="F598" t="s">
        <v>17</v>
      </c>
      <c r="G598" t="s">
        <v>19</v>
      </c>
      <c r="H598">
        <v>0.2</v>
      </c>
    </row>
    <row r="599" spans="1:8" x14ac:dyDescent="0.3">
      <c r="A599">
        <v>598</v>
      </c>
      <c r="B599">
        <v>40571</v>
      </c>
      <c r="C599">
        <v>8.3333333333333329E-2</v>
      </c>
      <c r="D599" t="s">
        <v>8</v>
      </c>
      <c r="E599" t="s">
        <v>9</v>
      </c>
      <c r="F599" t="s">
        <v>17</v>
      </c>
      <c r="G599" t="s">
        <v>19</v>
      </c>
      <c r="H599">
        <v>0.2</v>
      </c>
    </row>
    <row r="600" spans="1:8" x14ac:dyDescent="0.3">
      <c r="A600">
        <v>599</v>
      </c>
      <c r="B600">
        <v>40571</v>
      </c>
      <c r="C600">
        <v>0.125</v>
      </c>
      <c r="D600" t="s">
        <v>8</v>
      </c>
      <c r="E600" t="s">
        <v>9</v>
      </c>
      <c r="F600" t="s">
        <v>17</v>
      </c>
      <c r="G600" t="s">
        <v>19</v>
      </c>
      <c r="H600">
        <v>0.2</v>
      </c>
    </row>
    <row r="601" spans="1:8" x14ac:dyDescent="0.3">
      <c r="A601">
        <v>600</v>
      </c>
      <c r="B601">
        <v>40571</v>
      </c>
      <c r="C601">
        <v>0.20833333333333334</v>
      </c>
      <c r="D601" t="s">
        <v>8</v>
      </c>
      <c r="E601" t="s">
        <v>9</v>
      </c>
      <c r="F601" t="s">
        <v>17</v>
      </c>
      <c r="G601" t="s">
        <v>19</v>
      </c>
      <c r="H601">
        <v>0.18</v>
      </c>
    </row>
    <row r="602" spans="1:8" x14ac:dyDescent="0.3">
      <c r="A602">
        <v>601</v>
      </c>
      <c r="B602">
        <v>40571</v>
      </c>
      <c r="C602">
        <v>0.25</v>
      </c>
      <c r="D602" t="s">
        <v>8</v>
      </c>
      <c r="E602" t="s">
        <v>9</v>
      </c>
      <c r="F602" t="s">
        <v>17</v>
      </c>
      <c r="G602" t="s">
        <v>19</v>
      </c>
      <c r="H602">
        <v>0.18</v>
      </c>
    </row>
    <row r="603" spans="1:8" x14ac:dyDescent="0.3">
      <c r="A603">
        <v>602</v>
      </c>
      <c r="B603">
        <v>40571</v>
      </c>
      <c r="C603">
        <v>0.29166666666666669</v>
      </c>
      <c r="D603" t="s">
        <v>8</v>
      </c>
      <c r="E603" t="s">
        <v>9</v>
      </c>
      <c r="F603" t="s">
        <v>17</v>
      </c>
      <c r="G603" t="s">
        <v>19</v>
      </c>
      <c r="H603">
        <v>0.16</v>
      </c>
    </row>
    <row r="604" spans="1:8" x14ac:dyDescent="0.3">
      <c r="A604">
        <v>603</v>
      </c>
      <c r="B604">
        <v>40571</v>
      </c>
      <c r="C604">
        <v>0.33333333333333331</v>
      </c>
      <c r="D604" t="s">
        <v>8</v>
      </c>
      <c r="E604" t="s">
        <v>9</v>
      </c>
      <c r="F604" t="s">
        <v>17</v>
      </c>
      <c r="G604" t="s">
        <v>19</v>
      </c>
      <c r="H604">
        <v>0.16</v>
      </c>
    </row>
    <row r="605" spans="1:8" x14ac:dyDescent="0.3">
      <c r="A605">
        <v>604</v>
      </c>
      <c r="B605">
        <v>40571</v>
      </c>
      <c r="C605">
        <v>0.375</v>
      </c>
      <c r="D605" t="s">
        <v>8</v>
      </c>
      <c r="E605" t="s">
        <v>9</v>
      </c>
      <c r="F605" t="s">
        <v>17</v>
      </c>
      <c r="G605" t="s">
        <v>20</v>
      </c>
      <c r="H605">
        <v>0.18</v>
      </c>
    </row>
    <row r="606" spans="1:8" x14ac:dyDescent="0.3">
      <c r="A606">
        <v>605</v>
      </c>
      <c r="B606">
        <v>40571</v>
      </c>
      <c r="C606">
        <v>0.41666666666666669</v>
      </c>
      <c r="D606" t="s">
        <v>8</v>
      </c>
      <c r="E606" t="s">
        <v>9</v>
      </c>
      <c r="F606" t="s">
        <v>17</v>
      </c>
      <c r="G606" t="s">
        <v>20</v>
      </c>
      <c r="H606">
        <v>0.18</v>
      </c>
    </row>
    <row r="607" spans="1:8" x14ac:dyDescent="0.3">
      <c r="A607">
        <v>606</v>
      </c>
      <c r="B607">
        <v>40571</v>
      </c>
      <c r="C607">
        <v>0.45833333333333331</v>
      </c>
      <c r="D607" t="s">
        <v>8</v>
      </c>
      <c r="E607" t="s">
        <v>9</v>
      </c>
      <c r="F607" t="s">
        <v>17</v>
      </c>
      <c r="G607" t="s">
        <v>20</v>
      </c>
      <c r="H607">
        <v>0.18</v>
      </c>
    </row>
    <row r="608" spans="1:8" x14ac:dyDescent="0.3">
      <c r="A608">
        <v>607</v>
      </c>
      <c r="B608">
        <v>40571</v>
      </c>
      <c r="C608">
        <v>0.5</v>
      </c>
      <c r="D608" t="s">
        <v>8</v>
      </c>
      <c r="E608" t="s">
        <v>9</v>
      </c>
      <c r="F608" t="s">
        <v>17</v>
      </c>
      <c r="G608" t="s">
        <v>20</v>
      </c>
      <c r="H608">
        <v>0.18</v>
      </c>
    </row>
    <row r="609" spans="1:8" x14ac:dyDescent="0.3">
      <c r="A609">
        <v>608</v>
      </c>
      <c r="B609">
        <v>40571</v>
      </c>
      <c r="C609">
        <v>0.54166666666666663</v>
      </c>
      <c r="D609" t="s">
        <v>8</v>
      </c>
      <c r="E609" t="s">
        <v>9</v>
      </c>
      <c r="F609" t="s">
        <v>17</v>
      </c>
      <c r="G609" t="s">
        <v>20</v>
      </c>
      <c r="H609">
        <v>0.18</v>
      </c>
    </row>
    <row r="610" spans="1:8" x14ac:dyDescent="0.3">
      <c r="A610">
        <v>609</v>
      </c>
      <c r="B610">
        <v>40571</v>
      </c>
      <c r="C610">
        <v>0.58333333333333337</v>
      </c>
      <c r="D610" t="s">
        <v>8</v>
      </c>
      <c r="E610" t="s">
        <v>9</v>
      </c>
      <c r="F610" t="s">
        <v>17</v>
      </c>
      <c r="G610" t="s">
        <v>20</v>
      </c>
      <c r="H610">
        <v>0.22</v>
      </c>
    </row>
    <row r="611" spans="1:8" x14ac:dyDescent="0.3">
      <c r="A611">
        <v>610</v>
      </c>
      <c r="B611">
        <v>40571</v>
      </c>
      <c r="C611">
        <v>0.625</v>
      </c>
      <c r="D611" t="s">
        <v>8</v>
      </c>
      <c r="E611" t="s">
        <v>9</v>
      </c>
      <c r="F611" t="s">
        <v>17</v>
      </c>
      <c r="G611" t="s">
        <v>19</v>
      </c>
      <c r="H611">
        <v>0.2</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B8434-6D5D-4E6C-99A6-1ADD9426EBAB}">
  <sheetPr>
    <tabColor theme="7" tint="0.39997558519241921"/>
  </sheetPr>
  <dimension ref="A1:G611"/>
  <sheetViews>
    <sheetView workbookViewId="0">
      <selection activeCell="G1" sqref="G1"/>
    </sheetView>
  </sheetViews>
  <sheetFormatPr defaultRowHeight="14.4" x14ac:dyDescent="0.3"/>
  <cols>
    <col min="1" max="1" width="15" customWidth="1"/>
    <col min="2" max="2" width="27.44140625" customWidth="1"/>
    <col min="3" max="3" width="17.21875" customWidth="1"/>
    <col min="4" max="4" width="20.5546875" customWidth="1"/>
    <col min="5" max="5" width="15.21875" customWidth="1"/>
    <col min="6" max="6" width="17.33203125" customWidth="1"/>
    <col min="7" max="7" width="27.77734375" customWidth="1"/>
  </cols>
  <sheetData>
    <row r="1" spans="1:7" x14ac:dyDescent="0.3">
      <c r="A1" t="s">
        <v>0</v>
      </c>
      <c r="B1" t="s">
        <v>22</v>
      </c>
      <c r="C1" t="s">
        <v>23</v>
      </c>
      <c r="D1" t="s">
        <v>24</v>
      </c>
      <c r="E1" t="s">
        <v>25</v>
      </c>
      <c r="F1" t="s">
        <v>26</v>
      </c>
      <c r="G1" t="s">
        <v>27</v>
      </c>
    </row>
    <row r="2" spans="1:7" x14ac:dyDescent="0.3">
      <c r="A2">
        <v>1</v>
      </c>
      <c r="B2">
        <v>0.28789999999999999</v>
      </c>
      <c r="C2">
        <v>0.81</v>
      </c>
      <c r="D2">
        <v>0</v>
      </c>
      <c r="E2">
        <v>3</v>
      </c>
      <c r="F2">
        <v>13</v>
      </c>
      <c r="G2">
        <v>16</v>
      </c>
    </row>
    <row r="3" spans="1:7" x14ac:dyDescent="0.3">
      <c r="A3">
        <v>2</v>
      </c>
      <c r="B3">
        <v>0.2727</v>
      </c>
      <c r="C3">
        <v>0.8</v>
      </c>
      <c r="D3">
        <v>0</v>
      </c>
      <c r="E3">
        <v>8</v>
      </c>
      <c r="F3">
        <v>32</v>
      </c>
      <c r="G3">
        <v>40</v>
      </c>
    </row>
    <row r="4" spans="1:7" x14ac:dyDescent="0.3">
      <c r="A4">
        <v>3</v>
      </c>
      <c r="B4">
        <v>0.2727</v>
      </c>
      <c r="C4">
        <v>0.8</v>
      </c>
      <c r="D4">
        <v>0</v>
      </c>
      <c r="E4">
        <v>5</v>
      </c>
      <c r="F4">
        <v>27</v>
      </c>
      <c r="G4">
        <v>32</v>
      </c>
    </row>
    <row r="5" spans="1:7" x14ac:dyDescent="0.3">
      <c r="A5">
        <v>4</v>
      </c>
      <c r="B5">
        <v>0.28789999999999999</v>
      </c>
      <c r="C5">
        <v>0.75</v>
      </c>
      <c r="D5">
        <v>0</v>
      </c>
      <c r="E5">
        <v>3</v>
      </c>
      <c r="F5">
        <v>10</v>
      </c>
      <c r="G5">
        <v>13</v>
      </c>
    </row>
    <row r="6" spans="1:7" x14ac:dyDescent="0.3">
      <c r="A6">
        <v>5</v>
      </c>
      <c r="B6">
        <v>0.28789999999999999</v>
      </c>
      <c r="C6">
        <v>0.75</v>
      </c>
      <c r="D6">
        <v>0</v>
      </c>
      <c r="E6">
        <v>0</v>
      </c>
      <c r="F6">
        <v>1</v>
      </c>
      <c r="G6">
        <v>1</v>
      </c>
    </row>
    <row r="7" spans="1:7" x14ac:dyDescent="0.3">
      <c r="A7">
        <v>6</v>
      </c>
      <c r="B7">
        <v>0.2576</v>
      </c>
      <c r="C7">
        <v>0.75</v>
      </c>
      <c r="D7">
        <v>8.9599999999999999E-2</v>
      </c>
      <c r="E7">
        <v>0</v>
      </c>
      <c r="F7">
        <v>1</v>
      </c>
      <c r="G7">
        <v>1</v>
      </c>
    </row>
    <row r="8" spans="1:7" x14ac:dyDescent="0.3">
      <c r="A8">
        <v>7</v>
      </c>
      <c r="B8">
        <v>0.2727</v>
      </c>
      <c r="C8">
        <v>0.8</v>
      </c>
      <c r="D8">
        <v>0</v>
      </c>
      <c r="E8">
        <v>2</v>
      </c>
      <c r="F8">
        <v>0</v>
      </c>
      <c r="G8">
        <v>2</v>
      </c>
    </row>
    <row r="9" spans="1:7" x14ac:dyDescent="0.3">
      <c r="A9">
        <v>8</v>
      </c>
      <c r="B9">
        <v>0.2576</v>
      </c>
      <c r="C9">
        <v>0.86</v>
      </c>
      <c r="D9">
        <v>0</v>
      </c>
      <c r="E9">
        <v>1</v>
      </c>
      <c r="F9">
        <v>2</v>
      </c>
      <c r="G9">
        <v>3</v>
      </c>
    </row>
    <row r="10" spans="1:7" x14ac:dyDescent="0.3">
      <c r="A10">
        <v>9</v>
      </c>
      <c r="B10">
        <v>0.29047656249999987</v>
      </c>
      <c r="C10">
        <v>0.75</v>
      </c>
      <c r="D10">
        <v>0</v>
      </c>
      <c r="E10">
        <v>1</v>
      </c>
      <c r="F10">
        <v>7</v>
      </c>
      <c r="G10">
        <v>8</v>
      </c>
    </row>
    <row r="11" spans="1:7" x14ac:dyDescent="0.3">
      <c r="A11">
        <v>10</v>
      </c>
      <c r="B11">
        <v>0.34849999999999998</v>
      </c>
      <c r="C11">
        <v>0.76</v>
      </c>
      <c r="D11">
        <v>0</v>
      </c>
      <c r="E11">
        <v>8</v>
      </c>
      <c r="F11">
        <v>6</v>
      </c>
      <c r="G11">
        <v>14</v>
      </c>
    </row>
    <row r="12" spans="1:7" x14ac:dyDescent="0.3">
      <c r="A12">
        <v>11</v>
      </c>
      <c r="B12">
        <v>0.39389999999999997</v>
      </c>
      <c r="C12">
        <v>0.76</v>
      </c>
      <c r="D12">
        <v>0.25369999999999998</v>
      </c>
      <c r="E12">
        <v>12</v>
      </c>
      <c r="F12">
        <v>24</v>
      </c>
      <c r="G12">
        <v>36</v>
      </c>
    </row>
    <row r="13" spans="1:7" x14ac:dyDescent="0.3">
      <c r="A13">
        <v>12</v>
      </c>
      <c r="B13">
        <v>0.33329999999999999</v>
      </c>
      <c r="C13">
        <v>0.81</v>
      </c>
      <c r="D13">
        <v>0.28360000000000002</v>
      </c>
      <c r="E13">
        <v>26</v>
      </c>
      <c r="F13">
        <v>30</v>
      </c>
      <c r="G13">
        <v>56</v>
      </c>
    </row>
    <row r="14" spans="1:7" x14ac:dyDescent="0.3">
      <c r="A14">
        <v>13</v>
      </c>
      <c r="B14">
        <v>0.42420000000000002</v>
      </c>
      <c r="C14">
        <v>0.77</v>
      </c>
      <c r="D14">
        <v>0.28360000000000002</v>
      </c>
      <c r="E14">
        <v>29</v>
      </c>
      <c r="F14">
        <v>55</v>
      </c>
      <c r="G14">
        <v>84</v>
      </c>
    </row>
    <row r="15" spans="1:7" x14ac:dyDescent="0.3">
      <c r="A15">
        <v>14</v>
      </c>
      <c r="B15">
        <v>0.45450000000000002</v>
      </c>
      <c r="C15">
        <v>0.72</v>
      </c>
      <c r="D15">
        <v>0.29849999999999999</v>
      </c>
      <c r="E15">
        <v>47</v>
      </c>
      <c r="F15">
        <v>47</v>
      </c>
      <c r="G15">
        <v>94</v>
      </c>
    </row>
    <row r="16" spans="1:7" x14ac:dyDescent="0.3">
      <c r="A16">
        <v>15</v>
      </c>
      <c r="B16">
        <v>0.45450000000000002</v>
      </c>
      <c r="C16">
        <v>0.72</v>
      </c>
      <c r="D16">
        <v>0.28360000000000002</v>
      </c>
      <c r="E16">
        <v>35</v>
      </c>
      <c r="F16">
        <v>71</v>
      </c>
      <c r="G16">
        <v>106</v>
      </c>
    </row>
    <row r="17" spans="1:7" x14ac:dyDescent="0.3">
      <c r="A17">
        <v>16</v>
      </c>
      <c r="B17">
        <v>0.43940000000000001</v>
      </c>
      <c r="C17">
        <v>0.77</v>
      </c>
      <c r="D17">
        <v>0.29849999999999999</v>
      </c>
      <c r="E17">
        <v>40</v>
      </c>
      <c r="F17">
        <v>70</v>
      </c>
      <c r="G17">
        <v>110</v>
      </c>
    </row>
    <row r="18" spans="1:7" x14ac:dyDescent="0.3">
      <c r="A18">
        <v>17</v>
      </c>
      <c r="B18">
        <v>0.42420000000000002</v>
      </c>
      <c r="C18">
        <v>0.82</v>
      </c>
      <c r="D18">
        <v>0.29849999999999999</v>
      </c>
      <c r="E18">
        <v>41</v>
      </c>
      <c r="F18">
        <v>52</v>
      </c>
      <c r="G18">
        <v>93</v>
      </c>
    </row>
    <row r="19" spans="1:7" x14ac:dyDescent="0.3">
      <c r="A19">
        <v>18</v>
      </c>
      <c r="B19">
        <v>0.29047656249999987</v>
      </c>
      <c r="C19">
        <v>0.82</v>
      </c>
      <c r="D19">
        <v>0.28360000000000002</v>
      </c>
      <c r="E19">
        <v>15</v>
      </c>
      <c r="F19">
        <v>52</v>
      </c>
      <c r="G19">
        <v>67</v>
      </c>
    </row>
    <row r="20" spans="1:7" x14ac:dyDescent="0.3">
      <c r="A20">
        <v>19</v>
      </c>
      <c r="B20">
        <v>0.42420000000000002</v>
      </c>
      <c r="C20">
        <v>0.88</v>
      </c>
      <c r="D20">
        <v>0.25369999999999998</v>
      </c>
      <c r="E20">
        <v>9</v>
      </c>
      <c r="F20">
        <v>26</v>
      </c>
      <c r="G20">
        <v>35</v>
      </c>
    </row>
    <row r="21" spans="1:7" x14ac:dyDescent="0.3">
      <c r="A21">
        <v>20</v>
      </c>
      <c r="B21">
        <v>0.42420000000000002</v>
      </c>
      <c r="C21">
        <v>0.88</v>
      </c>
      <c r="D21">
        <v>0.25369999999999998</v>
      </c>
      <c r="E21">
        <v>6</v>
      </c>
      <c r="F21">
        <v>31</v>
      </c>
      <c r="G21">
        <v>37</v>
      </c>
    </row>
    <row r="22" spans="1:7" x14ac:dyDescent="0.3">
      <c r="A22">
        <v>21</v>
      </c>
      <c r="B22">
        <v>0.40910000000000002</v>
      </c>
      <c r="C22">
        <v>0.87</v>
      </c>
      <c r="D22">
        <v>0.25369999999999998</v>
      </c>
      <c r="E22">
        <v>11</v>
      </c>
      <c r="F22">
        <v>25</v>
      </c>
      <c r="G22">
        <v>36</v>
      </c>
    </row>
    <row r="23" spans="1:7" x14ac:dyDescent="0.3">
      <c r="A23">
        <v>22</v>
      </c>
      <c r="B23">
        <v>0.40910000000000002</v>
      </c>
      <c r="C23">
        <v>0.87</v>
      </c>
      <c r="D23">
        <v>0.19400000000000001</v>
      </c>
      <c r="E23">
        <v>3</v>
      </c>
      <c r="F23">
        <v>31</v>
      </c>
      <c r="G23">
        <v>34</v>
      </c>
    </row>
    <row r="24" spans="1:7" x14ac:dyDescent="0.3">
      <c r="A24">
        <v>23</v>
      </c>
      <c r="B24">
        <v>0.40910000000000002</v>
      </c>
      <c r="C24">
        <v>0.94</v>
      </c>
      <c r="D24">
        <v>0.22389999999999999</v>
      </c>
      <c r="E24">
        <v>11</v>
      </c>
      <c r="F24">
        <v>17</v>
      </c>
      <c r="G24">
        <v>28</v>
      </c>
    </row>
    <row r="25" spans="1:7" x14ac:dyDescent="0.3">
      <c r="A25">
        <v>24</v>
      </c>
      <c r="B25">
        <v>0.29047656249999987</v>
      </c>
      <c r="C25">
        <v>0.88</v>
      </c>
      <c r="D25">
        <v>0.29849999999999999</v>
      </c>
      <c r="E25">
        <v>15</v>
      </c>
      <c r="F25">
        <v>24</v>
      </c>
      <c r="G25">
        <v>39</v>
      </c>
    </row>
    <row r="26" spans="1:7" x14ac:dyDescent="0.3">
      <c r="A26">
        <v>25</v>
      </c>
      <c r="B26">
        <v>0.45450000000000002</v>
      </c>
      <c r="C26">
        <v>0.88</v>
      </c>
      <c r="D26">
        <v>0.29849999999999999</v>
      </c>
      <c r="E26">
        <v>4</v>
      </c>
      <c r="F26">
        <v>13</v>
      </c>
      <c r="G26">
        <v>17</v>
      </c>
    </row>
    <row r="27" spans="1:7" x14ac:dyDescent="0.3">
      <c r="A27">
        <v>26</v>
      </c>
      <c r="B27">
        <v>0.43940000000000001</v>
      </c>
      <c r="C27">
        <v>0.94</v>
      </c>
      <c r="D27">
        <v>0.25369999999999998</v>
      </c>
      <c r="E27">
        <v>1</v>
      </c>
      <c r="F27">
        <v>16</v>
      </c>
      <c r="G27">
        <v>17</v>
      </c>
    </row>
    <row r="28" spans="1:7" x14ac:dyDescent="0.3">
      <c r="A28">
        <v>27</v>
      </c>
      <c r="B28">
        <v>0.42420000000000002</v>
      </c>
      <c r="C28">
        <v>1</v>
      </c>
      <c r="D28">
        <v>0.28360000000000002</v>
      </c>
      <c r="E28">
        <v>1</v>
      </c>
      <c r="F28">
        <v>8</v>
      </c>
      <c r="G28">
        <v>9</v>
      </c>
    </row>
    <row r="29" spans="1:7" x14ac:dyDescent="0.3">
      <c r="A29">
        <v>28</v>
      </c>
      <c r="B29">
        <v>0.45450000000000002</v>
      </c>
      <c r="C29">
        <v>0.94</v>
      </c>
      <c r="D29">
        <v>0.19400000000000001</v>
      </c>
      <c r="E29">
        <v>2</v>
      </c>
      <c r="F29">
        <v>4</v>
      </c>
      <c r="G29">
        <v>6</v>
      </c>
    </row>
    <row r="30" spans="1:7" x14ac:dyDescent="0.3">
      <c r="A30">
        <v>29</v>
      </c>
      <c r="B30">
        <v>0.29047656249999987</v>
      </c>
      <c r="C30">
        <v>0.94</v>
      </c>
      <c r="D30">
        <v>0.19400000000000001</v>
      </c>
      <c r="E30">
        <v>2</v>
      </c>
      <c r="F30">
        <v>1</v>
      </c>
      <c r="G30">
        <v>3</v>
      </c>
    </row>
    <row r="31" spans="1:7" x14ac:dyDescent="0.3">
      <c r="A31">
        <v>30</v>
      </c>
      <c r="B31">
        <v>0.42420000000000002</v>
      </c>
      <c r="C31">
        <v>0.77</v>
      </c>
      <c r="D31">
        <v>0.29849999999999999</v>
      </c>
      <c r="E31">
        <v>0</v>
      </c>
      <c r="F31">
        <v>2</v>
      </c>
      <c r="G31">
        <v>2</v>
      </c>
    </row>
    <row r="32" spans="1:7" x14ac:dyDescent="0.3">
      <c r="A32">
        <v>31</v>
      </c>
      <c r="B32">
        <v>0.40910000000000002</v>
      </c>
      <c r="C32">
        <v>0.76</v>
      </c>
      <c r="D32">
        <v>0.19400000000000001</v>
      </c>
      <c r="E32">
        <v>0</v>
      </c>
      <c r="F32">
        <v>1</v>
      </c>
      <c r="G32">
        <v>1</v>
      </c>
    </row>
    <row r="33" spans="1:7" x14ac:dyDescent="0.3">
      <c r="A33">
        <v>32</v>
      </c>
      <c r="B33">
        <v>0.40910000000000002</v>
      </c>
      <c r="C33">
        <v>0.71</v>
      </c>
      <c r="D33">
        <v>0.22389999999999999</v>
      </c>
      <c r="E33">
        <v>0</v>
      </c>
      <c r="F33">
        <v>8</v>
      </c>
      <c r="G33">
        <v>8</v>
      </c>
    </row>
    <row r="34" spans="1:7" x14ac:dyDescent="0.3">
      <c r="A34">
        <v>33</v>
      </c>
      <c r="B34">
        <v>0.29047656249999987</v>
      </c>
      <c r="C34">
        <v>0.76</v>
      </c>
      <c r="D34">
        <v>0.22389999999999999</v>
      </c>
      <c r="E34">
        <v>1</v>
      </c>
      <c r="F34">
        <v>19</v>
      </c>
      <c r="G34">
        <v>20</v>
      </c>
    </row>
    <row r="35" spans="1:7" x14ac:dyDescent="0.3">
      <c r="A35">
        <v>34</v>
      </c>
      <c r="B35">
        <v>0.34849999999999998</v>
      </c>
      <c r="C35">
        <v>0.81</v>
      </c>
      <c r="D35">
        <v>0.22389999999999999</v>
      </c>
      <c r="E35">
        <v>7</v>
      </c>
      <c r="F35">
        <v>46</v>
      </c>
      <c r="G35">
        <v>53</v>
      </c>
    </row>
    <row r="36" spans="1:7" x14ac:dyDescent="0.3">
      <c r="A36">
        <v>35</v>
      </c>
      <c r="B36">
        <v>0.33329999999999999</v>
      </c>
      <c r="C36">
        <v>0.71</v>
      </c>
      <c r="D36">
        <v>0.25369999999999998</v>
      </c>
      <c r="E36">
        <v>16</v>
      </c>
      <c r="F36">
        <v>54</v>
      </c>
      <c r="G36">
        <v>70</v>
      </c>
    </row>
    <row r="37" spans="1:7" x14ac:dyDescent="0.3">
      <c r="A37">
        <v>36</v>
      </c>
      <c r="B37">
        <v>0.33329999999999999</v>
      </c>
      <c r="C37">
        <v>0.66</v>
      </c>
      <c r="D37">
        <v>0.29849999999999999</v>
      </c>
      <c r="E37">
        <v>20</v>
      </c>
      <c r="F37">
        <v>73</v>
      </c>
      <c r="G37">
        <v>93</v>
      </c>
    </row>
    <row r="38" spans="1:7" x14ac:dyDescent="0.3">
      <c r="A38">
        <v>37</v>
      </c>
      <c r="B38">
        <v>0.34849999999999998</v>
      </c>
      <c r="C38">
        <v>0.66</v>
      </c>
      <c r="D38">
        <v>0.1343</v>
      </c>
      <c r="E38">
        <v>11</v>
      </c>
      <c r="F38">
        <v>64</v>
      </c>
      <c r="G38">
        <v>75</v>
      </c>
    </row>
    <row r="39" spans="1:7" x14ac:dyDescent="0.3">
      <c r="A39">
        <v>38</v>
      </c>
      <c r="B39">
        <v>0.29047656249999987</v>
      </c>
      <c r="C39">
        <v>0.76</v>
      </c>
      <c r="D39">
        <v>0.19400000000000001</v>
      </c>
      <c r="E39">
        <v>4</v>
      </c>
      <c r="F39">
        <v>55</v>
      </c>
      <c r="G39">
        <v>59</v>
      </c>
    </row>
    <row r="40" spans="1:7" x14ac:dyDescent="0.3">
      <c r="A40">
        <v>39</v>
      </c>
      <c r="B40">
        <v>0.33329999999999999</v>
      </c>
      <c r="C40">
        <v>0.81</v>
      </c>
      <c r="D40">
        <v>0.16420000000000001</v>
      </c>
      <c r="E40">
        <v>19</v>
      </c>
      <c r="F40">
        <v>55</v>
      </c>
      <c r="G40">
        <v>74</v>
      </c>
    </row>
    <row r="41" spans="1:7" x14ac:dyDescent="0.3">
      <c r="A41">
        <v>40</v>
      </c>
      <c r="B41">
        <v>0.33329999999999999</v>
      </c>
      <c r="C41">
        <v>0.71</v>
      </c>
      <c r="D41">
        <v>0.16420000000000001</v>
      </c>
      <c r="E41">
        <v>9</v>
      </c>
      <c r="F41">
        <v>67</v>
      </c>
      <c r="G41">
        <v>76</v>
      </c>
    </row>
    <row r="42" spans="1:7" x14ac:dyDescent="0.3">
      <c r="A42">
        <v>41</v>
      </c>
      <c r="B42">
        <v>0.33329999999999999</v>
      </c>
      <c r="C42">
        <v>0.56999999999999995</v>
      </c>
      <c r="D42">
        <v>0.19400000000000001</v>
      </c>
      <c r="E42">
        <v>7</v>
      </c>
      <c r="F42">
        <v>58</v>
      </c>
      <c r="G42">
        <v>65</v>
      </c>
    </row>
    <row r="43" spans="1:7" x14ac:dyDescent="0.3">
      <c r="A43">
        <v>42</v>
      </c>
      <c r="B43">
        <v>0.33329999999999999</v>
      </c>
      <c r="C43">
        <v>0.46</v>
      </c>
      <c r="D43">
        <v>0.32840000000000003</v>
      </c>
      <c r="E43">
        <v>10</v>
      </c>
      <c r="F43">
        <v>43</v>
      </c>
      <c r="G43">
        <v>53</v>
      </c>
    </row>
    <row r="44" spans="1:7" x14ac:dyDescent="0.3">
      <c r="A44">
        <v>43</v>
      </c>
      <c r="B44">
        <v>0.28789999999999999</v>
      </c>
      <c r="C44">
        <v>0.42</v>
      </c>
      <c r="D44">
        <v>0.44779999999999998</v>
      </c>
      <c r="E44">
        <v>1</v>
      </c>
      <c r="F44">
        <v>29</v>
      </c>
      <c r="G44">
        <v>30</v>
      </c>
    </row>
    <row r="45" spans="1:7" x14ac:dyDescent="0.3">
      <c r="A45">
        <v>44</v>
      </c>
      <c r="B45">
        <v>0.29047656249999987</v>
      </c>
      <c r="C45">
        <v>0.39</v>
      </c>
      <c r="D45">
        <v>0.35820000000000002</v>
      </c>
      <c r="E45">
        <v>5</v>
      </c>
      <c r="F45">
        <v>17</v>
      </c>
      <c r="G45">
        <v>22</v>
      </c>
    </row>
    <row r="46" spans="1:7" x14ac:dyDescent="0.3">
      <c r="A46">
        <v>45</v>
      </c>
      <c r="B46">
        <v>0.2273</v>
      </c>
      <c r="C46">
        <v>0.44</v>
      </c>
      <c r="D46">
        <v>0.32840000000000003</v>
      </c>
      <c r="E46">
        <v>11</v>
      </c>
      <c r="F46">
        <v>20</v>
      </c>
      <c r="G46">
        <v>31</v>
      </c>
    </row>
    <row r="47" spans="1:7" x14ac:dyDescent="0.3">
      <c r="A47">
        <v>46</v>
      </c>
      <c r="B47">
        <v>0.21210000000000001</v>
      </c>
      <c r="C47">
        <v>0.44</v>
      </c>
      <c r="D47">
        <v>0.29849999999999999</v>
      </c>
      <c r="E47">
        <v>0</v>
      </c>
      <c r="F47">
        <v>9</v>
      </c>
      <c r="G47">
        <v>9</v>
      </c>
    </row>
    <row r="48" spans="1:7" x14ac:dyDescent="0.3">
      <c r="A48">
        <v>47</v>
      </c>
      <c r="B48">
        <v>0.2273</v>
      </c>
      <c r="C48">
        <v>0.47</v>
      </c>
      <c r="D48">
        <v>0.16420000000000001</v>
      </c>
      <c r="E48">
        <v>0</v>
      </c>
      <c r="F48">
        <v>8</v>
      </c>
      <c r="G48">
        <v>8</v>
      </c>
    </row>
    <row r="49" spans="1:7" x14ac:dyDescent="0.3">
      <c r="A49">
        <v>48</v>
      </c>
      <c r="B49">
        <v>0.19700000000000001</v>
      </c>
      <c r="C49">
        <v>0.44</v>
      </c>
      <c r="D49">
        <v>0.35820000000000002</v>
      </c>
      <c r="E49">
        <v>0</v>
      </c>
      <c r="F49">
        <v>5</v>
      </c>
      <c r="G49">
        <v>5</v>
      </c>
    </row>
    <row r="50" spans="1:7" x14ac:dyDescent="0.3">
      <c r="A50">
        <v>49</v>
      </c>
      <c r="B50">
        <v>0.29047656249999987</v>
      </c>
      <c r="C50">
        <v>0.44</v>
      </c>
      <c r="D50">
        <v>0.41789999999999999</v>
      </c>
      <c r="E50">
        <v>0</v>
      </c>
      <c r="F50">
        <v>2</v>
      </c>
      <c r="G50">
        <v>2</v>
      </c>
    </row>
    <row r="51" spans="1:7" x14ac:dyDescent="0.3">
      <c r="A51">
        <v>50</v>
      </c>
      <c r="B51">
        <v>0.13639999999999999</v>
      </c>
      <c r="C51">
        <v>0.47</v>
      </c>
      <c r="D51">
        <v>0.3881</v>
      </c>
      <c r="E51">
        <v>0</v>
      </c>
      <c r="F51">
        <v>1</v>
      </c>
      <c r="G51">
        <v>1</v>
      </c>
    </row>
    <row r="52" spans="1:7" x14ac:dyDescent="0.3">
      <c r="A52">
        <v>51</v>
      </c>
      <c r="B52">
        <v>0.13639999999999999</v>
      </c>
      <c r="C52">
        <v>0.47</v>
      </c>
      <c r="D52">
        <v>0.28360000000000002</v>
      </c>
      <c r="E52">
        <v>0</v>
      </c>
      <c r="F52">
        <v>3</v>
      </c>
      <c r="G52">
        <v>3</v>
      </c>
    </row>
    <row r="53" spans="1:7" x14ac:dyDescent="0.3">
      <c r="A53">
        <v>52</v>
      </c>
      <c r="B53">
        <v>0.1061</v>
      </c>
      <c r="C53">
        <v>0.5</v>
      </c>
      <c r="D53">
        <v>0.3881</v>
      </c>
      <c r="E53">
        <v>0</v>
      </c>
      <c r="F53">
        <v>30</v>
      </c>
      <c r="G53">
        <v>30</v>
      </c>
    </row>
    <row r="54" spans="1:7" x14ac:dyDescent="0.3">
      <c r="A54">
        <v>53</v>
      </c>
      <c r="B54">
        <v>0.13639999999999999</v>
      </c>
      <c r="C54">
        <v>0.5</v>
      </c>
      <c r="D54">
        <v>0.19400000000000001</v>
      </c>
      <c r="E54">
        <v>1</v>
      </c>
      <c r="F54">
        <v>63</v>
      </c>
      <c r="G54">
        <v>64</v>
      </c>
    </row>
    <row r="55" spans="1:7" x14ac:dyDescent="0.3">
      <c r="A55">
        <v>54</v>
      </c>
      <c r="B55">
        <v>0.1212</v>
      </c>
      <c r="C55">
        <v>0.5</v>
      </c>
      <c r="D55">
        <v>0.28360000000000002</v>
      </c>
      <c r="E55">
        <v>1</v>
      </c>
      <c r="F55">
        <v>153</v>
      </c>
      <c r="G55">
        <v>154</v>
      </c>
    </row>
    <row r="56" spans="1:7" x14ac:dyDescent="0.3">
      <c r="A56">
        <v>55</v>
      </c>
      <c r="B56">
        <v>0.13639999999999999</v>
      </c>
      <c r="C56">
        <v>0.43</v>
      </c>
      <c r="D56">
        <v>0.3881</v>
      </c>
      <c r="E56">
        <v>7</v>
      </c>
      <c r="F56">
        <v>81</v>
      </c>
      <c r="G56">
        <v>88</v>
      </c>
    </row>
    <row r="57" spans="1:7" x14ac:dyDescent="0.3">
      <c r="A57">
        <v>56</v>
      </c>
      <c r="B57">
        <v>0.16669999999999999</v>
      </c>
      <c r="C57">
        <v>0.43</v>
      </c>
      <c r="D57">
        <v>0.25369999999999998</v>
      </c>
      <c r="E57">
        <v>11</v>
      </c>
      <c r="F57">
        <v>33</v>
      </c>
      <c r="G57">
        <v>44</v>
      </c>
    </row>
    <row r="58" spans="1:7" x14ac:dyDescent="0.3">
      <c r="A58">
        <v>57</v>
      </c>
      <c r="B58">
        <v>0.18179999999999999</v>
      </c>
      <c r="C58">
        <v>0.4</v>
      </c>
      <c r="D58">
        <v>0.32840000000000003</v>
      </c>
      <c r="E58">
        <v>10</v>
      </c>
      <c r="F58">
        <v>41</v>
      </c>
      <c r="G58">
        <v>51</v>
      </c>
    </row>
    <row r="59" spans="1:7" x14ac:dyDescent="0.3">
      <c r="A59">
        <v>58</v>
      </c>
      <c r="B59">
        <v>0.21210000000000001</v>
      </c>
      <c r="C59">
        <v>0.35</v>
      </c>
      <c r="D59">
        <v>0.29849999999999999</v>
      </c>
      <c r="E59">
        <v>13</v>
      </c>
      <c r="F59">
        <v>48</v>
      </c>
      <c r="G59">
        <v>61</v>
      </c>
    </row>
    <row r="60" spans="1:7" x14ac:dyDescent="0.3">
      <c r="A60">
        <v>59</v>
      </c>
      <c r="B60">
        <v>0.29047656249999987</v>
      </c>
      <c r="C60">
        <v>0.35</v>
      </c>
      <c r="D60">
        <v>0.28360000000000002</v>
      </c>
      <c r="E60">
        <v>8</v>
      </c>
      <c r="F60">
        <v>53</v>
      </c>
      <c r="G60">
        <v>61</v>
      </c>
    </row>
    <row r="61" spans="1:7" x14ac:dyDescent="0.3">
      <c r="A61">
        <v>60</v>
      </c>
      <c r="B61">
        <v>0.2424</v>
      </c>
      <c r="C61">
        <v>0.3</v>
      </c>
      <c r="D61">
        <v>0.28360000000000002</v>
      </c>
      <c r="E61">
        <v>11</v>
      </c>
      <c r="F61">
        <v>66</v>
      </c>
      <c r="G61">
        <v>77</v>
      </c>
    </row>
    <row r="62" spans="1:7" x14ac:dyDescent="0.3">
      <c r="A62">
        <v>61</v>
      </c>
      <c r="B62">
        <v>0.2424</v>
      </c>
      <c r="C62">
        <v>0.3</v>
      </c>
      <c r="D62">
        <v>0.25369999999999998</v>
      </c>
      <c r="E62">
        <v>14</v>
      </c>
      <c r="F62">
        <v>58</v>
      </c>
      <c r="G62">
        <v>72</v>
      </c>
    </row>
    <row r="63" spans="1:7" x14ac:dyDescent="0.3">
      <c r="A63">
        <v>62</v>
      </c>
      <c r="B63">
        <v>0.2424</v>
      </c>
      <c r="C63">
        <v>0.3</v>
      </c>
      <c r="D63">
        <v>0.25369999999999998</v>
      </c>
      <c r="E63">
        <v>9</v>
      </c>
      <c r="F63">
        <v>67</v>
      </c>
      <c r="G63">
        <v>76</v>
      </c>
    </row>
    <row r="64" spans="1:7" x14ac:dyDescent="0.3">
      <c r="A64">
        <v>63</v>
      </c>
      <c r="B64">
        <v>0.2273</v>
      </c>
      <c r="C64">
        <v>0.3</v>
      </c>
      <c r="D64">
        <v>0.22389999999999999</v>
      </c>
      <c r="E64">
        <v>11</v>
      </c>
      <c r="F64">
        <v>146</v>
      </c>
      <c r="G64">
        <v>157</v>
      </c>
    </row>
    <row r="65" spans="1:7" x14ac:dyDescent="0.3">
      <c r="A65">
        <v>64</v>
      </c>
      <c r="B65">
        <v>0.2576</v>
      </c>
      <c r="C65">
        <v>0.32</v>
      </c>
      <c r="D65">
        <v>0.1045</v>
      </c>
      <c r="E65">
        <v>9</v>
      </c>
      <c r="F65">
        <v>148</v>
      </c>
      <c r="G65">
        <v>157</v>
      </c>
    </row>
    <row r="66" spans="1:7" x14ac:dyDescent="0.3">
      <c r="A66">
        <v>65</v>
      </c>
      <c r="B66">
        <v>0.2576</v>
      </c>
      <c r="C66">
        <v>0.47</v>
      </c>
      <c r="D66">
        <v>0</v>
      </c>
      <c r="E66">
        <v>8</v>
      </c>
      <c r="F66">
        <v>102</v>
      </c>
      <c r="G66">
        <v>110</v>
      </c>
    </row>
    <row r="67" spans="1:7" x14ac:dyDescent="0.3">
      <c r="A67">
        <v>66</v>
      </c>
      <c r="B67">
        <v>0.29047656249999987</v>
      </c>
      <c r="C67">
        <v>0.47</v>
      </c>
      <c r="D67">
        <v>0.1045</v>
      </c>
      <c r="E67">
        <v>3</v>
      </c>
      <c r="F67">
        <v>49</v>
      </c>
      <c r="G67">
        <v>52</v>
      </c>
    </row>
    <row r="68" spans="1:7" x14ac:dyDescent="0.3">
      <c r="A68">
        <v>67</v>
      </c>
      <c r="B68">
        <v>0.19700000000000001</v>
      </c>
      <c r="C68">
        <v>0.64</v>
      </c>
      <c r="D68">
        <v>0.1343</v>
      </c>
      <c r="E68">
        <v>3</v>
      </c>
      <c r="F68">
        <v>49</v>
      </c>
      <c r="G68">
        <v>52</v>
      </c>
    </row>
    <row r="69" spans="1:7" x14ac:dyDescent="0.3">
      <c r="A69">
        <v>68</v>
      </c>
      <c r="B69">
        <v>0.1515</v>
      </c>
      <c r="C69">
        <v>0.69</v>
      </c>
      <c r="D69">
        <v>0.1343</v>
      </c>
      <c r="E69">
        <v>0</v>
      </c>
      <c r="F69">
        <v>20</v>
      </c>
      <c r="G69">
        <v>20</v>
      </c>
    </row>
    <row r="70" spans="1:7" x14ac:dyDescent="0.3">
      <c r="A70">
        <v>69</v>
      </c>
      <c r="B70">
        <v>0.21210000000000001</v>
      </c>
      <c r="C70">
        <v>0.55000000000000004</v>
      </c>
      <c r="D70">
        <v>0.1045</v>
      </c>
      <c r="E70">
        <v>1</v>
      </c>
      <c r="F70">
        <v>11</v>
      </c>
      <c r="G70">
        <v>12</v>
      </c>
    </row>
    <row r="71" spans="1:7" x14ac:dyDescent="0.3">
      <c r="A71">
        <v>70</v>
      </c>
      <c r="B71">
        <v>0.29047656249999987</v>
      </c>
      <c r="C71">
        <v>0.55000000000000004</v>
      </c>
      <c r="D71">
        <v>0.1045</v>
      </c>
      <c r="E71">
        <v>0</v>
      </c>
      <c r="F71">
        <v>5</v>
      </c>
      <c r="G71">
        <v>5</v>
      </c>
    </row>
    <row r="72" spans="1:7" x14ac:dyDescent="0.3">
      <c r="A72">
        <v>71</v>
      </c>
      <c r="B72">
        <v>0.18179999999999999</v>
      </c>
      <c r="C72">
        <v>0.59</v>
      </c>
      <c r="D72">
        <v>0.1045</v>
      </c>
      <c r="E72">
        <v>0</v>
      </c>
      <c r="F72">
        <v>2</v>
      </c>
      <c r="G72">
        <v>2</v>
      </c>
    </row>
    <row r="73" spans="1:7" x14ac:dyDescent="0.3">
      <c r="A73">
        <v>72</v>
      </c>
      <c r="B73">
        <v>0.1515</v>
      </c>
      <c r="C73">
        <v>0.63</v>
      </c>
      <c r="D73">
        <v>0.1343</v>
      </c>
      <c r="E73">
        <v>0</v>
      </c>
      <c r="F73">
        <v>1</v>
      </c>
      <c r="G73">
        <v>1</v>
      </c>
    </row>
    <row r="74" spans="1:7" x14ac:dyDescent="0.3">
      <c r="A74">
        <v>73</v>
      </c>
      <c r="B74">
        <v>0.18179999999999999</v>
      </c>
      <c r="C74">
        <v>0.63</v>
      </c>
      <c r="D74">
        <v>8.9599999999999999E-2</v>
      </c>
      <c r="E74">
        <v>0</v>
      </c>
      <c r="F74">
        <v>2</v>
      </c>
      <c r="G74">
        <v>2</v>
      </c>
    </row>
    <row r="75" spans="1:7" x14ac:dyDescent="0.3">
      <c r="A75">
        <v>74</v>
      </c>
      <c r="B75">
        <v>0.1515</v>
      </c>
      <c r="C75">
        <v>0.68</v>
      </c>
      <c r="D75">
        <v>0.1045</v>
      </c>
      <c r="E75">
        <v>0</v>
      </c>
      <c r="F75">
        <v>4</v>
      </c>
      <c r="G75">
        <v>4</v>
      </c>
    </row>
    <row r="76" spans="1:7" x14ac:dyDescent="0.3">
      <c r="A76">
        <v>75</v>
      </c>
      <c r="B76">
        <v>0.1515</v>
      </c>
      <c r="C76">
        <v>0.74</v>
      </c>
      <c r="D76">
        <v>0.1045</v>
      </c>
      <c r="E76">
        <v>0</v>
      </c>
      <c r="F76">
        <v>36</v>
      </c>
      <c r="G76">
        <v>36</v>
      </c>
    </row>
    <row r="77" spans="1:7" x14ac:dyDescent="0.3">
      <c r="A77">
        <v>76</v>
      </c>
      <c r="B77">
        <v>0.1515</v>
      </c>
      <c r="C77">
        <v>0.74</v>
      </c>
      <c r="D77">
        <v>0.1343</v>
      </c>
      <c r="E77">
        <v>2</v>
      </c>
      <c r="F77">
        <v>92</v>
      </c>
      <c r="G77">
        <v>94</v>
      </c>
    </row>
    <row r="78" spans="1:7" x14ac:dyDescent="0.3">
      <c r="A78">
        <v>77</v>
      </c>
      <c r="B78">
        <v>0.1515</v>
      </c>
      <c r="C78">
        <v>0.69</v>
      </c>
      <c r="D78">
        <v>0.16420000000000001</v>
      </c>
      <c r="E78">
        <v>2</v>
      </c>
      <c r="F78">
        <v>177</v>
      </c>
      <c r="G78">
        <v>179</v>
      </c>
    </row>
    <row r="79" spans="1:7" x14ac:dyDescent="0.3">
      <c r="A79">
        <v>78</v>
      </c>
      <c r="B79">
        <v>0.1515</v>
      </c>
      <c r="C79">
        <v>0.64</v>
      </c>
      <c r="D79">
        <v>0.22389999999999999</v>
      </c>
      <c r="E79">
        <v>2</v>
      </c>
      <c r="F79">
        <v>98</v>
      </c>
      <c r="G79">
        <v>100</v>
      </c>
    </row>
    <row r="80" spans="1:7" x14ac:dyDescent="0.3">
      <c r="A80">
        <v>79</v>
      </c>
      <c r="B80">
        <v>0.13639999999999999</v>
      </c>
      <c r="C80">
        <v>0.69</v>
      </c>
      <c r="D80">
        <v>0.32840000000000003</v>
      </c>
      <c r="E80">
        <v>5</v>
      </c>
      <c r="F80">
        <v>37</v>
      </c>
      <c r="G80">
        <v>42</v>
      </c>
    </row>
    <row r="81" spans="1:7" x14ac:dyDescent="0.3">
      <c r="A81">
        <v>80</v>
      </c>
      <c r="B81">
        <v>0.21210000000000001</v>
      </c>
      <c r="C81">
        <v>0.51</v>
      </c>
      <c r="D81">
        <v>0.29849999999999999</v>
      </c>
      <c r="E81">
        <v>7</v>
      </c>
      <c r="F81">
        <v>50</v>
      </c>
      <c r="G81">
        <v>57</v>
      </c>
    </row>
    <row r="82" spans="1:7" x14ac:dyDescent="0.3">
      <c r="A82">
        <v>81</v>
      </c>
      <c r="B82">
        <v>0.2273</v>
      </c>
      <c r="C82">
        <v>0.51</v>
      </c>
      <c r="D82">
        <v>0.16420000000000001</v>
      </c>
      <c r="E82">
        <v>12</v>
      </c>
      <c r="F82">
        <v>66</v>
      </c>
      <c r="G82">
        <v>78</v>
      </c>
    </row>
    <row r="83" spans="1:7" x14ac:dyDescent="0.3">
      <c r="A83">
        <v>82</v>
      </c>
      <c r="B83">
        <v>0.2273</v>
      </c>
      <c r="C83">
        <v>0.56000000000000005</v>
      </c>
      <c r="D83">
        <v>0.19400000000000001</v>
      </c>
      <c r="E83">
        <v>18</v>
      </c>
      <c r="F83">
        <v>79</v>
      </c>
      <c r="G83">
        <v>97</v>
      </c>
    </row>
    <row r="84" spans="1:7" x14ac:dyDescent="0.3">
      <c r="A84">
        <v>83</v>
      </c>
      <c r="B84">
        <v>0.2576</v>
      </c>
      <c r="C84">
        <v>0.52</v>
      </c>
      <c r="D84">
        <v>0.22389999999999999</v>
      </c>
      <c r="E84">
        <v>9</v>
      </c>
      <c r="F84">
        <v>54</v>
      </c>
      <c r="G84">
        <v>63</v>
      </c>
    </row>
    <row r="85" spans="1:7" x14ac:dyDescent="0.3">
      <c r="A85">
        <v>84</v>
      </c>
      <c r="B85">
        <v>0.2727</v>
      </c>
      <c r="C85">
        <v>0.52</v>
      </c>
      <c r="D85">
        <v>0.25369999999999998</v>
      </c>
      <c r="E85">
        <v>17</v>
      </c>
      <c r="F85">
        <v>48</v>
      </c>
      <c r="G85">
        <v>65</v>
      </c>
    </row>
    <row r="86" spans="1:7" x14ac:dyDescent="0.3">
      <c r="A86">
        <v>85</v>
      </c>
      <c r="B86">
        <v>0.28789999999999999</v>
      </c>
      <c r="C86">
        <v>0.49</v>
      </c>
      <c r="D86">
        <v>0.25369999999999998</v>
      </c>
      <c r="E86">
        <v>15</v>
      </c>
      <c r="F86">
        <v>68</v>
      </c>
      <c r="G86">
        <v>83</v>
      </c>
    </row>
    <row r="87" spans="1:7" x14ac:dyDescent="0.3">
      <c r="A87">
        <v>86</v>
      </c>
      <c r="B87">
        <v>0.2727</v>
      </c>
      <c r="C87">
        <v>0.48</v>
      </c>
      <c r="D87">
        <v>0.22389999999999999</v>
      </c>
      <c r="E87">
        <v>10</v>
      </c>
      <c r="F87">
        <v>202</v>
      </c>
      <c r="G87">
        <v>212</v>
      </c>
    </row>
    <row r="88" spans="1:7" x14ac:dyDescent="0.3">
      <c r="A88">
        <v>87</v>
      </c>
      <c r="B88">
        <v>0.2576</v>
      </c>
      <c r="C88">
        <v>0.48</v>
      </c>
      <c r="D88">
        <v>0.19400000000000001</v>
      </c>
      <c r="E88">
        <v>3</v>
      </c>
      <c r="F88">
        <v>179</v>
      </c>
      <c r="G88">
        <v>182</v>
      </c>
    </row>
    <row r="89" spans="1:7" x14ac:dyDescent="0.3">
      <c r="A89">
        <v>88</v>
      </c>
      <c r="B89">
        <v>0.2576</v>
      </c>
      <c r="C89">
        <v>0.48</v>
      </c>
      <c r="D89">
        <v>0.1045</v>
      </c>
      <c r="E89">
        <v>2</v>
      </c>
      <c r="F89">
        <v>110</v>
      </c>
      <c r="G89">
        <v>112</v>
      </c>
    </row>
    <row r="90" spans="1:7" x14ac:dyDescent="0.3">
      <c r="A90">
        <v>89</v>
      </c>
      <c r="B90">
        <v>0.2576</v>
      </c>
      <c r="C90">
        <v>0.48</v>
      </c>
      <c r="D90">
        <v>0.1045</v>
      </c>
      <c r="E90">
        <v>1</v>
      </c>
      <c r="F90">
        <v>53</v>
      </c>
      <c r="G90">
        <v>54</v>
      </c>
    </row>
    <row r="91" spans="1:7" x14ac:dyDescent="0.3">
      <c r="A91">
        <v>90</v>
      </c>
      <c r="B91">
        <v>0.2727</v>
      </c>
      <c r="C91">
        <v>0.64</v>
      </c>
      <c r="D91">
        <v>0</v>
      </c>
      <c r="E91">
        <v>0</v>
      </c>
      <c r="F91">
        <v>48</v>
      </c>
      <c r="G91">
        <v>48</v>
      </c>
    </row>
    <row r="92" spans="1:7" x14ac:dyDescent="0.3">
      <c r="A92">
        <v>91</v>
      </c>
      <c r="B92">
        <v>0.2576</v>
      </c>
      <c r="C92">
        <v>0.64</v>
      </c>
      <c r="D92">
        <v>8.9599999999999999E-2</v>
      </c>
      <c r="E92">
        <v>1</v>
      </c>
      <c r="F92">
        <v>34</v>
      </c>
      <c r="G92">
        <v>35</v>
      </c>
    </row>
    <row r="93" spans="1:7" x14ac:dyDescent="0.3">
      <c r="A93">
        <v>92</v>
      </c>
      <c r="B93">
        <v>0.2273</v>
      </c>
      <c r="C93">
        <v>0.69</v>
      </c>
      <c r="D93">
        <v>8.9599999999999999E-2</v>
      </c>
      <c r="E93">
        <v>2</v>
      </c>
      <c r="F93">
        <v>9</v>
      </c>
      <c r="G93">
        <v>11</v>
      </c>
    </row>
    <row r="94" spans="1:7" x14ac:dyDescent="0.3">
      <c r="A94">
        <v>93</v>
      </c>
      <c r="B94">
        <v>0.2576</v>
      </c>
      <c r="C94">
        <v>0.64</v>
      </c>
      <c r="D94">
        <v>0</v>
      </c>
      <c r="E94">
        <v>0</v>
      </c>
      <c r="F94">
        <v>6</v>
      </c>
      <c r="G94">
        <v>6</v>
      </c>
    </row>
    <row r="95" spans="1:7" x14ac:dyDescent="0.3">
      <c r="A95">
        <v>94</v>
      </c>
      <c r="B95">
        <v>0.19700000000000001</v>
      </c>
      <c r="C95">
        <v>0.74</v>
      </c>
      <c r="D95">
        <v>8.9599999999999999E-2</v>
      </c>
      <c r="E95">
        <v>0</v>
      </c>
      <c r="F95">
        <v>6</v>
      </c>
      <c r="G95">
        <v>6</v>
      </c>
    </row>
    <row r="96" spans="1:7" x14ac:dyDescent="0.3">
      <c r="A96">
        <v>95</v>
      </c>
      <c r="B96">
        <v>0.19700000000000001</v>
      </c>
      <c r="C96">
        <v>0.74</v>
      </c>
      <c r="D96">
        <v>8.9599999999999999E-2</v>
      </c>
      <c r="E96">
        <v>0</v>
      </c>
      <c r="F96">
        <v>2</v>
      </c>
      <c r="G96">
        <v>2</v>
      </c>
    </row>
    <row r="97" spans="1:7" x14ac:dyDescent="0.3">
      <c r="A97">
        <v>96</v>
      </c>
      <c r="B97">
        <v>0.2273</v>
      </c>
      <c r="C97">
        <v>0.48</v>
      </c>
      <c r="D97">
        <v>0.22389999999999999</v>
      </c>
      <c r="E97">
        <v>0</v>
      </c>
      <c r="F97">
        <v>2</v>
      </c>
      <c r="G97">
        <v>2</v>
      </c>
    </row>
    <row r="98" spans="1:7" x14ac:dyDescent="0.3">
      <c r="A98">
        <v>97</v>
      </c>
      <c r="B98">
        <v>0.2273</v>
      </c>
      <c r="C98">
        <v>0.47</v>
      </c>
      <c r="D98">
        <v>0.16420000000000001</v>
      </c>
      <c r="E98">
        <v>0</v>
      </c>
      <c r="F98">
        <v>3</v>
      </c>
      <c r="G98">
        <v>3</v>
      </c>
    </row>
    <row r="99" spans="1:7" x14ac:dyDescent="0.3">
      <c r="A99">
        <v>98</v>
      </c>
      <c r="B99">
        <v>0.19700000000000001</v>
      </c>
      <c r="C99">
        <v>0.47</v>
      </c>
      <c r="D99">
        <v>0.22389999999999999</v>
      </c>
      <c r="E99">
        <v>0</v>
      </c>
      <c r="F99">
        <v>33</v>
      </c>
      <c r="G99">
        <v>33</v>
      </c>
    </row>
    <row r="100" spans="1:7" x14ac:dyDescent="0.3">
      <c r="A100">
        <v>99</v>
      </c>
      <c r="B100">
        <v>0.18179999999999999</v>
      </c>
      <c r="C100">
        <v>0.43</v>
      </c>
      <c r="D100">
        <v>0.19400000000000001</v>
      </c>
      <c r="E100">
        <v>1</v>
      </c>
      <c r="F100">
        <v>87</v>
      </c>
      <c r="G100">
        <v>88</v>
      </c>
    </row>
    <row r="101" spans="1:7" x14ac:dyDescent="0.3">
      <c r="A101">
        <v>100</v>
      </c>
      <c r="B101">
        <v>0.18179999999999999</v>
      </c>
      <c r="C101">
        <v>0.4</v>
      </c>
      <c r="D101">
        <v>0.29849999999999999</v>
      </c>
      <c r="E101">
        <v>3</v>
      </c>
      <c r="F101">
        <v>192</v>
      </c>
      <c r="G101">
        <v>195</v>
      </c>
    </row>
    <row r="102" spans="1:7" x14ac:dyDescent="0.3">
      <c r="A102">
        <v>101</v>
      </c>
      <c r="B102">
        <v>0.19700000000000001</v>
      </c>
      <c r="C102">
        <v>0.37</v>
      </c>
      <c r="D102">
        <v>0.32840000000000003</v>
      </c>
      <c r="E102">
        <v>6</v>
      </c>
      <c r="F102">
        <v>109</v>
      </c>
      <c r="G102">
        <v>115</v>
      </c>
    </row>
    <row r="103" spans="1:7" x14ac:dyDescent="0.3">
      <c r="A103">
        <v>102</v>
      </c>
      <c r="B103">
        <v>0.19700000000000001</v>
      </c>
      <c r="C103">
        <v>0.37</v>
      </c>
      <c r="D103">
        <v>0.32840000000000003</v>
      </c>
      <c r="E103">
        <v>4</v>
      </c>
      <c r="F103">
        <v>53</v>
      </c>
      <c r="G103">
        <v>57</v>
      </c>
    </row>
    <row r="104" spans="1:7" x14ac:dyDescent="0.3">
      <c r="A104">
        <v>103</v>
      </c>
      <c r="B104">
        <v>0.2273</v>
      </c>
      <c r="C104">
        <v>0.33</v>
      </c>
      <c r="D104">
        <v>0.32840000000000003</v>
      </c>
      <c r="E104">
        <v>12</v>
      </c>
      <c r="F104">
        <v>34</v>
      </c>
      <c r="G104">
        <v>46</v>
      </c>
    </row>
    <row r="105" spans="1:7" x14ac:dyDescent="0.3">
      <c r="A105">
        <v>104</v>
      </c>
      <c r="B105">
        <v>0.2273</v>
      </c>
      <c r="C105">
        <v>0.33</v>
      </c>
      <c r="D105">
        <v>0.32840000000000003</v>
      </c>
      <c r="E105">
        <v>5</v>
      </c>
      <c r="F105">
        <v>74</v>
      </c>
      <c r="G105">
        <v>79</v>
      </c>
    </row>
    <row r="106" spans="1:7" x14ac:dyDescent="0.3">
      <c r="A106">
        <v>105</v>
      </c>
      <c r="B106">
        <v>0.2576</v>
      </c>
      <c r="C106">
        <v>0.3</v>
      </c>
      <c r="D106">
        <v>0.29849999999999999</v>
      </c>
      <c r="E106">
        <v>6</v>
      </c>
      <c r="F106">
        <v>65</v>
      </c>
      <c r="G106">
        <v>71</v>
      </c>
    </row>
    <row r="107" spans="1:7" x14ac:dyDescent="0.3">
      <c r="A107">
        <v>106</v>
      </c>
      <c r="B107">
        <v>0.28789999999999999</v>
      </c>
      <c r="C107">
        <v>0.28000000000000003</v>
      </c>
      <c r="D107">
        <v>0.19400000000000001</v>
      </c>
      <c r="E107">
        <v>10</v>
      </c>
      <c r="F107">
        <v>52</v>
      </c>
      <c r="G107">
        <v>62</v>
      </c>
    </row>
    <row r="108" spans="1:7" x14ac:dyDescent="0.3">
      <c r="A108">
        <v>107</v>
      </c>
      <c r="B108">
        <v>0.28789999999999999</v>
      </c>
      <c r="C108">
        <v>0.28000000000000003</v>
      </c>
      <c r="D108">
        <v>0.19400000000000001</v>
      </c>
      <c r="E108">
        <v>7</v>
      </c>
      <c r="F108">
        <v>55</v>
      </c>
      <c r="G108">
        <v>62</v>
      </c>
    </row>
    <row r="109" spans="1:7" x14ac:dyDescent="0.3">
      <c r="A109">
        <v>108</v>
      </c>
      <c r="B109">
        <v>0.31819999999999998</v>
      </c>
      <c r="C109">
        <v>0.28000000000000003</v>
      </c>
      <c r="D109">
        <v>8.9599999999999999E-2</v>
      </c>
      <c r="E109">
        <v>4</v>
      </c>
      <c r="F109">
        <v>85</v>
      </c>
      <c r="G109">
        <v>89</v>
      </c>
    </row>
    <row r="110" spans="1:7" x14ac:dyDescent="0.3">
      <c r="A110">
        <v>109</v>
      </c>
      <c r="B110">
        <v>0.2273</v>
      </c>
      <c r="C110">
        <v>0.38</v>
      </c>
      <c r="D110">
        <v>0.19400000000000001</v>
      </c>
      <c r="E110">
        <v>4</v>
      </c>
      <c r="F110">
        <v>186</v>
      </c>
      <c r="G110">
        <v>190</v>
      </c>
    </row>
    <row r="111" spans="1:7" x14ac:dyDescent="0.3">
      <c r="A111">
        <v>110</v>
      </c>
      <c r="B111">
        <v>0.2424</v>
      </c>
      <c r="C111">
        <v>0.38</v>
      </c>
      <c r="D111">
        <v>0.1343</v>
      </c>
      <c r="E111">
        <v>3</v>
      </c>
      <c r="F111">
        <v>166</v>
      </c>
      <c r="G111">
        <v>169</v>
      </c>
    </row>
    <row r="112" spans="1:7" x14ac:dyDescent="0.3">
      <c r="A112">
        <v>111</v>
      </c>
      <c r="B112">
        <v>0.2576</v>
      </c>
      <c r="C112">
        <v>0.38</v>
      </c>
      <c r="D112">
        <v>0.1045</v>
      </c>
      <c r="E112">
        <v>5</v>
      </c>
      <c r="F112">
        <v>127</v>
      </c>
      <c r="G112">
        <v>132</v>
      </c>
    </row>
    <row r="113" spans="1:7" x14ac:dyDescent="0.3">
      <c r="A113">
        <v>112</v>
      </c>
      <c r="B113">
        <v>0.2273</v>
      </c>
      <c r="C113">
        <v>0.47</v>
      </c>
      <c r="D113">
        <v>0.16420000000000001</v>
      </c>
      <c r="E113">
        <v>7</v>
      </c>
      <c r="F113">
        <v>82</v>
      </c>
      <c r="G113">
        <v>89</v>
      </c>
    </row>
    <row r="114" spans="1:7" x14ac:dyDescent="0.3">
      <c r="A114">
        <v>113</v>
      </c>
      <c r="B114">
        <v>0.19700000000000001</v>
      </c>
      <c r="C114">
        <v>0.51</v>
      </c>
      <c r="D114">
        <v>0.19400000000000001</v>
      </c>
      <c r="E114">
        <v>3</v>
      </c>
      <c r="F114">
        <v>40</v>
      </c>
      <c r="G114">
        <v>43</v>
      </c>
    </row>
    <row r="115" spans="1:7" x14ac:dyDescent="0.3">
      <c r="A115">
        <v>114</v>
      </c>
      <c r="B115">
        <v>0.19700000000000001</v>
      </c>
      <c r="C115">
        <v>0.55000000000000004</v>
      </c>
      <c r="D115">
        <v>0.1343</v>
      </c>
      <c r="E115">
        <v>1</v>
      </c>
      <c r="F115">
        <v>41</v>
      </c>
      <c r="G115">
        <v>42</v>
      </c>
    </row>
    <row r="116" spans="1:7" x14ac:dyDescent="0.3">
      <c r="A116">
        <v>115</v>
      </c>
      <c r="B116">
        <v>0.2576</v>
      </c>
      <c r="C116">
        <v>0.47</v>
      </c>
      <c r="D116">
        <v>0</v>
      </c>
      <c r="E116">
        <v>1</v>
      </c>
      <c r="F116">
        <v>18</v>
      </c>
      <c r="G116">
        <v>19</v>
      </c>
    </row>
    <row r="117" spans="1:7" x14ac:dyDescent="0.3">
      <c r="A117">
        <v>116</v>
      </c>
      <c r="B117">
        <v>0.2424</v>
      </c>
      <c r="C117">
        <v>0.55000000000000004</v>
      </c>
      <c r="D117">
        <v>0</v>
      </c>
      <c r="E117">
        <v>0</v>
      </c>
      <c r="F117">
        <v>11</v>
      </c>
      <c r="G117">
        <v>11</v>
      </c>
    </row>
    <row r="118" spans="1:7" x14ac:dyDescent="0.3">
      <c r="A118">
        <v>117</v>
      </c>
      <c r="B118">
        <v>0.2273</v>
      </c>
      <c r="C118">
        <v>0.64</v>
      </c>
      <c r="D118">
        <v>0</v>
      </c>
      <c r="E118">
        <v>0</v>
      </c>
      <c r="F118">
        <v>4</v>
      </c>
      <c r="G118">
        <v>4</v>
      </c>
    </row>
    <row r="119" spans="1:7" x14ac:dyDescent="0.3">
      <c r="A119">
        <v>118</v>
      </c>
      <c r="B119">
        <v>0.2273</v>
      </c>
      <c r="C119">
        <v>0.64</v>
      </c>
      <c r="D119">
        <v>0</v>
      </c>
      <c r="E119">
        <v>0</v>
      </c>
      <c r="F119">
        <v>2</v>
      </c>
      <c r="G119">
        <v>2</v>
      </c>
    </row>
    <row r="120" spans="1:7" x14ac:dyDescent="0.3">
      <c r="A120">
        <v>119</v>
      </c>
      <c r="B120">
        <v>0.19700000000000001</v>
      </c>
      <c r="C120">
        <v>0.64</v>
      </c>
      <c r="D120">
        <v>8.9599999999999999E-2</v>
      </c>
      <c r="E120">
        <v>0</v>
      </c>
      <c r="F120">
        <v>1</v>
      </c>
      <c r="G120">
        <v>1</v>
      </c>
    </row>
    <row r="121" spans="1:7" x14ac:dyDescent="0.3">
      <c r="A121">
        <v>120</v>
      </c>
      <c r="B121">
        <v>0.18179999999999999</v>
      </c>
      <c r="C121">
        <v>0.69</v>
      </c>
      <c r="D121">
        <v>8.9599999999999999E-2</v>
      </c>
      <c r="E121">
        <v>0</v>
      </c>
      <c r="F121">
        <v>4</v>
      </c>
      <c r="G121">
        <v>4</v>
      </c>
    </row>
    <row r="122" spans="1:7" x14ac:dyDescent="0.3">
      <c r="A122">
        <v>121</v>
      </c>
      <c r="B122">
        <v>0.16669999999999999</v>
      </c>
      <c r="C122">
        <v>0.63</v>
      </c>
      <c r="D122">
        <v>0.1045</v>
      </c>
      <c r="E122">
        <v>0</v>
      </c>
      <c r="F122">
        <v>36</v>
      </c>
      <c r="G122">
        <v>36</v>
      </c>
    </row>
    <row r="123" spans="1:7" x14ac:dyDescent="0.3">
      <c r="A123">
        <v>122</v>
      </c>
      <c r="B123">
        <v>0.2273</v>
      </c>
      <c r="C123">
        <v>0.59</v>
      </c>
      <c r="D123">
        <v>0</v>
      </c>
      <c r="E123">
        <v>0</v>
      </c>
      <c r="F123">
        <v>95</v>
      </c>
      <c r="G123">
        <v>95</v>
      </c>
    </row>
    <row r="124" spans="1:7" x14ac:dyDescent="0.3">
      <c r="A124">
        <v>123</v>
      </c>
      <c r="B124">
        <v>0.2273</v>
      </c>
      <c r="C124">
        <v>0.59</v>
      </c>
      <c r="D124">
        <v>0</v>
      </c>
      <c r="E124">
        <v>3</v>
      </c>
      <c r="F124">
        <v>216</v>
      </c>
      <c r="G124">
        <v>219</v>
      </c>
    </row>
    <row r="125" spans="1:7" x14ac:dyDescent="0.3">
      <c r="A125">
        <v>124</v>
      </c>
      <c r="B125">
        <v>0.2424</v>
      </c>
      <c r="C125">
        <v>0.51</v>
      </c>
      <c r="D125">
        <v>0</v>
      </c>
      <c r="E125">
        <v>6</v>
      </c>
      <c r="F125">
        <v>116</v>
      </c>
      <c r="G125">
        <v>122</v>
      </c>
    </row>
    <row r="126" spans="1:7" x14ac:dyDescent="0.3">
      <c r="A126">
        <v>125</v>
      </c>
      <c r="B126">
        <v>0.2576</v>
      </c>
      <c r="C126">
        <v>0.47</v>
      </c>
      <c r="D126">
        <v>0</v>
      </c>
      <c r="E126">
        <v>3</v>
      </c>
      <c r="F126">
        <v>42</v>
      </c>
      <c r="G126">
        <v>45</v>
      </c>
    </row>
    <row r="127" spans="1:7" x14ac:dyDescent="0.3">
      <c r="A127">
        <v>126</v>
      </c>
      <c r="B127">
        <v>0.2576</v>
      </c>
      <c r="C127">
        <v>0.44</v>
      </c>
      <c r="D127">
        <v>8.9599999999999999E-2</v>
      </c>
      <c r="E127">
        <v>2</v>
      </c>
      <c r="F127">
        <v>57</v>
      </c>
      <c r="G127">
        <v>59</v>
      </c>
    </row>
    <row r="128" spans="1:7" x14ac:dyDescent="0.3">
      <c r="A128">
        <v>127</v>
      </c>
      <c r="B128">
        <v>0.28789999999999999</v>
      </c>
      <c r="C128">
        <v>0.35</v>
      </c>
      <c r="D128">
        <v>0</v>
      </c>
      <c r="E128">
        <v>6</v>
      </c>
      <c r="F128">
        <v>78</v>
      </c>
      <c r="G128">
        <v>84</v>
      </c>
    </row>
    <row r="129" spans="1:7" x14ac:dyDescent="0.3">
      <c r="A129">
        <v>128</v>
      </c>
      <c r="B129">
        <v>0.2727</v>
      </c>
      <c r="C129">
        <v>0.35</v>
      </c>
      <c r="D129">
        <v>0.1045</v>
      </c>
      <c r="E129">
        <v>12</v>
      </c>
      <c r="F129">
        <v>55</v>
      </c>
      <c r="G129">
        <v>67</v>
      </c>
    </row>
    <row r="130" spans="1:7" x14ac:dyDescent="0.3">
      <c r="A130">
        <v>129</v>
      </c>
      <c r="B130">
        <v>0.2727</v>
      </c>
      <c r="C130">
        <v>0.36</v>
      </c>
      <c r="D130">
        <v>0.16420000000000001</v>
      </c>
      <c r="E130">
        <v>11</v>
      </c>
      <c r="F130">
        <v>59</v>
      </c>
      <c r="G130">
        <v>70</v>
      </c>
    </row>
    <row r="131" spans="1:7" x14ac:dyDescent="0.3">
      <c r="A131">
        <v>130</v>
      </c>
      <c r="B131">
        <v>0.2727</v>
      </c>
      <c r="C131">
        <v>0.36</v>
      </c>
      <c r="D131">
        <v>0</v>
      </c>
      <c r="E131">
        <v>8</v>
      </c>
      <c r="F131">
        <v>54</v>
      </c>
      <c r="G131">
        <v>62</v>
      </c>
    </row>
    <row r="132" spans="1:7" x14ac:dyDescent="0.3">
      <c r="A132">
        <v>131</v>
      </c>
      <c r="B132">
        <v>0.2576</v>
      </c>
      <c r="C132">
        <v>0.38</v>
      </c>
      <c r="D132">
        <v>0.16420000000000001</v>
      </c>
      <c r="E132">
        <v>12</v>
      </c>
      <c r="F132">
        <v>74</v>
      </c>
      <c r="G132">
        <v>86</v>
      </c>
    </row>
    <row r="133" spans="1:7" x14ac:dyDescent="0.3">
      <c r="A133">
        <v>132</v>
      </c>
      <c r="B133">
        <v>0.2273</v>
      </c>
      <c r="C133">
        <v>0.51</v>
      </c>
      <c r="D133">
        <v>0.16420000000000001</v>
      </c>
      <c r="E133">
        <v>9</v>
      </c>
      <c r="F133">
        <v>163</v>
      </c>
      <c r="G133">
        <v>172</v>
      </c>
    </row>
    <row r="134" spans="1:7" x14ac:dyDescent="0.3">
      <c r="A134">
        <v>133</v>
      </c>
      <c r="B134">
        <v>0.2273</v>
      </c>
      <c r="C134">
        <v>0.51</v>
      </c>
      <c r="D134">
        <v>0.1343</v>
      </c>
      <c r="E134">
        <v>5</v>
      </c>
      <c r="F134">
        <v>158</v>
      </c>
      <c r="G134">
        <v>163</v>
      </c>
    </row>
    <row r="135" spans="1:7" x14ac:dyDescent="0.3">
      <c r="A135">
        <v>134</v>
      </c>
      <c r="B135">
        <v>0.2576</v>
      </c>
      <c r="C135">
        <v>0.55000000000000004</v>
      </c>
      <c r="D135">
        <v>8.9599999999999999E-2</v>
      </c>
      <c r="E135">
        <v>3</v>
      </c>
      <c r="F135">
        <v>109</v>
      </c>
      <c r="G135">
        <v>112</v>
      </c>
    </row>
    <row r="136" spans="1:7" x14ac:dyDescent="0.3">
      <c r="A136">
        <v>135</v>
      </c>
      <c r="B136">
        <v>0.21210000000000001</v>
      </c>
      <c r="C136">
        <v>0.51</v>
      </c>
      <c r="D136">
        <v>0.16420000000000001</v>
      </c>
      <c r="E136">
        <v>3</v>
      </c>
      <c r="F136">
        <v>66</v>
      </c>
      <c r="G136">
        <v>69</v>
      </c>
    </row>
    <row r="137" spans="1:7" x14ac:dyDescent="0.3">
      <c r="A137">
        <v>136</v>
      </c>
      <c r="B137">
        <v>0.21210000000000001</v>
      </c>
      <c r="C137">
        <v>0.55000000000000004</v>
      </c>
      <c r="D137">
        <v>0.22389999999999999</v>
      </c>
      <c r="E137">
        <v>0</v>
      </c>
      <c r="F137">
        <v>48</v>
      </c>
      <c r="G137">
        <v>48</v>
      </c>
    </row>
    <row r="138" spans="1:7" x14ac:dyDescent="0.3">
      <c r="A138">
        <v>137</v>
      </c>
      <c r="B138">
        <v>0.21210000000000001</v>
      </c>
      <c r="C138">
        <v>0.51</v>
      </c>
      <c r="D138">
        <v>0.28360000000000002</v>
      </c>
      <c r="E138">
        <v>1</v>
      </c>
      <c r="F138">
        <v>51</v>
      </c>
      <c r="G138">
        <v>52</v>
      </c>
    </row>
    <row r="139" spans="1:7" x14ac:dyDescent="0.3">
      <c r="A139">
        <v>138</v>
      </c>
      <c r="B139">
        <v>0.19700000000000001</v>
      </c>
      <c r="C139">
        <v>0.59</v>
      </c>
      <c r="D139">
        <v>0.19400000000000001</v>
      </c>
      <c r="E139">
        <v>4</v>
      </c>
      <c r="F139">
        <v>19</v>
      </c>
      <c r="G139">
        <v>23</v>
      </c>
    </row>
    <row r="140" spans="1:7" x14ac:dyDescent="0.3">
      <c r="A140">
        <v>139</v>
      </c>
      <c r="B140">
        <v>0.19700000000000001</v>
      </c>
      <c r="C140">
        <v>0.64</v>
      </c>
      <c r="D140">
        <v>0.19400000000000001</v>
      </c>
      <c r="E140">
        <v>4</v>
      </c>
      <c r="F140">
        <v>13</v>
      </c>
      <c r="G140">
        <v>17</v>
      </c>
    </row>
    <row r="141" spans="1:7" x14ac:dyDescent="0.3">
      <c r="A141">
        <v>140</v>
      </c>
      <c r="B141">
        <v>0.19700000000000001</v>
      </c>
      <c r="C141">
        <v>0.69</v>
      </c>
      <c r="D141">
        <v>0.22389999999999999</v>
      </c>
      <c r="E141">
        <v>2</v>
      </c>
      <c r="F141">
        <v>5</v>
      </c>
      <c r="G141">
        <v>7</v>
      </c>
    </row>
    <row r="142" spans="1:7" x14ac:dyDescent="0.3">
      <c r="A142">
        <v>141</v>
      </c>
      <c r="B142">
        <v>0.19700000000000001</v>
      </c>
      <c r="C142">
        <v>0.69</v>
      </c>
      <c r="D142">
        <v>0.22389999999999999</v>
      </c>
      <c r="E142">
        <v>0</v>
      </c>
      <c r="F142">
        <v>1</v>
      </c>
      <c r="G142">
        <v>1</v>
      </c>
    </row>
    <row r="143" spans="1:7" x14ac:dyDescent="0.3">
      <c r="A143">
        <v>142</v>
      </c>
      <c r="B143">
        <v>0.21210000000000001</v>
      </c>
      <c r="C143">
        <v>0.69</v>
      </c>
      <c r="D143">
        <v>0.1343</v>
      </c>
      <c r="E143">
        <v>0</v>
      </c>
      <c r="F143">
        <v>1</v>
      </c>
      <c r="G143">
        <v>1</v>
      </c>
    </row>
    <row r="144" spans="1:7" x14ac:dyDescent="0.3">
      <c r="A144">
        <v>143</v>
      </c>
      <c r="B144">
        <v>0.2727</v>
      </c>
      <c r="C144">
        <v>0.55000000000000004</v>
      </c>
      <c r="D144">
        <v>0</v>
      </c>
      <c r="E144">
        <v>0</v>
      </c>
      <c r="F144">
        <v>5</v>
      </c>
      <c r="G144">
        <v>5</v>
      </c>
    </row>
    <row r="145" spans="1:7" x14ac:dyDescent="0.3">
      <c r="A145">
        <v>144</v>
      </c>
      <c r="B145">
        <v>0.2576</v>
      </c>
      <c r="C145">
        <v>0.69</v>
      </c>
      <c r="D145">
        <v>0</v>
      </c>
      <c r="E145">
        <v>8</v>
      </c>
      <c r="F145">
        <v>26</v>
      </c>
      <c r="G145">
        <v>34</v>
      </c>
    </row>
    <row r="146" spans="1:7" x14ac:dyDescent="0.3">
      <c r="A146">
        <v>145</v>
      </c>
      <c r="B146">
        <v>0.21210000000000001</v>
      </c>
      <c r="C146">
        <v>0.69</v>
      </c>
      <c r="D146">
        <v>0.1343</v>
      </c>
      <c r="E146">
        <v>8</v>
      </c>
      <c r="F146">
        <v>76</v>
      </c>
      <c r="G146">
        <v>84</v>
      </c>
    </row>
    <row r="147" spans="1:7" x14ac:dyDescent="0.3">
      <c r="A147">
        <v>146</v>
      </c>
      <c r="B147">
        <v>0.19700000000000001</v>
      </c>
      <c r="C147">
        <v>0.51</v>
      </c>
      <c r="D147">
        <v>0.25369999999999998</v>
      </c>
      <c r="E147">
        <v>20</v>
      </c>
      <c r="F147">
        <v>190</v>
      </c>
      <c r="G147">
        <v>210</v>
      </c>
    </row>
    <row r="148" spans="1:7" x14ac:dyDescent="0.3">
      <c r="A148">
        <v>147</v>
      </c>
      <c r="B148">
        <v>0.18179999999999999</v>
      </c>
      <c r="C148">
        <v>0.47</v>
      </c>
      <c r="D148">
        <v>0.29849999999999999</v>
      </c>
      <c r="E148">
        <v>9</v>
      </c>
      <c r="F148">
        <v>125</v>
      </c>
      <c r="G148">
        <v>134</v>
      </c>
    </row>
    <row r="149" spans="1:7" x14ac:dyDescent="0.3">
      <c r="A149">
        <v>148</v>
      </c>
      <c r="B149">
        <v>0.19700000000000001</v>
      </c>
      <c r="C149">
        <v>0.37</v>
      </c>
      <c r="D149">
        <v>0.32840000000000003</v>
      </c>
      <c r="E149">
        <v>16</v>
      </c>
      <c r="F149">
        <v>47</v>
      </c>
      <c r="G149">
        <v>63</v>
      </c>
    </row>
    <row r="150" spans="1:7" x14ac:dyDescent="0.3">
      <c r="A150">
        <v>149</v>
      </c>
      <c r="B150">
        <v>0.19700000000000001</v>
      </c>
      <c r="C150">
        <v>0.4</v>
      </c>
      <c r="D150">
        <v>0.22389999999999999</v>
      </c>
      <c r="E150">
        <v>19</v>
      </c>
      <c r="F150">
        <v>48</v>
      </c>
      <c r="G150">
        <v>67</v>
      </c>
    </row>
    <row r="151" spans="1:7" x14ac:dyDescent="0.3">
      <c r="A151">
        <v>150</v>
      </c>
      <c r="B151">
        <v>0.19700000000000001</v>
      </c>
      <c r="C151">
        <v>0.37</v>
      </c>
      <c r="D151">
        <v>0.25369999999999998</v>
      </c>
      <c r="E151">
        <v>9</v>
      </c>
      <c r="F151">
        <v>50</v>
      </c>
      <c r="G151">
        <v>59</v>
      </c>
    </row>
    <row r="152" spans="1:7" x14ac:dyDescent="0.3">
      <c r="A152">
        <v>151</v>
      </c>
      <c r="B152">
        <v>0.18179999999999999</v>
      </c>
      <c r="C152">
        <v>0.37</v>
      </c>
      <c r="D152">
        <v>0.28360000000000002</v>
      </c>
      <c r="E152">
        <v>9</v>
      </c>
      <c r="F152">
        <v>64</v>
      </c>
      <c r="G152">
        <v>73</v>
      </c>
    </row>
    <row r="153" spans="1:7" x14ac:dyDescent="0.3">
      <c r="A153">
        <v>152</v>
      </c>
      <c r="B153">
        <v>0.19700000000000001</v>
      </c>
      <c r="C153">
        <v>0.4</v>
      </c>
      <c r="D153">
        <v>0.25369999999999998</v>
      </c>
      <c r="E153">
        <v>7</v>
      </c>
      <c r="F153">
        <v>43</v>
      </c>
      <c r="G153">
        <v>50</v>
      </c>
    </row>
    <row r="154" spans="1:7" x14ac:dyDescent="0.3">
      <c r="A154">
        <v>153</v>
      </c>
      <c r="B154">
        <v>0.21210000000000001</v>
      </c>
      <c r="C154">
        <v>0.37</v>
      </c>
      <c r="D154">
        <v>0.16420000000000001</v>
      </c>
      <c r="E154">
        <v>9</v>
      </c>
      <c r="F154">
        <v>63</v>
      </c>
      <c r="G154">
        <v>72</v>
      </c>
    </row>
    <row r="155" spans="1:7" x14ac:dyDescent="0.3">
      <c r="A155">
        <v>154</v>
      </c>
      <c r="B155">
        <v>0.21210000000000001</v>
      </c>
      <c r="C155">
        <v>0.37</v>
      </c>
      <c r="D155">
        <v>0.16420000000000001</v>
      </c>
      <c r="E155">
        <v>5</v>
      </c>
      <c r="F155">
        <v>82</v>
      </c>
      <c r="G155">
        <v>87</v>
      </c>
    </row>
    <row r="156" spans="1:7" x14ac:dyDescent="0.3">
      <c r="A156">
        <v>155</v>
      </c>
      <c r="B156">
        <v>0.2576</v>
      </c>
      <c r="C156">
        <v>0.37</v>
      </c>
      <c r="D156">
        <v>0</v>
      </c>
      <c r="E156">
        <v>9</v>
      </c>
      <c r="F156">
        <v>178</v>
      </c>
      <c r="G156">
        <v>187</v>
      </c>
    </row>
    <row r="157" spans="1:7" x14ac:dyDescent="0.3">
      <c r="A157">
        <v>156</v>
      </c>
      <c r="B157">
        <v>0.2273</v>
      </c>
      <c r="C157">
        <v>0.4</v>
      </c>
      <c r="D157">
        <v>8.9599999999999999E-2</v>
      </c>
      <c r="E157">
        <v>7</v>
      </c>
      <c r="F157">
        <v>116</v>
      </c>
      <c r="G157">
        <v>123</v>
      </c>
    </row>
    <row r="158" spans="1:7" x14ac:dyDescent="0.3">
      <c r="A158">
        <v>157</v>
      </c>
      <c r="B158">
        <v>0.19700000000000001</v>
      </c>
      <c r="C158">
        <v>0.55000000000000004</v>
      </c>
      <c r="D158">
        <v>8.9599999999999999E-2</v>
      </c>
      <c r="E158">
        <v>3</v>
      </c>
      <c r="F158">
        <v>92</v>
      </c>
      <c r="G158">
        <v>95</v>
      </c>
    </row>
    <row r="159" spans="1:7" x14ac:dyDescent="0.3">
      <c r="A159">
        <v>158</v>
      </c>
      <c r="B159">
        <v>0.21210000000000001</v>
      </c>
      <c r="C159">
        <v>0.47</v>
      </c>
      <c r="D159">
        <v>0.1045</v>
      </c>
      <c r="E159">
        <v>1</v>
      </c>
      <c r="F159">
        <v>50</v>
      </c>
      <c r="G159">
        <v>51</v>
      </c>
    </row>
    <row r="160" spans="1:7" x14ac:dyDescent="0.3">
      <c r="A160">
        <v>159</v>
      </c>
      <c r="B160">
        <v>0.19700000000000001</v>
      </c>
      <c r="C160">
        <v>0.47</v>
      </c>
      <c r="D160">
        <v>0.1343</v>
      </c>
      <c r="E160">
        <v>0</v>
      </c>
      <c r="F160">
        <v>39</v>
      </c>
      <c r="G160">
        <v>39</v>
      </c>
    </row>
    <row r="161" spans="1:7" x14ac:dyDescent="0.3">
      <c r="A161">
        <v>160</v>
      </c>
      <c r="B161">
        <v>0.19700000000000001</v>
      </c>
      <c r="C161">
        <v>0.43</v>
      </c>
      <c r="D161">
        <v>0.16420000000000001</v>
      </c>
      <c r="E161">
        <v>2</v>
      </c>
      <c r="F161">
        <v>34</v>
      </c>
      <c r="G161">
        <v>36</v>
      </c>
    </row>
    <row r="162" spans="1:7" x14ac:dyDescent="0.3">
      <c r="A162">
        <v>161</v>
      </c>
      <c r="B162">
        <v>0.19700000000000001</v>
      </c>
      <c r="C162">
        <v>0.51</v>
      </c>
      <c r="D162">
        <v>0.16420000000000001</v>
      </c>
      <c r="E162">
        <v>1</v>
      </c>
      <c r="F162">
        <v>14</v>
      </c>
      <c r="G162">
        <v>15</v>
      </c>
    </row>
    <row r="163" spans="1:7" x14ac:dyDescent="0.3">
      <c r="A163">
        <v>162</v>
      </c>
      <c r="B163">
        <v>0.19700000000000001</v>
      </c>
      <c r="C163">
        <v>0.51</v>
      </c>
      <c r="D163">
        <v>0.16420000000000001</v>
      </c>
      <c r="E163">
        <v>1</v>
      </c>
      <c r="F163">
        <v>24</v>
      </c>
      <c r="G163">
        <v>25</v>
      </c>
    </row>
    <row r="164" spans="1:7" x14ac:dyDescent="0.3">
      <c r="A164">
        <v>163</v>
      </c>
      <c r="B164">
        <v>0.21210000000000001</v>
      </c>
      <c r="C164">
        <v>0.55000000000000004</v>
      </c>
      <c r="D164">
        <v>8.9599999999999999E-2</v>
      </c>
      <c r="E164">
        <v>1</v>
      </c>
      <c r="F164">
        <v>15</v>
      </c>
      <c r="G164">
        <v>16</v>
      </c>
    </row>
    <row r="165" spans="1:7" x14ac:dyDescent="0.3">
      <c r="A165">
        <v>164</v>
      </c>
      <c r="B165">
        <v>0.2424</v>
      </c>
      <c r="C165">
        <v>0.55000000000000004</v>
      </c>
      <c r="D165">
        <v>0</v>
      </c>
      <c r="E165">
        <v>3</v>
      </c>
      <c r="F165">
        <v>13</v>
      </c>
      <c r="G165">
        <v>16</v>
      </c>
    </row>
    <row r="166" spans="1:7" x14ac:dyDescent="0.3">
      <c r="A166">
        <v>165</v>
      </c>
      <c r="B166">
        <v>0.19700000000000001</v>
      </c>
      <c r="C166">
        <v>0.55000000000000004</v>
      </c>
      <c r="D166">
        <v>0.16420000000000001</v>
      </c>
      <c r="E166">
        <v>0</v>
      </c>
      <c r="F166">
        <v>7</v>
      </c>
      <c r="G166">
        <v>7</v>
      </c>
    </row>
    <row r="167" spans="1:7" x14ac:dyDescent="0.3">
      <c r="A167">
        <v>166</v>
      </c>
      <c r="B167">
        <v>0.19700000000000001</v>
      </c>
      <c r="C167">
        <v>0.55000000000000004</v>
      </c>
      <c r="D167">
        <v>0.16420000000000001</v>
      </c>
      <c r="E167">
        <v>0</v>
      </c>
      <c r="F167">
        <v>1</v>
      </c>
      <c r="G167">
        <v>1</v>
      </c>
    </row>
    <row r="168" spans="1:7" x14ac:dyDescent="0.3">
      <c r="A168">
        <v>167</v>
      </c>
      <c r="B168">
        <v>0.16669999999999999</v>
      </c>
      <c r="C168">
        <v>0.74</v>
      </c>
      <c r="D168">
        <v>0.16420000000000001</v>
      </c>
      <c r="E168">
        <v>0</v>
      </c>
      <c r="F168">
        <v>5</v>
      </c>
      <c r="G168">
        <v>5</v>
      </c>
    </row>
    <row r="169" spans="1:7" x14ac:dyDescent="0.3">
      <c r="A169">
        <v>168</v>
      </c>
      <c r="B169">
        <v>0.16669999999999999</v>
      </c>
      <c r="C169">
        <v>0.74</v>
      </c>
      <c r="D169">
        <v>0.16420000000000001</v>
      </c>
      <c r="E169">
        <v>0</v>
      </c>
      <c r="F169">
        <v>2</v>
      </c>
      <c r="G169">
        <v>2</v>
      </c>
    </row>
    <row r="170" spans="1:7" x14ac:dyDescent="0.3">
      <c r="A170">
        <v>169</v>
      </c>
      <c r="B170">
        <v>0.18179999999999999</v>
      </c>
      <c r="C170">
        <v>0.74</v>
      </c>
      <c r="D170">
        <v>0.1045</v>
      </c>
      <c r="E170">
        <v>1</v>
      </c>
      <c r="F170">
        <v>8</v>
      </c>
      <c r="G170">
        <v>9</v>
      </c>
    </row>
    <row r="171" spans="1:7" x14ac:dyDescent="0.3">
      <c r="A171">
        <v>170</v>
      </c>
      <c r="B171">
        <v>0.18179999999999999</v>
      </c>
      <c r="C171">
        <v>0.93</v>
      </c>
      <c r="D171">
        <v>0.1045</v>
      </c>
      <c r="E171">
        <v>0</v>
      </c>
      <c r="F171">
        <v>15</v>
      </c>
      <c r="G171">
        <v>15</v>
      </c>
    </row>
    <row r="172" spans="1:7" x14ac:dyDescent="0.3">
      <c r="A172">
        <v>171</v>
      </c>
      <c r="B172">
        <v>0.18179999999999999</v>
      </c>
      <c r="C172">
        <v>0.93</v>
      </c>
      <c r="D172">
        <v>0.1045</v>
      </c>
      <c r="E172">
        <v>0</v>
      </c>
      <c r="F172">
        <v>20</v>
      </c>
      <c r="G172">
        <v>20</v>
      </c>
    </row>
    <row r="173" spans="1:7" x14ac:dyDescent="0.3">
      <c r="A173">
        <v>172</v>
      </c>
      <c r="B173">
        <v>0.19700000000000001</v>
      </c>
      <c r="C173">
        <v>0.8</v>
      </c>
      <c r="D173">
        <v>0.16420000000000001</v>
      </c>
      <c r="E173">
        <v>5</v>
      </c>
      <c r="F173">
        <v>56</v>
      </c>
      <c r="G173">
        <v>61</v>
      </c>
    </row>
    <row r="174" spans="1:7" x14ac:dyDescent="0.3">
      <c r="A174">
        <v>173</v>
      </c>
      <c r="B174">
        <v>0.18179999999999999</v>
      </c>
      <c r="C174">
        <v>0.69</v>
      </c>
      <c r="D174">
        <v>0.3881</v>
      </c>
      <c r="E174">
        <v>2</v>
      </c>
      <c r="F174">
        <v>60</v>
      </c>
      <c r="G174">
        <v>62</v>
      </c>
    </row>
    <row r="175" spans="1:7" x14ac:dyDescent="0.3">
      <c r="A175">
        <v>174</v>
      </c>
      <c r="B175">
        <v>0.18179999999999999</v>
      </c>
      <c r="C175">
        <v>0.59</v>
      </c>
      <c r="D175">
        <v>0.35820000000000002</v>
      </c>
      <c r="E175">
        <v>8</v>
      </c>
      <c r="F175">
        <v>90</v>
      </c>
      <c r="G175">
        <v>98</v>
      </c>
    </row>
    <row r="176" spans="1:7" x14ac:dyDescent="0.3">
      <c r="A176">
        <v>175</v>
      </c>
      <c r="B176">
        <v>0.18179999999999999</v>
      </c>
      <c r="C176">
        <v>0.44</v>
      </c>
      <c r="D176">
        <v>0.32840000000000003</v>
      </c>
      <c r="E176">
        <v>7</v>
      </c>
      <c r="F176">
        <v>95</v>
      </c>
      <c r="G176">
        <v>102</v>
      </c>
    </row>
    <row r="177" spans="1:7" x14ac:dyDescent="0.3">
      <c r="A177">
        <v>176</v>
      </c>
      <c r="B177">
        <v>0.16669999999999999</v>
      </c>
      <c r="C177">
        <v>0.32</v>
      </c>
      <c r="D177">
        <v>0.49249999999999999</v>
      </c>
      <c r="E177">
        <v>12</v>
      </c>
      <c r="F177">
        <v>83</v>
      </c>
      <c r="G177">
        <v>95</v>
      </c>
    </row>
    <row r="178" spans="1:7" x14ac:dyDescent="0.3">
      <c r="A178">
        <v>177</v>
      </c>
      <c r="B178">
        <v>0.16669999999999999</v>
      </c>
      <c r="C178">
        <v>0.32</v>
      </c>
      <c r="D178">
        <v>0.44779999999999998</v>
      </c>
      <c r="E178">
        <v>5</v>
      </c>
      <c r="F178">
        <v>69</v>
      </c>
      <c r="G178">
        <v>74</v>
      </c>
    </row>
    <row r="179" spans="1:7" x14ac:dyDescent="0.3">
      <c r="A179">
        <v>178</v>
      </c>
      <c r="B179">
        <v>0.13639999999999999</v>
      </c>
      <c r="C179">
        <v>0.28999999999999998</v>
      </c>
      <c r="D179">
        <v>0.44779999999999998</v>
      </c>
      <c r="E179">
        <v>8</v>
      </c>
      <c r="F179">
        <v>68</v>
      </c>
      <c r="G179">
        <v>76</v>
      </c>
    </row>
    <row r="180" spans="1:7" x14ac:dyDescent="0.3">
      <c r="A180">
        <v>179</v>
      </c>
      <c r="B180">
        <v>0.1212</v>
      </c>
      <c r="C180">
        <v>0.37</v>
      </c>
      <c r="D180">
        <v>0.55220000000000002</v>
      </c>
      <c r="E180">
        <v>5</v>
      </c>
      <c r="F180">
        <v>64</v>
      </c>
      <c r="G180">
        <v>69</v>
      </c>
    </row>
    <row r="181" spans="1:7" x14ac:dyDescent="0.3">
      <c r="A181">
        <v>180</v>
      </c>
      <c r="B181">
        <v>0.1212</v>
      </c>
      <c r="C181">
        <v>0.39</v>
      </c>
      <c r="D181">
        <v>0.29849999999999999</v>
      </c>
      <c r="E181">
        <v>3</v>
      </c>
      <c r="F181">
        <v>52</v>
      </c>
      <c r="G181">
        <v>55</v>
      </c>
    </row>
    <row r="182" spans="1:7" x14ac:dyDescent="0.3">
      <c r="A182">
        <v>181</v>
      </c>
      <c r="B182">
        <v>0.1212</v>
      </c>
      <c r="C182">
        <v>0.36</v>
      </c>
      <c r="D182">
        <v>0.25369999999999998</v>
      </c>
      <c r="E182">
        <v>4</v>
      </c>
      <c r="F182">
        <v>26</v>
      </c>
      <c r="G182">
        <v>30</v>
      </c>
    </row>
    <row r="183" spans="1:7" x14ac:dyDescent="0.3">
      <c r="A183">
        <v>182</v>
      </c>
      <c r="B183">
        <v>0.1212</v>
      </c>
      <c r="C183">
        <v>0.36</v>
      </c>
      <c r="D183">
        <v>0.25369999999999998</v>
      </c>
      <c r="E183">
        <v>0</v>
      </c>
      <c r="F183">
        <v>28</v>
      </c>
      <c r="G183">
        <v>28</v>
      </c>
    </row>
    <row r="184" spans="1:7" x14ac:dyDescent="0.3">
      <c r="A184">
        <v>183</v>
      </c>
      <c r="B184">
        <v>0.1061</v>
      </c>
      <c r="C184">
        <v>0.39</v>
      </c>
      <c r="D184">
        <v>0.35820000000000002</v>
      </c>
      <c r="E184">
        <v>2</v>
      </c>
      <c r="F184">
        <v>35</v>
      </c>
      <c r="G184">
        <v>37</v>
      </c>
    </row>
    <row r="185" spans="1:7" x14ac:dyDescent="0.3">
      <c r="A185">
        <v>184</v>
      </c>
      <c r="B185">
        <v>0.1061</v>
      </c>
      <c r="C185">
        <v>0.36</v>
      </c>
      <c r="D185">
        <v>0.3881</v>
      </c>
      <c r="E185">
        <v>1</v>
      </c>
      <c r="F185">
        <v>33</v>
      </c>
      <c r="G185">
        <v>34</v>
      </c>
    </row>
    <row r="186" spans="1:7" x14ac:dyDescent="0.3">
      <c r="A186">
        <v>185</v>
      </c>
      <c r="B186">
        <v>6.0600000000000001E-2</v>
      </c>
      <c r="C186">
        <v>0.39</v>
      </c>
      <c r="D186">
        <v>0.44779999999999998</v>
      </c>
      <c r="E186">
        <v>0</v>
      </c>
      <c r="F186">
        <v>22</v>
      </c>
      <c r="G186">
        <v>22</v>
      </c>
    </row>
    <row r="187" spans="1:7" x14ac:dyDescent="0.3">
      <c r="A187">
        <v>186</v>
      </c>
      <c r="B187">
        <v>7.5800000000000006E-2</v>
      </c>
      <c r="C187">
        <v>0.42</v>
      </c>
      <c r="D187">
        <v>0.3881</v>
      </c>
      <c r="E187">
        <v>1</v>
      </c>
      <c r="F187">
        <v>24</v>
      </c>
      <c r="G187">
        <v>25</v>
      </c>
    </row>
    <row r="188" spans="1:7" x14ac:dyDescent="0.3">
      <c r="A188">
        <v>187</v>
      </c>
      <c r="B188">
        <v>6.0600000000000001E-2</v>
      </c>
      <c r="C188">
        <v>0.42</v>
      </c>
      <c r="D188">
        <v>0.4627</v>
      </c>
      <c r="E188">
        <v>0</v>
      </c>
      <c r="F188">
        <v>12</v>
      </c>
      <c r="G188">
        <v>12</v>
      </c>
    </row>
    <row r="189" spans="1:7" x14ac:dyDescent="0.3">
      <c r="A189">
        <v>188</v>
      </c>
      <c r="B189">
        <v>6.0600000000000001E-2</v>
      </c>
      <c r="C189">
        <v>0.46</v>
      </c>
      <c r="D189">
        <v>0.4627</v>
      </c>
      <c r="E189">
        <v>0</v>
      </c>
      <c r="F189">
        <v>11</v>
      </c>
      <c r="G189">
        <v>11</v>
      </c>
    </row>
    <row r="190" spans="1:7" x14ac:dyDescent="0.3">
      <c r="A190">
        <v>189</v>
      </c>
      <c r="B190">
        <v>7.5800000000000006E-2</v>
      </c>
      <c r="C190">
        <v>0.46</v>
      </c>
      <c r="D190">
        <v>0.41789999999999999</v>
      </c>
      <c r="E190">
        <v>0</v>
      </c>
      <c r="F190">
        <v>4</v>
      </c>
      <c r="G190">
        <v>4</v>
      </c>
    </row>
    <row r="191" spans="1:7" x14ac:dyDescent="0.3">
      <c r="A191">
        <v>190</v>
      </c>
      <c r="B191">
        <v>9.0899999999999995E-2</v>
      </c>
      <c r="C191">
        <v>0.53</v>
      </c>
      <c r="D191">
        <v>0.19400000000000001</v>
      </c>
      <c r="E191">
        <v>0</v>
      </c>
      <c r="F191">
        <v>1</v>
      </c>
      <c r="G191">
        <v>1</v>
      </c>
    </row>
    <row r="192" spans="1:7" x14ac:dyDescent="0.3">
      <c r="A192">
        <v>191</v>
      </c>
      <c r="B192">
        <v>9.0899999999999995E-2</v>
      </c>
      <c r="C192">
        <v>0.53</v>
      </c>
      <c r="D192">
        <v>0.19400000000000001</v>
      </c>
      <c r="E192">
        <v>0</v>
      </c>
      <c r="F192">
        <v>1</v>
      </c>
      <c r="G192">
        <v>1</v>
      </c>
    </row>
    <row r="193" spans="1:7" x14ac:dyDescent="0.3">
      <c r="A193">
        <v>192</v>
      </c>
      <c r="B193">
        <v>9.0899999999999995E-2</v>
      </c>
      <c r="C193">
        <v>0.49</v>
      </c>
      <c r="D193">
        <v>0.28360000000000002</v>
      </c>
      <c r="E193">
        <v>0</v>
      </c>
      <c r="F193">
        <v>1</v>
      </c>
      <c r="G193">
        <v>1</v>
      </c>
    </row>
    <row r="194" spans="1:7" x14ac:dyDescent="0.3">
      <c r="A194">
        <v>193</v>
      </c>
      <c r="B194">
        <v>9.0899999999999995E-2</v>
      </c>
      <c r="C194">
        <v>0.53</v>
      </c>
      <c r="D194">
        <v>0.19400000000000001</v>
      </c>
      <c r="E194">
        <v>1</v>
      </c>
      <c r="F194">
        <v>5</v>
      </c>
      <c r="G194">
        <v>6</v>
      </c>
    </row>
    <row r="195" spans="1:7" x14ac:dyDescent="0.3">
      <c r="A195">
        <v>194</v>
      </c>
      <c r="B195">
        <v>9.0899999999999995E-2</v>
      </c>
      <c r="C195">
        <v>0.49</v>
      </c>
      <c r="D195">
        <v>0.28360000000000002</v>
      </c>
      <c r="E195">
        <v>0</v>
      </c>
      <c r="F195">
        <v>10</v>
      </c>
      <c r="G195">
        <v>10</v>
      </c>
    </row>
    <row r="196" spans="1:7" x14ac:dyDescent="0.3">
      <c r="A196">
        <v>195</v>
      </c>
      <c r="B196">
        <v>7.5800000000000006E-2</v>
      </c>
      <c r="C196">
        <v>0.46</v>
      </c>
      <c r="D196">
        <v>0.52239999999999998</v>
      </c>
      <c r="E196">
        <v>0</v>
      </c>
      <c r="F196">
        <v>19</v>
      </c>
      <c r="G196">
        <v>19</v>
      </c>
    </row>
    <row r="197" spans="1:7" x14ac:dyDescent="0.3">
      <c r="A197">
        <v>196</v>
      </c>
      <c r="B197">
        <v>0.1061</v>
      </c>
      <c r="C197">
        <v>0.43</v>
      </c>
      <c r="D197">
        <v>0.3881</v>
      </c>
      <c r="E197">
        <v>0</v>
      </c>
      <c r="F197">
        <v>49</v>
      </c>
      <c r="G197">
        <v>49</v>
      </c>
    </row>
    <row r="198" spans="1:7" x14ac:dyDescent="0.3">
      <c r="A198">
        <v>197</v>
      </c>
      <c r="B198">
        <v>0.1212</v>
      </c>
      <c r="C198">
        <v>0.4</v>
      </c>
      <c r="D198">
        <v>0.52239999999999998</v>
      </c>
      <c r="E198">
        <v>2</v>
      </c>
      <c r="F198">
        <v>47</v>
      </c>
      <c r="G198">
        <v>49</v>
      </c>
    </row>
    <row r="199" spans="1:7" x14ac:dyDescent="0.3">
      <c r="A199">
        <v>198</v>
      </c>
      <c r="B199">
        <v>0.13639999999999999</v>
      </c>
      <c r="C199">
        <v>0.37</v>
      </c>
      <c r="D199">
        <v>0.44779999999999998</v>
      </c>
      <c r="E199">
        <v>4</v>
      </c>
      <c r="F199">
        <v>79</v>
      </c>
      <c r="G199">
        <v>83</v>
      </c>
    </row>
    <row r="200" spans="1:7" x14ac:dyDescent="0.3">
      <c r="A200">
        <v>199</v>
      </c>
      <c r="B200">
        <v>0.16669999999999999</v>
      </c>
      <c r="C200">
        <v>0.34</v>
      </c>
      <c r="D200">
        <v>0.44779999999999998</v>
      </c>
      <c r="E200">
        <v>6</v>
      </c>
      <c r="F200">
        <v>69</v>
      </c>
      <c r="G200">
        <v>75</v>
      </c>
    </row>
    <row r="201" spans="1:7" x14ac:dyDescent="0.3">
      <c r="A201">
        <v>200</v>
      </c>
      <c r="B201">
        <v>0.18179999999999999</v>
      </c>
      <c r="C201">
        <v>0.32</v>
      </c>
      <c r="D201">
        <v>0.4627</v>
      </c>
      <c r="E201">
        <v>8</v>
      </c>
      <c r="F201">
        <v>64</v>
      </c>
      <c r="G201">
        <v>72</v>
      </c>
    </row>
    <row r="202" spans="1:7" x14ac:dyDescent="0.3">
      <c r="A202">
        <v>201</v>
      </c>
      <c r="B202">
        <v>0.19700000000000001</v>
      </c>
      <c r="C202">
        <v>0.35</v>
      </c>
      <c r="D202">
        <v>0.35820000000000002</v>
      </c>
      <c r="E202">
        <v>5</v>
      </c>
      <c r="F202">
        <v>77</v>
      </c>
      <c r="G202">
        <v>82</v>
      </c>
    </row>
    <row r="203" spans="1:7" x14ac:dyDescent="0.3">
      <c r="A203">
        <v>202</v>
      </c>
      <c r="B203">
        <v>0.16669999999999999</v>
      </c>
      <c r="C203">
        <v>0.34</v>
      </c>
      <c r="D203">
        <v>0.44779999999999998</v>
      </c>
      <c r="E203">
        <v>13</v>
      </c>
      <c r="F203">
        <v>79</v>
      </c>
      <c r="G203">
        <v>92</v>
      </c>
    </row>
    <row r="204" spans="1:7" x14ac:dyDescent="0.3">
      <c r="A204">
        <v>203</v>
      </c>
      <c r="B204">
        <v>0.1515</v>
      </c>
      <c r="C204">
        <v>0.37</v>
      </c>
      <c r="D204">
        <v>0.3881</v>
      </c>
      <c r="E204">
        <v>3</v>
      </c>
      <c r="F204">
        <v>59</v>
      </c>
      <c r="G204">
        <v>62</v>
      </c>
    </row>
    <row r="205" spans="1:7" x14ac:dyDescent="0.3">
      <c r="A205">
        <v>204</v>
      </c>
      <c r="B205">
        <v>0.13639999999999999</v>
      </c>
      <c r="C205">
        <v>0.4</v>
      </c>
      <c r="D205">
        <v>0.32840000000000003</v>
      </c>
      <c r="E205">
        <v>4</v>
      </c>
      <c r="F205">
        <v>44</v>
      </c>
      <c r="G205">
        <v>48</v>
      </c>
    </row>
    <row r="206" spans="1:7" x14ac:dyDescent="0.3">
      <c r="A206">
        <v>205</v>
      </c>
      <c r="B206">
        <v>0.13639999999999999</v>
      </c>
      <c r="C206">
        <v>0.43</v>
      </c>
      <c r="D206">
        <v>0.32840000000000003</v>
      </c>
      <c r="E206">
        <v>1</v>
      </c>
      <c r="F206">
        <v>40</v>
      </c>
      <c r="G206">
        <v>41</v>
      </c>
    </row>
    <row r="207" spans="1:7" x14ac:dyDescent="0.3">
      <c r="A207">
        <v>206</v>
      </c>
      <c r="B207">
        <v>0.1212</v>
      </c>
      <c r="C207">
        <v>0.46</v>
      </c>
      <c r="D207">
        <v>0.25369999999999998</v>
      </c>
      <c r="E207">
        <v>0</v>
      </c>
      <c r="F207">
        <v>38</v>
      </c>
      <c r="G207">
        <v>38</v>
      </c>
    </row>
    <row r="208" spans="1:7" x14ac:dyDescent="0.3">
      <c r="A208">
        <v>207</v>
      </c>
      <c r="B208">
        <v>0.1061</v>
      </c>
      <c r="C208">
        <v>0.46</v>
      </c>
      <c r="D208">
        <v>0.41789999999999999</v>
      </c>
      <c r="E208">
        <v>1</v>
      </c>
      <c r="F208">
        <v>19</v>
      </c>
      <c r="G208">
        <v>20</v>
      </c>
    </row>
    <row r="209" spans="1:7" x14ac:dyDescent="0.3">
      <c r="A209">
        <v>208</v>
      </c>
      <c r="B209">
        <v>0.1212</v>
      </c>
      <c r="C209">
        <v>0.46</v>
      </c>
      <c r="D209">
        <v>0.29849999999999999</v>
      </c>
      <c r="E209">
        <v>5</v>
      </c>
      <c r="F209">
        <v>10</v>
      </c>
      <c r="G209">
        <v>15</v>
      </c>
    </row>
    <row r="210" spans="1:7" x14ac:dyDescent="0.3">
      <c r="A210">
        <v>209</v>
      </c>
      <c r="B210">
        <v>0.13639999999999999</v>
      </c>
      <c r="C210">
        <v>0.5</v>
      </c>
      <c r="D210">
        <v>0.19400000000000001</v>
      </c>
      <c r="E210">
        <v>0</v>
      </c>
      <c r="F210">
        <v>6</v>
      </c>
      <c r="G210">
        <v>6</v>
      </c>
    </row>
    <row r="211" spans="1:7" x14ac:dyDescent="0.3">
      <c r="A211">
        <v>210</v>
      </c>
      <c r="B211">
        <v>0.1212</v>
      </c>
      <c r="C211">
        <v>0.5</v>
      </c>
      <c r="D211">
        <v>0.28360000000000002</v>
      </c>
      <c r="E211">
        <v>2</v>
      </c>
      <c r="F211">
        <v>3</v>
      </c>
      <c r="G211">
        <v>5</v>
      </c>
    </row>
    <row r="212" spans="1:7" x14ac:dyDescent="0.3">
      <c r="A212">
        <v>211</v>
      </c>
      <c r="B212">
        <v>0.1212</v>
      </c>
      <c r="C212">
        <v>0.5</v>
      </c>
      <c r="D212">
        <v>0.28360000000000002</v>
      </c>
      <c r="E212">
        <v>1</v>
      </c>
      <c r="F212">
        <v>0</v>
      </c>
      <c r="G212">
        <v>1</v>
      </c>
    </row>
    <row r="213" spans="1:7" x14ac:dyDescent="0.3">
      <c r="A213">
        <v>212</v>
      </c>
      <c r="B213">
        <v>0.1212</v>
      </c>
      <c r="C213">
        <v>0.5</v>
      </c>
      <c r="D213">
        <v>0.22389999999999999</v>
      </c>
      <c r="E213">
        <v>0</v>
      </c>
      <c r="F213">
        <v>3</v>
      </c>
      <c r="G213">
        <v>3</v>
      </c>
    </row>
    <row r="214" spans="1:7" x14ac:dyDescent="0.3">
      <c r="A214">
        <v>213</v>
      </c>
      <c r="B214">
        <v>0.1212</v>
      </c>
      <c r="C214">
        <v>0.5</v>
      </c>
      <c r="D214">
        <v>0.22389999999999999</v>
      </c>
      <c r="E214">
        <v>0</v>
      </c>
      <c r="F214">
        <v>1</v>
      </c>
      <c r="G214">
        <v>1</v>
      </c>
    </row>
    <row r="215" spans="1:7" x14ac:dyDescent="0.3">
      <c r="A215">
        <v>214</v>
      </c>
      <c r="B215">
        <v>0.1212</v>
      </c>
      <c r="C215">
        <v>0.54</v>
      </c>
      <c r="D215">
        <v>0.1343</v>
      </c>
      <c r="E215">
        <v>1</v>
      </c>
      <c r="F215">
        <v>2</v>
      </c>
      <c r="G215">
        <v>3</v>
      </c>
    </row>
    <row r="216" spans="1:7" x14ac:dyDescent="0.3">
      <c r="A216">
        <v>215</v>
      </c>
      <c r="B216">
        <v>0.1061</v>
      </c>
      <c r="C216">
        <v>0.54</v>
      </c>
      <c r="D216">
        <v>0.25369999999999998</v>
      </c>
      <c r="E216">
        <v>0</v>
      </c>
      <c r="F216">
        <v>3</v>
      </c>
      <c r="G216">
        <v>3</v>
      </c>
    </row>
    <row r="217" spans="1:7" x14ac:dyDescent="0.3">
      <c r="A217">
        <v>216</v>
      </c>
      <c r="B217">
        <v>0.1212</v>
      </c>
      <c r="C217">
        <v>0.5</v>
      </c>
      <c r="D217">
        <v>0.28360000000000002</v>
      </c>
      <c r="E217">
        <v>0</v>
      </c>
      <c r="F217">
        <v>31</v>
      </c>
      <c r="G217">
        <v>31</v>
      </c>
    </row>
    <row r="218" spans="1:7" x14ac:dyDescent="0.3">
      <c r="A218">
        <v>217</v>
      </c>
      <c r="B218">
        <v>0.1212</v>
      </c>
      <c r="C218">
        <v>0.5</v>
      </c>
      <c r="D218">
        <v>0.22389999999999999</v>
      </c>
      <c r="E218">
        <v>2</v>
      </c>
      <c r="F218">
        <v>75</v>
      </c>
      <c r="G218">
        <v>77</v>
      </c>
    </row>
    <row r="219" spans="1:7" x14ac:dyDescent="0.3">
      <c r="A219">
        <v>218</v>
      </c>
      <c r="B219">
        <v>0.1212</v>
      </c>
      <c r="C219">
        <v>0.5</v>
      </c>
      <c r="D219">
        <v>0.28360000000000002</v>
      </c>
      <c r="E219">
        <v>4</v>
      </c>
      <c r="F219">
        <v>184</v>
      </c>
      <c r="G219">
        <v>188</v>
      </c>
    </row>
    <row r="220" spans="1:7" x14ac:dyDescent="0.3">
      <c r="A220">
        <v>219</v>
      </c>
      <c r="B220">
        <v>0.1212</v>
      </c>
      <c r="C220">
        <v>0.5</v>
      </c>
      <c r="D220">
        <v>0.25369999999999998</v>
      </c>
      <c r="E220">
        <v>2</v>
      </c>
      <c r="F220">
        <v>92</v>
      </c>
      <c r="G220">
        <v>94</v>
      </c>
    </row>
    <row r="221" spans="1:7" x14ac:dyDescent="0.3">
      <c r="A221">
        <v>220</v>
      </c>
      <c r="B221">
        <v>0.1212</v>
      </c>
      <c r="C221">
        <v>0.5</v>
      </c>
      <c r="D221">
        <v>0.29849999999999999</v>
      </c>
      <c r="E221">
        <v>0</v>
      </c>
      <c r="F221">
        <v>31</v>
      </c>
      <c r="G221">
        <v>31</v>
      </c>
    </row>
    <row r="222" spans="1:7" x14ac:dyDescent="0.3">
      <c r="A222">
        <v>221</v>
      </c>
      <c r="B222">
        <v>0.13639999999999999</v>
      </c>
      <c r="C222">
        <v>0.47</v>
      </c>
      <c r="D222">
        <v>0.28360000000000002</v>
      </c>
      <c r="E222">
        <v>2</v>
      </c>
      <c r="F222">
        <v>28</v>
      </c>
      <c r="G222">
        <v>30</v>
      </c>
    </row>
    <row r="223" spans="1:7" x14ac:dyDescent="0.3">
      <c r="A223">
        <v>222</v>
      </c>
      <c r="B223">
        <v>0.18179999999999999</v>
      </c>
      <c r="C223">
        <v>0.4</v>
      </c>
      <c r="D223">
        <v>0.28360000000000002</v>
      </c>
      <c r="E223">
        <v>5</v>
      </c>
      <c r="F223">
        <v>47</v>
      </c>
      <c r="G223">
        <v>52</v>
      </c>
    </row>
    <row r="224" spans="1:7" x14ac:dyDescent="0.3">
      <c r="A224">
        <v>223</v>
      </c>
      <c r="B224">
        <v>0.18179999999999999</v>
      </c>
      <c r="C224">
        <v>0.4</v>
      </c>
      <c r="D224">
        <v>0.28360000000000002</v>
      </c>
      <c r="E224">
        <v>4</v>
      </c>
      <c r="F224">
        <v>50</v>
      </c>
      <c r="G224">
        <v>54</v>
      </c>
    </row>
    <row r="225" spans="1:7" x14ac:dyDescent="0.3">
      <c r="A225">
        <v>224</v>
      </c>
      <c r="B225">
        <v>0.19700000000000001</v>
      </c>
      <c r="C225">
        <v>0.4</v>
      </c>
      <c r="D225">
        <v>0.22389999999999999</v>
      </c>
      <c r="E225">
        <v>0</v>
      </c>
      <c r="F225">
        <v>47</v>
      </c>
      <c r="G225">
        <v>47</v>
      </c>
    </row>
    <row r="226" spans="1:7" x14ac:dyDescent="0.3">
      <c r="A226">
        <v>225</v>
      </c>
      <c r="B226">
        <v>0.19700000000000001</v>
      </c>
      <c r="C226">
        <v>0.4</v>
      </c>
      <c r="D226">
        <v>0.22389999999999999</v>
      </c>
      <c r="E226">
        <v>2</v>
      </c>
      <c r="F226">
        <v>43</v>
      </c>
      <c r="G226">
        <v>45</v>
      </c>
    </row>
    <row r="227" spans="1:7" x14ac:dyDescent="0.3">
      <c r="A227">
        <v>226</v>
      </c>
      <c r="B227">
        <v>0.21210000000000001</v>
      </c>
      <c r="C227">
        <v>0.4</v>
      </c>
      <c r="D227">
        <v>0.1343</v>
      </c>
      <c r="E227">
        <v>4</v>
      </c>
      <c r="F227">
        <v>70</v>
      </c>
      <c r="G227">
        <v>74</v>
      </c>
    </row>
    <row r="228" spans="1:7" x14ac:dyDescent="0.3">
      <c r="A228">
        <v>227</v>
      </c>
      <c r="B228">
        <v>0.2273</v>
      </c>
      <c r="C228">
        <v>0.4</v>
      </c>
      <c r="D228">
        <v>0.1045</v>
      </c>
      <c r="E228">
        <v>4</v>
      </c>
      <c r="F228">
        <v>174</v>
      </c>
      <c r="G228">
        <v>178</v>
      </c>
    </row>
    <row r="229" spans="1:7" x14ac:dyDescent="0.3">
      <c r="A229">
        <v>228</v>
      </c>
      <c r="B229">
        <v>0.19700000000000001</v>
      </c>
      <c r="C229">
        <v>0.4</v>
      </c>
      <c r="D229">
        <v>0.22389999999999999</v>
      </c>
      <c r="E229">
        <v>1</v>
      </c>
      <c r="F229">
        <v>154</v>
      </c>
      <c r="G229">
        <v>155</v>
      </c>
    </row>
    <row r="230" spans="1:7" x14ac:dyDescent="0.3">
      <c r="A230">
        <v>229</v>
      </c>
      <c r="B230">
        <v>0.16669999999999999</v>
      </c>
      <c r="C230">
        <v>0.47</v>
      </c>
      <c r="D230">
        <v>0.16420000000000001</v>
      </c>
      <c r="E230">
        <v>3</v>
      </c>
      <c r="F230">
        <v>92</v>
      </c>
      <c r="G230">
        <v>95</v>
      </c>
    </row>
    <row r="231" spans="1:7" x14ac:dyDescent="0.3">
      <c r="A231">
        <v>230</v>
      </c>
      <c r="B231">
        <v>0.16669999999999999</v>
      </c>
      <c r="C231">
        <v>0.5</v>
      </c>
      <c r="D231">
        <v>0.16420000000000001</v>
      </c>
      <c r="E231">
        <v>1</v>
      </c>
      <c r="F231">
        <v>73</v>
      </c>
      <c r="G231">
        <v>74</v>
      </c>
    </row>
    <row r="232" spans="1:7" x14ac:dyDescent="0.3">
      <c r="A232">
        <v>231</v>
      </c>
      <c r="B232">
        <v>0.13639999999999999</v>
      </c>
      <c r="C232">
        <v>0.59</v>
      </c>
      <c r="D232">
        <v>0.19400000000000001</v>
      </c>
      <c r="E232">
        <v>1</v>
      </c>
      <c r="F232">
        <v>37</v>
      </c>
      <c r="G232">
        <v>38</v>
      </c>
    </row>
    <row r="233" spans="1:7" x14ac:dyDescent="0.3">
      <c r="A233">
        <v>232</v>
      </c>
      <c r="B233">
        <v>0.1515</v>
      </c>
      <c r="C233">
        <v>0.59</v>
      </c>
      <c r="D233">
        <v>0.16420000000000001</v>
      </c>
      <c r="E233">
        <v>2</v>
      </c>
      <c r="F233">
        <v>22</v>
      </c>
      <c r="G233">
        <v>24</v>
      </c>
    </row>
    <row r="234" spans="1:7" x14ac:dyDescent="0.3">
      <c r="A234">
        <v>233</v>
      </c>
      <c r="B234">
        <v>0.1515</v>
      </c>
      <c r="C234">
        <v>0.59</v>
      </c>
      <c r="D234">
        <v>0.16420000000000001</v>
      </c>
      <c r="E234">
        <v>0</v>
      </c>
      <c r="F234">
        <v>18</v>
      </c>
      <c r="G234">
        <v>18</v>
      </c>
    </row>
    <row r="235" spans="1:7" x14ac:dyDescent="0.3">
      <c r="A235">
        <v>234</v>
      </c>
      <c r="B235">
        <v>0.16669999999999999</v>
      </c>
      <c r="C235">
        <v>0.59</v>
      </c>
      <c r="D235">
        <v>0.1045</v>
      </c>
      <c r="E235">
        <v>2</v>
      </c>
      <c r="F235">
        <v>10</v>
      </c>
      <c r="G235">
        <v>12</v>
      </c>
    </row>
    <row r="236" spans="1:7" x14ac:dyDescent="0.3">
      <c r="A236">
        <v>235</v>
      </c>
      <c r="B236">
        <v>0.1515</v>
      </c>
      <c r="C236">
        <v>0.59</v>
      </c>
      <c r="D236">
        <v>0.16420000000000001</v>
      </c>
      <c r="E236">
        <v>0</v>
      </c>
      <c r="F236">
        <v>3</v>
      </c>
      <c r="G236">
        <v>3</v>
      </c>
    </row>
    <row r="237" spans="1:7" x14ac:dyDescent="0.3">
      <c r="A237">
        <v>236</v>
      </c>
      <c r="B237">
        <v>0.1515</v>
      </c>
      <c r="C237">
        <v>0.55000000000000004</v>
      </c>
      <c r="D237">
        <v>0.19400000000000001</v>
      </c>
      <c r="E237">
        <v>0</v>
      </c>
      <c r="F237">
        <v>3</v>
      </c>
      <c r="G237">
        <v>3</v>
      </c>
    </row>
    <row r="238" spans="1:7" x14ac:dyDescent="0.3">
      <c r="A238">
        <v>237</v>
      </c>
      <c r="B238">
        <v>0.18179999999999999</v>
      </c>
      <c r="C238">
        <v>0.55000000000000004</v>
      </c>
      <c r="D238">
        <v>0.1343</v>
      </c>
      <c r="E238">
        <v>0</v>
      </c>
      <c r="F238">
        <v>6</v>
      </c>
      <c r="G238">
        <v>6</v>
      </c>
    </row>
    <row r="239" spans="1:7" x14ac:dyDescent="0.3">
      <c r="A239">
        <v>238</v>
      </c>
      <c r="B239">
        <v>0.18179999999999999</v>
      </c>
      <c r="C239">
        <v>0.55000000000000004</v>
      </c>
      <c r="D239">
        <v>0.1343</v>
      </c>
      <c r="E239">
        <v>0</v>
      </c>
      <c r="F239">
        <v>27</v>
      </c>
      <c r="G239">
        <v>27</v>
      </c>
    </row>
    <row r="240" spans="1:7" x14ac:dyDescent="0.3">
      <c r="A240">
        <v>239</v>
      </c>
      <c r="B240">
        <v>0.2273</v>
      </c>
      <c r="C240">
        <v>0.55000000000000004</v>
      </c>
      <c r="D240">
        <v>0</v>
      </c>
      <c r="E240">
        <v>2</v>
      </c>
      <c r="F240">
        <v>97</v>
      </c>
      <c r="G240">
        <v>99</v>
      </c>
    </row>
    <row r="241" spans="1:7" x14ac:dyDescent="0.3">
      <c r="A241">
        <v>240</v>
      </c>
      <c r="B241">
        <v>0.21210000000000001</v>
      </c>
      <c r="C241">
        <v>0.51</v>
      </c>
      <c r="D241">
        <v>8.9599999999999999E-2</v>
      </c>
      <c r="E241">
        <v>3</v>
      </c>
      <c r="F241">
        <v>214</v>
      </c>
      <c r="G241">
        <v>217</v>
      </c>
    </row>
    <row r="242" spans="1:7" x14ac:dyDescent="0.3">
      <c r="A242">
        <v>241</v>
      </c>
      <c r="B242">
        <v>0.19700000000000001</v>
      </c>
      <c r="C242">
        <v>0.51</v>
      </c>
      <c r="D242">
        <v>0.16420000000000001</v>
      </c>
      <c r="E242">
        <v>3</v>
      </c>
      <c r="F242">
        <v>127</v>
      </c>
      <c r="G242">
        <v>130</v>
      </c>
    </row>
    <row r="243" spans="1:7" x14ac:dyDescent="0.3">
      <c r="A243">
        <v>242</v>
      </c>
      <c r="B243">
        <v>0.21210000000000001</v>
      </c>
      <c r="C243">
        <v>0.51</v>
      </c>
      <c r="D243">
        <v>0.16420000000000001</v>
      </c>
      <c r="E243">
        <v>3</v>
      </c>
      <c r="F243">
        <v>51</v>
      </c>
      <c r="G243">
        <v>54</v>
      </c>
    </row>
    <row r="244" spans="1:7" x14ac:dyDescent="0.3">
      <c r="A244">
        <v>243</v>
      </c>
      <c r="B244">
        <v>0.21210000000000001</v>
      </c>
      <c r="C244">
        <v>0.47</v>
      </c>
      <c r="D244">
        <v>0.1343</v>
      </c>
      <c r="E244">
        <v>4</v>
      </c>
      <c r="F244">
        <v>31</v>
      </c>
      <c r="G244">
        <v>35</v>
      </c>
    </row>
    <row r="245" spans="1:7" x14ac:dyDescent="0.3">
      <c r="A245">
        <v>244</v>
      </c>
      <c r="B245">
        <v>0.2273</v>
      </c>
      <c r="C245">
        <v>0.51</v>
      </c>
      <c r="D245">
        <v>0.1045</v>
      </c>
      <c r="E245">
        <v>2</v>
      </c>
      <c r="F245">
        <v>55</v>
      </c>
      <c r="G245">
        <v>57</v>
      </c>
    </row>
    <row r="246" spans="1:7" x14ac:dyDescent="0.3">
      <c r="A246">
        <v>245</v>
      </c>
      <c r="B246">
        <v>0.2273</v>
      </c>
      <c r="C246">
        <v>0.59</v>
      </c>
      <c r="D246">
        <v>8.9599999999999999E-2</v>
      </c>
      <c r="E246">
        <v>6</v>
      </c>
      <c r="F246">
        <v>46</v>
      </c>
      <c r="G246">
        <v>52</v>
      </c>
    </row>
    <row r="247" spans="1:7" x14ac:dyDescent="0.3">
      <c r="A247">
        <v>246</v>
      </c>
      <c r="B247">
        <v>0.2273</v>
      </c>
      <c r="C247">
        <v>0.59</v>
      </c>
      <c r="D247">
        <v>8.9599999999999999E-2</v>
      </c>
      <c r="E247">
        <v>3</v>
      </c>
      <c r="F247">
        <v>60</v>
      </c>
      <c r="G247">
        <v>63</v>
      </c>
    </row>
    <row r="248" spans="1:7" x14ac:dyDescent="0.3">
      <c r="A248">
        <v>247</v>
      </c>
      <c r="B248">
        <v>0.19700000000000001</v>
      </c>
      <c r="C248">
        <v>0.8</v>
      </c>
      <c r="D248">
        <v>8.9599999999999999E-2</v>
      </c>
      <c r="E248">
        <v>2</v>
      </c>
      <c r="F248">
        <v>45</v>
      </c>
      <c r="G248">
        <v>47</v>
      </c>
    </row>
    <row r="249" spans="1:7" x14ac:dyDescent="0.3">
      <c r="A249">
        <v>248</v>
      </c>
      <c r="B249">
        <v>0.1515</v>
      </c>
      <c r="C249">
        <v>0.86</v>
      </c>
      <c r="D249">
        <v>0.22389999999999999</v>
      </c>
      <c r="E249">
        <v>4</v>
      </c>
      <c r="F249">
        <v>72</v>
      </c>
      <c r="G249">
        <v>76</v>
      </c>
    </row>
    <row r="250" spans="1:7" x14ac:dyDescent="0.3">
      <c r="A250">
        <v>249</v>
      </c>
      <c r="B250">
        <v>0.1515</v>
      </c>
      <c r="C250">
        <v>0.86</v>
      </c>
      <c r="D250">
        <v>0.22389999999999999</v>
      </c>
      <c r="E250">
        <v>6</v>
      </c>
      <c r="F250">
        <v>130</v>
      </c>
      <c r="G250">
        <v>136</v>
      </c>
    </row>
    <row r="251" spans="1:7" x14ac:dyDescent="0.3">
      <c r="A251">
        <v>250</v>
      </c>
      <c r="B251">
        <v>0.18179999999999999</v>
      </c>
      <c r="C251">
        <v>0.93</v>
      </c>
      <c r="D251">
        <v>0.1045</v>
      </c>
      <c r="E251">
        <v>1</v>
      </c>
      <c r="F251">
        <v>94</v>
      </c>
      <c r="G251">
        <v>95</v>
      </c>
    </row>
    <row r="252" spans="1:7" x14ac:dyDescent="0.3">
      <c r="A252">
        <v>251</v>
      </c>
      <c r="B252">
        <v>0.2273</v>
      </c>
      <c r="C252">
        <v>0.93</v>
      </c>
      <c r="D252">
        <v>0</v>
      </c>
      <c r="E252">
        <v>0</v>
      </c>
      <c r="F252">
        <v>51</v>
      </c>
      <c r="G252">
        <v>51</v>
      </c>
    </row>
    <row r="253" spans="1:7" x14ac:dyDescent="0.3">
      <c r="A253">
        <v>252</v>
      </c>
      <c r="B253">
        <v>0.1515</v>
      </c>
      <c r="C253">
        <v>0.93</v>
      </c>
      <c r="D253">
        <v>0.19400000000000001</v>
      </c>
      <c r="E253">
        <v>0</v>
      </c>
      <c r="F253">
        <v>32</v>
      </c>
      <c r="G253">
        <v>32</v>
      </c>
    </row>
    <row r="254" spans="1:7" x14ac:dyDescent="0.3">
      <c r="A254">
        <v>253</v>
      </c>
      <c r="B254">
        <v>0.19700000000000001</v>
      </c>
      <c r="C254">
        <v>0.86</v>
      </c>
      <c r="D254">
        <v>8.9599999999999999E-2</v>
      </c>
      <c r="E254">
        <v>0</v>
      </c>
      <c r="F254">
        <v>20</v>
      </c>
      <c r="G254">
        <v>20</v>
      </c>
    </row>
    <row r="255" spans="1:7" x14ac:dyDescent="0.3">
      <c r="A255">
        <v>254</v>
      </c>
      <c r="B255">
        <v>0.18179999999999999</v>
      </c>
      <c r="C255">
        <v>0.93</v>
      </c>
      <c r="D255">
        <v>0.1045</v>
      </c>
      <c r="E255">
        <v>1</v>
      </c>
      <c r="F255">
        <v>28</v>
      </c>
      <c r="G255">
        <v>29</v>
      </c>
    </row>
    <row r="256" spans="1:7" x14ac:dyDescent="0.3">
      <c r="A256">
        <v>255</v>
      </c>
      <c r="B256">
        <v>0.19700000000000001</v>
      </c>
      <c r="C256">
        <v>0.93</v>
      </c>
      <c r="D256">
        <v>8.9599999999999999E-2</v>
      </c>
      <c r="E256">
        <v>1</v>
      </c>
      <c r="F256">
        <v>18</v>
      </c>
      <c r="G256">
        <v>19</v>
      </c>
    </row>
    <row r="257" spans="1:7" x14ac:dyDescent="0.3">
      <c r="A257">
        <v>256</v>
      </c>
      <c r="B257">
        <v>0.19700000000000001</v>
      </c>
      <c r="C257">
        <v>0.86</v>
      </c>
      <c r="D257">
        <v>8.9599999999999999E-2</v>
      </c>
      <c r="E257">
        <v>0</v>
      </c>
      <c r="F257">
        <v>7</v>
      </c>
      <c r="G257">
        <v>7</v>
      </c>
    </row>
    <row r="258" spans="1:7" x14ac:dyDescent="0.3">
      <c r="A258">
        <v>257</v>
      </c>
      <c r="B258">
        <v>0.18179999999999999</v>
      </c>
      <c r="C258">
        <v>0.86</v>
      </c>
      <c r="D258">
        <v>0.1045</v>
      </c>
      <c r="E258">
        <v>0</v>
      </c>
      <c r="F258">
        <v>6</v>
      </c>
      <c r="G258">
        <v>6</v>
      </c>
    </row>
    <row r="259" spans="1:7" x14ac:dyDescent="0.3">
      <c r="A259">
        <v>258</v>
      </c>
      <c r="B259">
        <v>0.1515</v>
      </c>
      <c r="C259">
        <v>0.86</v>
      </c>
      <c r="D259">
        <v>0.1343</v>
      </c>
      <c r="E259">
        <v>0</v>
      </c>
      <c r="F259">
        <v>1</v>
      </c>
      <c r="G259">
        <v>1</v>
      </c>
    </row>
    <row r="260" spans="1:7" x14ac:dyDescent="0.3">
      <c r="A260">
        <v>259</v>
      </c>
      <c r="B260">
        <v>0.1515</v>
      </c>
      <c r="C260">
        <v>0.86</v>
      </c>
      <c r="D260">
        <v>0.16420000000000001</v>
      </c>
      <c r="E260">
        <v>0</v>
      </c>
      <c r="F260">
        <v>5</v>
      </c>
      <c r="G260">
        <v>5</v>
      </c>
    </row>
    <row r="261" spans="1:7" x14ac:dyDescent="0.3">
      <c r="A261">
        <v>260</v>
      </c>
      <c r="B261">
        <v>0.1515</v>
      </c>
      <c r="C261">
        <v>0.93</v>
      </c>
      <c r="D261">
        <v>0.1343</v>
      </c>
      <c r="E261">
        <v>0</v>
      </c>
      <c r="F261">
        <v>16</v>
      </c>
      <c r="G261">
        <v>16</v>
      </c>
    </row>
    <row r="262" spans="1:7" x14ac:dyDescent="0.3">
      <c r="A262">
        <v>261</v>
      </c>
      <c r="B262">
        <v>0.1515</v>
      </c>
      <c r="C262">
        <v>0.69</v>
      </c>
      <c r="D262">
        <v>0.1343</v>
      </c>
      <c r="E262">
        <v>0</v>
      </c>
      <c r="F262">
        <v>54</v>
      </c>
      <c r="G262">
        <v>54</v>
      </c>
    </row>
    <row r="263" spans="1:7" x14ac:dyDescent="0.3">
      <c r="A263">
        <v>262</v>
      </c>
      <c r="B263">
        <v>0.16669999999999999</v>
      </c>
      <c r="C263">
        <v>0.59</v>
      </c>
      <c r="D263">
        <v>0.16420000000000001</v>
      </c>
      <c r="E263">
        <v>3</v>
      </c>
      <c r="F263">
        <v>125</v>
      </c>
      <c r="G263">
        <v>128</v>
      </c>
    </row>
    <row r="264" spans="1:7" x14ac:dyDescent="0.3">
      <c r="A264">
        <v>263</v>
      </c>
      <c r="B264">
        <v>0.13639999999999999</v>
      </c>
      <c r="C264">
        <v>0.59</v>
      </c>
      <c r="D264">
        <v>0.32840000000000003</v>
      </c>
      <c r="E264">
        <v>3</v>
      </c>
      <c r="F264">
        <v>78</v>
      </c>
      <c r="G264">
        <v>81</v>
      </c>
    </row>
    <row r="265" spans="1:7" x14ac:dyDescent="0.3">
      <c r="A265">
        <v>264</v>
      </c>
      <c r="B265">
        <v>0.18179999999999999</v>
      </c>
      <c r="C265">
        <v>0.55000000000000004</v>
      </c>
      <c r="D265">
        <v>0.22389999999999999</v>
      </c>
      <c r="E265">
        <v>0</v>
      </c>
      <c r="F265">
        <v>39</v>
      </c>
      <c r="G265">
        <v>39</v>
      </c>
    </row>
    <row r="266" spans="1:7" x14ac:dyDescent="0.3">
      <c r="A266">
        <v>265</v>
      </c>
      <c r="B266">
        <v>0.18179999999999999</v>
      </c>
      <c r="C266">
        <v>0.51</v>
      </c>
      <c r="D266">
        <v>0.3881</v>
      </c>
      <c r="E266">
        <v>3</v>
      </c>
      <c r="F266">
        <v>32</v>
      </c>
      <c r="G266">
        <v>35</v>
      </c>
    </row>
    <row r="267" spans="1:7" x14ac:dyDescent="0.3">
      <c r="A267">
        <v>266</v>
      </c>
      <c r="B267">
        <v>0.1515</v>
      </c>
      <c r="C267">
        <v>0.47</v>
      </c>
      <c r="D267">
        <v>0.58209999999999995</v>
      </c>
      <c r="E267">
        <v>3</v>
      </c>
      <c r="F267">
        <v>52</v>
      </c>
      <c r="G267">
        <v>55</v>
      </c>
    </row>
    <row r="268" spans="1:7" x14ac:dyDescent="0.3">
      <c r="A268">
        <v>267</v>
      </c>
      <c r="B268">
        <v>0.19700000000000001</v>
      </c>
      <c r="C268">
        <v>0.44</v>
      </c>
      <c r="D268">
        <v>0.35820000000000002</v>
      </c>
      <c r="E268">
        <v>0</v>
      </c>
      <c r="F268">
        <v>49</v>
      </c>
      <c r="G268">
        <v>49</v>
      </c>
    </row>
    <row r="269" spans="1:7" x14ac:dyDescent="0.3">
      <c r="A269">
        <v>268</v>
      </c>
      <c r="B269">
        <v>0.18179999999999999</v>
      </c>
      <c r="C269">
        <v>0.47</v>
      </c>
      <c r="D269">
        <v>0.32840000000000003</v>
      </c>
      <c r="E269">
        <v>0</v>
      </c>
      <c r="F269">
        <v>44</v>
      </c>
      <c r="G269">
        <v>44</v>
      </c>
    </row>
    <row r="270" spans="1:7" x14ac:dyDescent="0.3">
      <c r="A270">
        <v>269</v>
      </c>
      <c r="B270">
        <v>0.16669999999999999</v>
      </c>
      <c r="C270">
        <v>0.47</v>
      </c>
      <c r="D270">
        <v>0.41789999999999999</v>
      </c>
      <c r="E270">
        <v>1</v>
      </c>
      <c r="F270">
        <v>48</v>
      </c>
      <c r="G270">
        <v>49</v>
      </c>
    </row>
    <row r="271" spans="1:7" x14ac:dyDescent="0.3">
      <c r="A271">
        <v>270</v>
      </c>
      <c r="B271">
        <v>0.19700000000000001</v>
      </c>
      <c r="C271">
        <v>0.44</v>
      </c>
      <c r="D271">
        <v>0.32840000000000003</v>
      </c>
      <c r="E271">
        <v>5</v>
      </c>
      <c r="F271">
        <v>63</v>
      </c>
      <c r="G271">
        <v>68</v>
      </c>
    </row>
    <row r="272" spans="1:7" x14ac:dyDescent="0.3">
      <c r="A272">
        <v>271</v>
      </c>
      <c r="B272">
        <v>0.18179999999999999</v>
      </c>
      <c r="C272">
        <v>0.47</v>
      </c>
      <c r="D272">
        <v>0.35820000000000002</v>
      </c>
      <c r="E272">
        <v>0</v>
      </c>
      <c r="F272">
        <v>139</v>
      </c>
      <c r="G272">
        <v>139</v>
      </c>
    </row>
    <row r="273" spans="1:7" x14ac:dyDescent="0.3">
      <c r="A273">
        <v>272</v>
      </c>
      <c r="B273">
        <v>0.1515</v>
      </c>
      <c r="C273">
        <v>0.47</v>
      </c>
      <c r="D273">
        <v>0.52239999999999998</v>
      </c>
      <c r="E273">
        <v>2</v>
      </c>
      <c r="F273">
        <v>135</v>
      </c>
      <c r="G273">
        <v>137</v>
      </c>
    </row>
    <row r="274" spans="1:7" x14ac:dyDescent="0.3">
      <c r="A274">
        <v>273</v>
      </c>
      <c r="B274">
        <v>0.1515</v>
      </c>
      <c r="C274">
        <v>0.47</v>
      </c>
      <c r="D274">
        <v>0.41789999999999999</v>
      </c>
      <c r="E274">
        <v>1</v>
      </c>
      <c r="F274">
        <v>82</v>
      </c>
      <c r="G274">
        <v>83</v>
      </c>
    </row>
    <row r="275" spans="1:7" x14ac:dyDescent="0.3">
      <c r="A275">
        <v>274</v>
      </c>
      <c r="B275">
        <v>0.13639999999999999</v>
      </c>
      <c r="C275">
        <v>0.5</v>
      </c>
      <c r="D275">
        <v>0.32840000000000003</v>
      </c>
      <c r="E275">
        <v>2</v>
      </c>
      <c r="F275">
        <v>54</v>
      </c>
      <c r="G275">
        <v>56</v>
      </c>
    </row>
    <row r="276" spans="1:7" x14ac:dyDescent="0.3">
      <c r="A276">
        <v>275</v>
      </c>
      <c r="B276">
        <v>0.13639999999999999</v>
      </c>
      <c r="C276">
        <v>0.55000000000000004</v>
      </c>
      <c r="D276">
        <v>0.32840000000000003</v>
      </c>
      <c r="E276">
        <v>0</v>
      </c>
      <c r="F276">
        <v>57</v>
      </c>
      <c r="G276">
        <v>57</v>
      </c>
    </row>
    <row r="277" spans="1:7" x14ac:dyDescent="0.3">
      <c r="A277">
        <v>276</v>
      </c>
      <c r="B277">
        <v>0.1212</v>
      </c>
      <c r="C277">
        <v>0.55000000000000004</v>
      </c>
      <c r="D277">
        <v>0.44779999999999998</v>
      </c>
      <c r="E277">
        <v>1</v>
      </c>
      <c r="F277">
        <v>32</v>
      </c>
      <c r="G277">
        <v>33</v>
      </c>
    </row>
    <row r="278" spans="1:7" x14ac:dyDescent="0.3">
      <c r="A278">
        <v>277</v>
      </c>
      <c r="B278">
        <v>0.1061</v>
      </c>
      <c r="C278">
        <v>0.59</v>
      </c>
      <c r="D278">
        <v>0.41789999999999999</v>
      </c>
      <c r="E278">
        <v>1</v>
      </c>
      <c r="F278">
        <v>19</v>
      </c>
      <c r="G278">
        <v>20</v>
      </c>
    </row>
    <row r="279" spans="1:7" x14ac:dyDescent="0.3">
      <c r="A279">
        <v>278</v>
      </c>
      <c r="B279">
        <v>0.1212</v>
      </c>
      <c r="C279">
        <v>0.59</v>
      </c>
      <c r="D279">
        <v>0.28360000000000002</v>
      </c>
      <c r="E279">
        <v>1</v>
      </c>
      <c r="F279">
        <v>6</v>
      </c>
      <c r="G279">
        <v>7</v>
      </c>
    </row>
    <row r="280" spans="1:7" x14ac:dyDescent="0.3">
      <c r="A280">
        <v>279</v>
      </c>
      <c r="B280">
        <v>0.1212</v>
      </c>
      <c r="C280">
        <v>0.5</v>
      </c>
      <c r="D280">
        <v>0.28360000000000002</v>
      </c>
      <c r="E280">
        <v>0</v>
      </c>
      <c r="F280">
        <v>2</v>
      </c>
      <c r="G280">
        <v>2</v>
      </c>
    </row>
    <row r="281" spans="1:7" x14ac:dyDescent="0.3">
      <c r="A281">
        <v>280</v>
      </c>
      <c r="B281">
        <v>0.1212</v>
      </c>
      <c r="C281">
        <v>0.5</v>
      </c>
      <c r="D281">
        <v>0.35820000000000002</v>
      </c>
      <c r="E281">
        <v>0</v>
      </c>
      <c r="F281">
        <v>2</v>
      </c>
      <c r="G281">
        <v>2</v>
      </c>
    </row>
    <row r="282" spans="1:7" x14ac:dyDescent="0.3">
      <c r="A282">
        <v>281</v>
      </c>
      <c r="B282">
        <v>0.1212</v>
      </c>
      <c r="C282">
        <v>0.5</v>
      </c>
      <c r="D282">
        <v>0.32840000000000003</v>
      </c>
      <c r="E282">
        <v>0</v>
      </c>
      <c r="F282">
        <v>3</v>
      </c>
      <c r="G282">
        <v>3</v>
      </c>
    </row>
    <row r="283" spans="1:7" x14ac:dyDescent="0.3">
      <c r="A283">
        <v>282</v>
      </c>
      <c r="B283">
        <v>0.1212</v>
      </c>
      <c r="C283">
        <v>0.5</v>
      </c>
      <c r="D283">
        <v>0.25369999999999998</v>
      </c>
      <c r="E283">
        <v>0</v>
      </c>
      <c r="F283">
        <v>4</v>
      </c>
      <c r="G283">
        <v>4</v>
      </c>
    </row>
    <row r="284" spans="1:7" x14ac:dyDescent="0.3">
      <c r="A284">
        <v>283</v>
      </c>
      <c r="B284">
        <v>0.1212</v>
      </c>
      <c r="C284">
        <v>0.5</v>
      </c>
      <c r="D284">
        <v>0.29849999999999999</v>
      </c>
      <c r="E284">
        <v>0</v>
      </c>
      <c r="F284">
        <v>3</v>
      </c>
      <c r="G284">
        <v>3</v>
      </c>
    </row>
    <row r="285" spans="1:7" x14ac:dyDescent="0.3">
      <c r="A285">
        <v>284</v>
      </c>
      <c r="B285">
        <v>0.1515</v>
      </c>
      <c r="C285">
        <v>0.54</v>
      </c>
      <c r="D285">
        <v>0.1343</v>
      </c>
      <c r="E285">
        <v>0</v>
      </c>
      <c r="F285">
        <v>28</v>
      </c>
      <c r="G285">
        <v>28</v>
      </c>
    </row>
    <row r="286" spans="1:7" x14ac:dyDescent="0.3">
      <c r="A286">
        <v>285</v>
      </c>
      <c r="B286">
        <v>0.1515</v>
      </c>
      <c r="C286">
        <v>0.54</v>
      </c>
      <c r="D286">
        <v>0.1343</v>
      </c>
      <c r="E286">
        <v>0</v>
      </c>
      <c r="F286">
        <v>72</v>
      </c>
      <c r="G286">
        <v>72</v>
      </c>
    </row>
    <row r="287" spans="1:7" x14ac:dyDescent="0.3">
      <c r="A287">
        <v>286</v>
      </c>
      <c r="B287">
        <v>0.13639999999999999</v>
      </c>
      <c r="C287">
        <v>0.5</v>
      </c>
      <c r="D287">
        <v>0.19400000000000001</v>
      </c>
      <c r="E287">
        <v>5</v>
      </c>
      <c r="F287">
        <v>197</v>
      </c>
      <c r="G287">
        <v>202</v>
      </c>
    </row>
    <row r="288" spans="1:7" x14ac:dyDescent="0.3">
      <c r="A288">
        <v>287</v>
      </c>
      <c r="B288">
        <v>0.1212</v>
      </c>
      <c r="C288">
        <v>0.5</v>
      </c>
      <c r="D288">
        <v>0.32840000000000003</v>
      </c>
      <c r="E288">
        <v>2</v>
      </c>
      <c r="F288">
        <v>137</v>
      </c>
      <c r="G288">
        <v>139</v>
      </c>
    </row>
    <row r="289" spans="1:7" x14ac:dyDescent="0.3">
      <c r="A289">
        <v>288</v>
      </c>
      <c r="B289">
        <v>0.13639999999999999</v>
      </c>
      <c r="C289">
        <v>0.5</v>
      </c>
      <c r="D289">
        <v>0.35820000000000002</v>
      </c>
      <c r="E289">
        <v>2</v>
      </c>
      <c r="F289">
        <v>36</v>
      </c>
      <c r="G289">
        <v>38</v>
      </c>
    </row>
    <row r="290" spans="1:7" x14ac:dyDescent="0.3">
      <c r="A290">
        <v>289</v>
      </c>
      <c r="B290">
        <v>0.16669999999999999</v>
      </c>
      <c r="C290">
        <v>0.44</v>
      </c>
      <c r="D290">
        <v>0.44779999999999998</v>
      </c>
      <c r="E290">
        <v>4</v>
      </c>
      <c r="F290">
        <v>33</v>
      </c>
      <c r="G290">
        <v>37</v>
      </c>
    </row>
    <row r="291" spans="1:7" x14ac:dyDescent="0.3">
      <c r="A291">
        <v>290</v>
      </c>
      <c r="B291">
        <v>0.16669999999999999</v>
      </c>
      <c r="C291">
        <v>0.44</v>
      </c>
      <c r="D291">
        <v>0.41789999999999999</v>
      </c>
      <c r="E291">
        <v>3</v>
      </c>
      <c r="F291">
        <v>49</v>
      </c>
      <c r="G291">
        <v>52</v>
      </c>
    </row>
    <row r="292" spans="1:7" x14ac:dyDescent="0.3">
      <c r="A292">
        <v>291</v>
      </c>
      <c r="B292">
        <v>0.19700000000000001</v>
      </c>
      <c r="C292">
        <v>0.41</v>
      </c>
      <c r="D292">
        <v>0.44779999999999998</v>
      </c>
      <c r="E292">
        <v>2</v>
      </c>
      <c r="F292">
        <v>81</v>
      </c>
      <c r="G292">
        <v>83</v>
      </c>
    </row>
    <row r="293" spans="1:7" x14ac:dyDescent="0.3">
      <c r="A293">
        <v>292</v>
      </c>
      <c r="B293">
        <v>0.19700000000000001</v>
      </c>
      <c r="C293">
        <v>0.41</v>
      </c>
      <c r="D293">
        <v>0.3881</v>
      </c>
      <c r="E293">
        <v>3</v>
      </c>
      <c r="F293">
        <v>39</v>
      </c>
      <c r="G293">
        <v>42</v>
      </c>
    </row>
    <row r="294" spans="1:7" x14ac:dyDescent="0.3">
      <c r="A294">
        <v>293</v>
      </c>
      <c r="B294">
        <v>0.21210000000000001</v>
      </c>
      <c r="C294">
        <v>0.38</v>
      </c>
      <c r="D294">
        <v>0.29849999999999999</v>
      </c>
      <c r="E294">
        <v>5</v>
      </c>
      <c r="F294">
        <v>55</v>
      </c>
      <c r="G294">
        <v>60</v>
      </c>
    </row>
    <row r="295" spans="1:7" x14ac:dyDescent="0.3">
      <c r="A295">
        <v>294</v>
      </c>
      <c r="B295">
        <v>0.21210000000000001</v>
      </c>
      <c r="C295">
        <v>0.38</v>
      </c>
      <c r="D295">
        <v>0.35820000000000002</v>
      </c>
      <c r="E295">
        <v>2</v>
      </c>
      <c r="F295">
        <v>76</v>
      </c>
      <c r="G295">
        <v>78</v>
      </c>
    </row>
    <row r="296" spans="1:7" x14ac:dyDescent="0.3">
      <c r="A296">
        <v>295</v>
      </c>
      <c r="B296">
        <v>0.18179999999999999</v>
      </c>
      <c r="C296">
        <v>0.4</v>
      </c>
      <c r="D296">
        <v>0.28360000000000002</v>
      </c>
      <c r="E296">
        <v>4</v>
      </c>
      <c r="F296">
        <v>158</v>
      </c>
      <c r="G296">
        <v>162</v>
      </c>
    </row>
    <row r="297" spans="1:7" x14ac:dyDescent="0.3">
      <c r="A297">
        <v>296</v>
      </c>
      <c r="B297">
        <v>0.18179999999999999</v>
      </c>
      <c r="C297">
        <v>0.4</v>
      </c>
      <c r="D297">
        <v>0.32840000000000003</v>
      </c>
      <c r="E297">
        <v>3</v>
      </c>
      <c r="F297">
        <v>141</v>
      </c>
      <c r="G297">
        <v>144</v>
      </c>
    </row>
    <row r="298" spans="1:7" x14ac:dyDescent="0.3">
      <c r="A298">
        <v>297</v>
      </c>
      <c r="B298">
        <v>0.1515</v>
      </c>
      <c r="C298">
        <v>0.47</v>
      </c>
      <c r="D298">
        <v>0.25369999999999998</v>
      </c>
      <c r="E298">
        <v>1</v>
      </c>
      <c r="F298">
        <v>98</v>
      </c>
      <c r="G298">
        <v>99</v>
      </c>
    </row>
    <row r="299" spans="1:7" x14ac:dyDescent="0.3">
      <c r="A299">
        <v>298</v>
      </c>
      <c r="B299">
        <v>0.1515</v>
      </c>
      <c r="C299">
        <v>0.47</v>
      </c>
      <c r="D299">
        <v>0.22389999999999999</v>
      </c>
      <c r="E299">
        <v>0</v>
      </c>
      <c r="F299">
        <v>64</v>
      </c>
      <c r="G299">
        <v>64</v>
      </c>
    </row>
    <row r="300" spans="1:7" x14ac:dyDescent="0.3">
      <c r="A300">
        <v>299</v>
      </c>
      <c r="B300">
        <v>0.1212</v>
      </c>
      <c r="C300">
        <v>0.46</v>
      </c>
      <c r="D300">
        <v>0.29849999999999999</v>
      </c>
      <c r="E300">
        <v>0</v>
      </c>
      <c r="F300">
        <v>40</v>
      </c>
      <c r="G300">
        <v>40</v>
      </c>
    </row>
    <row r="301" spans="1:7" x14ac:dyDescent="0.3">
      <c r="A301">
        <v>300</v>
      </c>
      <c r="B301">
        <v>0.1212</v>
      </c>
      <c r="C301">
        <v>0.46</v>
      </c>
      <c r="D301">
        <v>0.32840000000000003</v>
      </c>
      <c r="E301">
        <v>0</v>
      </c>
      <c r="F301">
        <v>30</v>
      </c>
      <c r="G301">
        <v>30</v>
      </c>
    </row>
    <row r="302" spans="1:7" x14ac:dyDescent="0.3">
      <c r="A302">
        <v>301</v>
      </c>
      <c r="B302">
        <v>0.13639999999999999</v>
      </c>
      <c r="C302">
        <v>0.5</v>
      </c>
      <c r="D302">
        <v>0.19400000000000001</v>
      </c>
      <c r="E302">
        <v>1</v>
      </c>
      <c r="F302">
        <v>14</v>
      </c>
      <c r="G302">
        <v>15</v>
      </c>
    </row>
    <row r="303" spans="1:7" x14ac:dyDescent="0.3">
      <c r="A303">
        <v>302</v>
      </c>
      <c r="B303">
        <v>0.13639999999999999</v>
      </c>
      <c r="C303">
        <v>0.5</v>
      </c>
      <c r="D303">
        <v>0.19400000000000001</v>
      </c>
      <c r="E303">
        <v>0</v>
      </c>
      <c r="F303">
        <v>14</v>
      </c>
      <c r="G303">
        <v>14</v>
      </c>
    </row>
    <row r="304" spans="1:7" x14ac:dyDescent="0.3">
      <c r="A304">
        <v>303</v>
      </c>
      <c r="B304">
        <v>0.1212</v>
      </c>
      <c r="C304">
        <v>0.54</v>
      </c>
      <c r="D304">
        <v>0.16420000000000001</v>
      </c>
      <c r="E304">
        <v>0</v>
      </c>
      <c r="F304">
        <v>5</v>
      </c>
      <c r="G304">
        <v>5</v>
      </c>
    </row>
    <row r="305" spans="1:7" x14ac:dyDescent="0.3">
      <c r="A305">
        <v>304</v>
      </c>
      <c r="B305">
        <v>0.1212</v>
      </c>
      <c r="C305">
        <v>0.54</v>
      </c>
      <c r="D305">
        <v>0.1343</v>
      </c>
      <c r="E305">
        <v>0</v>
      </c>
      <c r="F305">
        <v>1</v>
      </c>
      <c r="G305">
        <v>1</v>
      </c>
    </row>
    <row r="306" spans="1:7" x14ac:dyDescent="0.3">
      <c r="A306">
        <v>305</v>
      </c>
      <c r="B306">
        <v>0.13639999999999999</v>
      </c>
      <c r="C306">
        <v>0.54</v>
      </c>
      <c r="D306">
        <v>0.1045</v>
      </c>
      <c r="E306">
        <v>0</v>
      </c>
      <c r="F306">
        <v>1</v>
      </c>
      <c r="G306">
        <v>1</v>
      </c>
    </row>
    <row r="307" spans="1:7" x14ac:dyDescent="0.3">
      <c r="A307">
        <v>306</v>
      </c>
      <c r="B307">
        <v>0.13639999999999999</v>
      </c>
      <c r="C307">
        <v>0.54</v>
      </c>
      <c r="D307">
        <v>8.9599999999999999E-2</v>
      </c>
      <c r="E307">
        <v>0</v>
      </c>
      <c r="F307">
        <v>8</v>
      </c>
      <c r="G307">
        <v>8</v>
      </c>
    </row>
    <row r="308" spans="1:7" x14ac:dyDescent="0.3">
      <c r="A308">
        <v>307</v>
      </c>
      <c r="B308">
        <v>0.18179999999999999</v>
      </c>
      <c r="C308">
        <v>0.54</v>
      </c>
      <c r="D308">
        <v>0</v>
      </c>
      <c r="E308">
        <v>0</v>
      </c>
      <c r="F308">
        <v>17</v>
      </c>
      <c r="G308">
        <v>17</v>
      </c>
    </row>
    <row r="309" spans="1:7" x14ac:dyDescent="0.3">
      <c r="A309">
        <v>308</v>
      </c>
      <c r="B309">
        <v>0.1212</v>
      </c>
      <c r="C309">
        <v>0.74</v>
      </c>
      <c r="D309">
        <v>0.16420000000000001</v>
      </c>
      <c r="E309">
        <v>0</v>
      </c>
      <c r="F309">
        <v>70</v>
      </c>
      <c r="G309">
        <v>70</v>
      </c>
    </row>
    <row r="310" spans="1:7" x14ac:dyDescent="0.3">
      <c r="A310">
        <v>309</v>
      </c>
      <c r="B310">
        <v>0.16669999999999999</v>
      </c>
      <c r="C310">
        <v>0.68</v>
      </c>
      <c r="D310">
        <v>0</v>
      </c>
      <c r="E310">
        <v>2</v>
      </c>
      <c r="F310">
        <v>156</v>
      </c>
      <c r="G310">
        <v>158</v>
      </c>
    </row>
    <row r="311" spans="1:7" x14ac:dyDescent="0.3">
      <c r="A311">
        <v>310</v>
      </c>
      <c r="B311">
        <v>0.1515</v>
      </c>
      <c r="C311">
        <v>0.69</v>
      </c>
      <c r="D311">
        <v>0.1343</v>
      </c>
      <c r="E311">
        <v>0</v>
      </c>
      <c r="F311">
        <v>117</v>
      </c>
      <c r="G311">
        <v>117</v>
      </c>
    </row>
    <row r="312" spans="1:7" x14ac:dyDescent="0.3">
      <c r="A312">
        <v>311</v>
      </c>
      <c r="B312">
        <v>0.18179999999999999</v>
      </c>
      <c r="C312">
        <v>0.55000000000000004</v>
      </c>
      <c r="D312">
        <v>0.19400000000000001</v>
      </c>
      <c r="E312">
        <v>4</v>
      </c>
      <c r="F312">
        <v>40</v>
      </c>
      <c r="G312">
        <v>44</v>
      </c>
    </row>
    <row r="313" spans="1:7" x14ac:dyDescent="0.3">
      <c r="A313">
        <v>312</v>
      </c>
      <c r="B313">
        <v>0.16669999999999999</v>
      </c>
      <c r="C313">
        <v>0.51</v>
      </c>
      <c r="D313">
        <v>0.28360000000000002</v>
      </c>
      <c r="E313">
        <v>6</v>
      </c>
      <c r="F313">
        <v>47</v>
      </c>
      <c r="G313">
        <v>53</v>
      </c>
    </row>
    <row r="314" spans="1:7" x14ac:dyDescent="0.3">
      <c r="A314">
        <v>313</v>
      </c>
      <c r="B314">
        <v>0.19700000000000001</v>
      </c>
      <c r="C314">
        <v>0.44</v>
      </c>
      <c r="D314">
        <v>0.25369999999999998</v>
      </c>
      <c r="E314">
        <v>2</v>
      </c>
      <c r="F314">
        <v>59</v>
      </c>
      <c r="G314">
        <v>61</v>
      </c>
    </row>
    <row r="315" spans="1:7" x14ac:dyDescent="0.3">
      <c r="A315">
        <v>314</v>
      </c>
      <c r="B315">
        <v>0.19700000000000001</v>
      </c>
      <c r="C315">
        <v>0.37</v>
      </c>
      <c r="D315">
        <v>0.3881</v>
      </c>
      <c r="E315">
        <v>4</v>
      </c>
      <c r="F315">
        <v>73</v>
      </c>
      <c r="G315">
        <v>77</v>
      </c>
    </row>
    <row r="316" spans="1:7" x14ac:dyDescent="0.3">
      <c r="A316">
        <v>315</v>
      </c>
      <c r="B316">
        <v>0.21210000000000001</v>
      </c>
      <c r="C316">
        <v>0.41</v>
      </c>
      <c r="D316">
        <v>0.28360000000000002</v>
      </c>
      <c r="E316">
        <v>5</v>
      </c>
      <c r="F316">
        <v>59</v>
      </c>
      <c r="G316">
        <v>64</v>
      </c>
    </row>
    <row r="317" spans="1:7" x14ac:dyDescent="0.3">
      <c r="A317">
        <v>316</v>
      </c>
      <c r="B317">
        <v>0.2424</v>
      </c>
      <c r="C317">
        <v>0.38</v>
      </c>
      <c r="D317">
        <v>0.16420000000000001</v>
      </c>
      <c r="E317">
        <v>9</v>
      </c>
      <c r="F317">
        <v>59</v>
      </c>
      <c r="G317">
        <v>68</v>
      </c>
    </row>
    <row r="318" spans="1:7" x14ac:dyDescent="0.3">
      <c r="A318">
        <v>317</v>
      </c>
      <c r="B318">
        <v>0.2424</v>
      </c>
      <c r="C318">
        <v>0.41</v>
      </c>
      <c r="D318">
        <v>0.1045</v>
      </c>
      <c r="E318">
        <v>3</v>
      </c>
      <c r="F318">
        <v>87</v>
      </c>
      <c r="G318">
        <v>90</v>
      </c>
    </row>
    <row r="319" spans="1:7" x14ac:dyDescent="0.3">
      <c r="A319">
        <v>318</v>
      </c>
      <c r="B319">
        <v>0.2273</v>
      </c>
      <c r="C319">
        <v>0.41</v>
      </c>
      <c r="D319">
        <v>0.16420000000000001</v>
      </c>
      <c r="E319">
        <v>4</v>
      </c>
      <c r="F319">
        <v>155</v>
      </c>
      <c r="G319">
        <v>159</v>
      </c>
    </row>
    <row r="320" spans="1:7" x14ac:dyDescent="0.3">
      <c r="A320">
        <v>319</v>
      </c>
      <c r="B320">
        <v>0.2576</v>
      </c>
      <c r="C320">
        <v>0.47</v>
      </c>
      <c r="D320">
        <v>0</v>
      </c>
      <c r="E320">
        <v>5</v>
      </c>
      <c r="F320">
        <v>134</v>
      </c>
      <c r="G320">
        <v>139</v>
      </c>
    </row>
    <row r="321" spans="1:7" x14ac:dyDescent="0.3">
      <c r="A321">
        <v>320</v>
      </c>
      <c r="B321">
        <v>0.19700000000000001</v>
      </c>
      <c r="C321">
        <v>0.59</v>
      </c>
      <c r="D321">
        <v>8.9599999999999999E-2</v>
      </c>
      <c r="E321">
        <v>3</v>
      </c>
      <c r="F321">
        <v>89</v>
      </c>
      <c r="G321">
        <v>92</v>
      </c>
    </row>
    <row r="322" spans="1:7" x14ac:dyDescent="0.3">
      <c r="A322">
        <v>321</v>
      </c>
      <c r="B322">
        <v>0.2424</v>
      </c>
      <c r="C322">
        <v>0.59</v>
      </c>
      <c r="D322">
        <v>0</v>
      </c>
      <c r="E322">
        <v>0</v>
      </c>
      <c r="F322">
        <v>68</v>
      </c>
      <c r="G322">
        <v>68</v>
      </c>
    </row>
    <row r="323" spans="1:7" x14ac:dyDescent="0.3">
      <c r="A323">
        <v>322</v>
      </c>
      <c r="B323">
        <v>0.2273</v>
      </c>
      <c r="C323">
        <v>0.69</v>
      </c>
      <c r="D323">
        <v>0</v>
      </c>
      <c r="E323">
        <v>4</v>
      </c>
      <c r="F323">
        <v>48</v>
      </c>
      <c r="G323">
        <v>52</v>
      </c>
    </row>
    <row r="324" spans="1:7" x14ac:dyDescent="0.3">
      <c r="A324">
        <v>323</v>
      </c>
      <c r="B324">
        <v>0.2273</v>
      </c>
      <c r="C324">
        <v>0.69</v>
      </c>
      <c r="D324">
        <v>0</v>
      </c>
      <c r="E324">
        <v>2</v>
      </c>
      <c r="F324">
        <v>34</v>
      </c>
      <c r="G324">
        <v>36</v>
      </c>
    </row>
    <row r="325" spans="1:7" x14ac:dyDescent="0.3">
      <c r="A325">
        <v>324</v>
      </c>
      <c r="B325">
        <v>0.2424</v>
      </c>
      <c r="C325">
        <v>0.55000000000000004</v>
      </c>
      <c r="D325">
        <v>0</v>
      </c>
      <c r="E325">
        <v>1</v>
      </c>
      <c r="F325">
        <v>26</v>
      </c>
      <c r="G325">
        <v>27</v>
      </c>
    </row>
    <row r="326" spans="1:7" x14ac:dyDescent="0.3">
      <c r="A326">
        <v>325</v>
      </c>
      <c r="B326">
        <v>0.2424</v>
      </c>
      <c r="C326">
        <v>0.55000000000000004</v>
      </c>
      <c r="D326">
        <v>0</v>
      </c>
      <c r="E326">
        <v>3</v>
      </c>
      <c r="F326">
        <v>25</v>
      </c>
      <c r="G326">
        <v>28</v>
      </c>
    </row>
    <row r="327" spans="1:7" x14ac:dyDescent="0.3">
      <c r="A327">
        <v>326</v>
      </c>
      <c r="B327">
        <v>0.19700000000000001</v>
      </c>
      <c r="C327">
        <v>0.59</v>
      </c>
      <c r="D327">
        <v>8.9599999999999999E-2</v>
      </c>
      <c r="E327">
        <v>2</v>
      </c>
      <c r="F327">
        <v>18</v>
      </c>
      <c r="G327">
        <v>20</v>
      </c>
    </row>
    <row r="328" spans="1:7" x14ac:dyDescent="0.3">
      <c r="A328">
        <v>327</v>
      </c>
      <c r="B328">
        <v>0.19700000000000001</v>
      </c>
      <c r="C328">
        <v>0.59</v>
      </c>
      <c r="D328">
        <v>8.9599999999999999E-2</v>
      </c>
      <c r="E328">
        <v>0</v>
      </c>
      <c r="F328">
        <v>12</v>
      </c>
      <c r="G328">
        <v>12</v>
      </c>
    </row>
    <row r="329" spans="1:7" x14ac:dyDescent="0.3">
      <c r="A329">
        <v>328</v>
      </c>
      <c r="B329">
        <v>0.2273</v>
      </c>
      <c r="C329">
        <v>0.59</v>
      </c>
      <c r="D329">
        <v>0</v>
      </c>
      <c r="E329">
        <v>1</v>
      </c>
      <c r="F329">
        <v>7</v>
      </c>
      <c r="G329">
        <v>8</v>
      </c>
    </row>
    <row r="330" spans="1:7" x14ac:dyDescent="0.3">
      <c r="A330">
        <v>329</v>
      </c>
      <c r="B330">
        <v>0.2273</v>
      </c>
      <c r="C330">
        <v>0.59</v>
      </c>
      <c r="D330">
        <v>0</v>
      </c>
      <c r="E330">
        <v>0</v>
      </c>
      <c r="F330">
        <v>5</v>
      </c>
      <c r="G330">
        <v>5</v>
      </c>
    </row>
    <row r="331" spans="1:7" x14ac:dyDescent="0.3">
      <c r="A331">
        <v>330</v>
      </c>
      <c r="B331">
        <v>0.2273</v>
      </c>
      <c r="C331">
        <v>0.59</v>
      </c>
      <c r="D331">
        <v>0</v>
      </c>
      <c r="E331">
        <v>0</v>
      </c>
      <c r="F331">
        <v>1</v>
      </c>
      <c r="G331">
        <v>1</v>
      </c>
    </row>
    <row r="332" spans="1:7" x14ac:dyDescent="0.3">
      <c r="A332">
        <v>331</v>
      </c>
      <c r="B332">
        <v>0.16669999999999999</v>
      </c>
      <c r="C332">
        <v>0.63</v>
      </c>
      <c r="D332">
        <v>0.1045</v>
      </c>
      <c r="E332">
        <v>1</v>
      </c>
      <c r="F332">
        <v>2</v>
      </c>
      <c r="G332">
        <v>3</v>
      </c>
    </row>
    <row r="333" spans="1:7" x14ac:dyDescent="0.3">
      <c r="A333">
        <v>332</v>
      </c>
      <c r="B333">
        <v>0.21210000000000001</v>
      </c>
      <c r="C333">
        <v>0.63</v>
      </c>
      <c r="D333">
        <v>0</v>
      </c>
      <c r="E333">
        <v>1</v>
      </c>
      <c r="F333">
        <v>9</v>
      </c>
      <c r="G333">
        <v>10</v>
      </c>
    </row>
    <row r="334" spans="1:7" x14ac:dyDescent="0.3">
      <c r="A334">
        <v>333</v>
      </c>
      <c r="B334">
        <v>0.1515</v>
      </c>
      <c r="C334">
        <v>0.63</v>
      </c>
      <c r="D334">
        <v>0.1343</v>
      </c>
      <c r="E334">
        <v>1</v>
      </c>
      <c r="F334">
        <v>22</v>
      </c>
      <c r="G334">
        <v>23</v>
      </c>
    </row>
    <row r="335" spans="1:7" x14ac:dyDescent="0.3">
      <c r="A335">
        <v>334</v>
      </c>
      <c r="B335">
        <v>0.18179999999999999</v>
      </c>
      <c r="C335">
        <v>0.64</v>
      </c>
      <c r="D335">
        <v>0.1343</v>
      </c>
      <c r="E335">
        <v>2</v>
      </c>
      <c r="F335">
        <v>31</v>
      </c>
      <c r="G335">
        <v>33</v>
      </c>
    </row>
    <row r="336" spans="1:7" x14ac:dyDescent="0.3">
      <c r="A336">
        <v>335</v>
      </c>
      <c r="B336">
        <v>0.19700000000000001</v>
      </c>
      <c r="C336">
        <v>0.59</v>
      </c>
      <c r="D336">
        <v>0.16420000000000001</v>
      </c>
      <c r="E336">
        <v>2</v>
      </c>
      <c r="F336">
        <v>57</v>
      </c>
      <c r="G336">
        <v>59</v>
      </c>
    </row>
    <row r="337" spans="1:7" x14ac:dyDescent="0.3">
      <c r="A337">
        <v>336</v>
      </c>
      <c r="B337">
        <v>0.19700000000000001</v>
      </c>
      <c r="C337">
        <v>0.55000000000000004</v>
      </c>
      <c r="D337">
        <v>0.22389999999999999</v>
      </c>
      <c r="E337">
        <v>18</v>
      </c>
      <c r="F337">
        <v>54</v>
      </c>
      <c r="G337">
        <v>72</v>
      </c>
    </row>
    <row r="338" spans="1:7" x14ac:dyDescent="0.3">
      <c r="A338">
        <v>337</v>
      </c>
      <c r="B338">
        <v>0.2273</v>
      </c>
      <c r="C338">
        <v>0.48</v>
      </c>
      <c r="D338">
        <v>0.22389999999999999</v>
      </c>
      <c r="E338">
        <v>15</v>
      </c>
      <c r="F338">
        <v>74</v>
      </c>
      <c r="G338">
        <v>89</v>
      </c>
    </row>
    <row r="339" spans="1:7" x14ac:dyDescent="0.3">
      <c r="A339">
        <v>338</v>
      </c>
      <c r="B339">
        <v>0.2576</v>
      </c>
      <c r="C339">
        <v>0.38</v>
      </c>
      <c r="D339">
        <v>0.29849999999999999</v>
      </c>
      <c r="E339">
        <v>21</v>
      </c>
      <c r="F339">
        <v>80</v>
      </c>
      <c r="G339">
        <v>101</v>
      </c>
    </row>
    <row r="340" spans="1:7" x14ac:dyDescent="0.3">
      <c r="A340">
        <v>339</v>
      </c>
      <c r="B340">
        <v>0.28789999999999999</v>
      </c>
      <c r="C340">
        <v>0.39</v>
      </c>
      <c r="D340">
        <v>0.28360000000000002</v>
      </c>
      <c r="E340">
        <v>26</v>
      </c>
      <c r="F340">
        <v>92</v>
      </c>
      <c r="G340">
        <v>118</v>
      </c>
    </row>
    <row r="341" spans="1:7" x14ac:dyDescent="0.3">
      <c r="A341">
        <v>340</v>
      </c>
      <c r="B341">
        <v>0.31819999999999998</v>
      </c>
      <c r="C341">
        <v>0.36</v>
      </c>
      <c r="D341">
        <v>0.19400000000000001</v>
      </c>
      <c r="E341">
        <v>21</v>
      </c>
      <c r="F341">
        <v>108</v>
      </c>
      <c r="G341">
        <v>129</v>
      </c>
    </row>
    <row r="342" spans="1:7" x14ac:dyDescent="0.3">
      <c r="A342">
        <v>341</v>
      </c>
      <c r="B342">
        <v>0.33329999999999999</v>
      </c>
      <c r="C342">
        <v>0.34</v>
      </c>
      <c r="D342">
        <v>0.19400000000000001</v>
      </c>
      <c r="E342">
        <v>33</v>
      </c>
      <c r="F342">
        <v>95</v>
      </c>
      <c r="G342">
        <v>128</v>
      </c>
    </row>
    <row r="343" spans="1:7" x14ac:dyDescent="0.3">
      <c r="A343">
        <v>342</v>
      </c>
      <c r="B343">
        <v>0.30299999999999999</v>
      </c>
      <c r="C343">
        <v>0.36</v>
      </c>
      <c r="D343">
        <v>0.28360000000000002</v>
      </c>
      <c r="E343">
        <v>29</v>
      </c>
      <c r="F343">
        <v>54</v>
      </c>
      <c r="G343">
        <v>83</v>
      </c>
    </row>
    <row r="344" spans="1:7" x14ac:dyDescent="0.3">
      <c r="A344">
        <v>343</v>
      </c>
      <c r="B344">
        <v>0.28789999999999999</v>
      </c>
      <c r="C344">
        <v>0.45</v>
      </c>
      <c r="D344">
        <v>0.25369999999999998</v>
      </c>
      <c r="E344">
        <v>15</v>
      </c>
      <c r="F344">
        <v>69</v>
      </c>
      <c r="G344">
        <v>84</v>
      </c>
    </row>
    <row r="345" spans="1:7" x14ac:dyDescent="0.3">
      <c r="A345">
        <v>344</v>
      </c>
      <c r="B345">
        <v>0.30299999999999999</v>
      </c>
      <c r="C345">
        <v>0.39</v>
      </c>
      <c r="D345">
        <v>0.25369999999999998</v>
      </c>
      <c r="E345">
        <v>14</v>
      </c>
      <c r="F345">
        <v>60</v>
      </c>
      <c r="G345">
        <v>74</v>
      </c>
    </row>
    <row r="346" spans="1:7" x14ac:dyDescent="0.3">
      <c r="A346">
        <v>345</v>
      </c>
      <c r="B346">
        <v>0.30299999999999999</v>
      </c>
      <c r="C346">
        <v>0.39</v>
      </c>
      <c r="D346">
        <v>0.25369999999999998</v>
      </c>
      <c r="E346">
        <v>6</v>
      </c>
      <c r="F346">
        <v>35</v>
      </c>
      <c r="G346">
        <v>41</v>
      </c>
    </row>
    <row r="347" spans="1:7" x14ac:dyDescent="0.3">
      <c r="A347">
        <v>346</v>
      </c>
      <c r="B347">
        <v>0.30299999999999999</v>
      </c>
      <c r="C347">
        <v>0.39</v>
      </c>
      <c r="D347">
        <v>0.22389999999999999</v>
      </c>
      <c r="E347">
        <v>6</v>
      </c>
      <c r="F347">
        <v>51</v>
      </c>
      <c r="G347">
        <v>57</v>
      </c>
    </row>
    <row r="348" spans="1:7" x14ac:dyDescent="0.3">
      <c r="A348">
        <v>347</v>
      </c>
      <c r="B348">
        <v>0.31819999999999998</v>
      </c>
      <c r="C348">
        <v>0.42</v>
      </c>
      <c r="D348">
        <v>0.1045</v>
      </c>
      <c r="E348">
        <v>0</v>
      </c>
      <c r="F348">
        <v>26</v>
      </c>
      <c r="G348">
        <v>26</v>
      </c>
    </row>
    <row r="349" spans="1:7" x14ac:dyDescent="0.3">
      <c r="A349">
        <v>348</v>
      </c>
      <c r="B349">
        <v>0.28789999999999999</v>
      </c>
      <c r="C349">
        <v>0.45</v>
      </c>
      <c r="D349">
        <v>0.28360000000000002</v>
      </c>
      <c r="E349">
        <v>5</v>
      </c>
      <c r="F349">
        <v>39</v>
      </c>
      <c r="G349">
        <v>44</v>
      </c>
    </row>
    <row r="350" spans="1:7" x14ac:dyDescent="0.3">
      <c r="A350">
        <v>349</v>
      </c>
      <c r="B350">
        <v>0.30299999999999999</v>
      </c>
      <c r="C350">
        <v>0.56000000000000005</v>
      </c>
      <c r="D350">
        <v>0</v>
      </c>
      <c r="E350">
        <v>6</v>
      </c>
      <c r="F350">
        <v>33</v>
      </c>
      <c r="G350">
        <v>39</v>
      </c>
    </row>
    <row r="351" spans="1:7" x14ac:dyDescent="0.3">
      <c r="A351">
        <v>350</v>
      </c>
      <c r="B351">
        <v>0.2727</v>
      </c>
      <c r="C351">
        <v>0.56000000000000005</v>
      </c>
      <c r="D351">
        <v>0.1343</v>
      </c>
      <c r="E351">
        <v>4</v>
      </c>
      <c r="F351">
        <v>19</v>
      </c>
      <c r="G351">
        <v>23</v>
      </c>
    </row>
    <row r="352" spans="1:7" x14ac:dyDescent="0.3">
      <c r="A352">
        <v>351</v>
      </c>
      <c r="B352">
        <v>0.28789999999999999</v>
      </c>
      <c r="C352">
        <v>0.56000000000000005</v>
      </c>
      <c r="D352">
        <v>8.9599999999999999E-2</v>
      </c>
      <c r="E352">
        <v>3</v>
      </c>
      <c r="F352">
        <v>13</v>
      </c>
      <c r="G352">
        <v>16</v>
      </c>
    </row>
    <row r="353" spans="1:7" x14ac:dyDescent="0.3">
      <c r="A353">
        <v>352</v>
      </c>
      <c r="B353">
        <v>0.2727</v>
      </c>
      <c r="C353">
        <v>0.69</v>
      </c>
      <c r="D353">
        <v>0</v>
      </c>
      <c r="E353">
        <v>9</v>
      </c>
      <c r="F353">
        <v>6</v>
      </c>
      <c r="G353">
        <v>15</v>
      </c>
    </row>
    <row r="354" spans="1:7" x14ac:dyDescent="0.3">
      <c r="A354">
        <v>353</v>
      </c>
      <c r="B354">
        <v>0.2576</v>
      </c>
      <c r="C354">
        <v>0.56000000000000005</v>
      </c>
      <c r="D354">
        <v>0.16420000000000001</v>
      </c>
      <c r="E354">
        <v>0</v>
      </c>
      <c r="F354">
        <v>1</v>
      </c>
      <c r="G354">
        <v>1</v>
      </c>
    </row>
    <row r="355" spans="1:7" x14ac:dyDescent="0.3">
      <c r="A355">
        <v>354</v>
      </c>
      <c r="B355">
        <v>0.2576</v>
      </c>
      <c r="C355">
        <v>0.56000000000000005</v>
      </c>
      <c r="D355">
        <v>0.16420000000000001</v>
      </c>
      <c r="E355">
        <v>1</v>
      </c>
      <c r="F355">
        <v>1</v>
      </c>
      <c r="G355">
        <v>2</v>
      </c>
    </row>
    <row r="356" spans="1:7" x14ac:dyDescent="0.3">
      <c r="A356">
        <v>355</v>
      </c>
      <c r="B356">
        <v>0.2576</v>
      </c>
      <c r="C356">
        <v>0.56000000000000005</v>
      </c>
      <c r="D356">
        <v>0.16420000000000001</v>
      </c>
      <c r="E356">
        <v>0</v>
      </c>
      <c r="F356">
        <v>1</v>
      </c>
      <c r="G356">
        <v>1</v>
      </c>
    </row>
    <row r="357" spans="1:7" x14ac:dyDescent="0.3">
      <c r="A357">
        <v>356</v>
      </c>
      <c r="B357">
        <v>0.21210000000000001</v>
      </c>
      <c r="C357">
        <v>0.56000000000000005</v>
      </c>
      <c r="D357">
        <v>0.29849999999999999</v>
      </c>
      <c r="E357">
        <v>0</v>
      </c>
      <c r="F357">
        <v>3</v>
      </c>
      <c r="G357">
        <v>3</v>
      </c>
    </row>
    <row r="358" spans="1:7" x14ac:dyDescent="0.3">
      <c r="A358">
        <v>357</v>
      </c>
      <c r="B358">
        <v>0.21210000000000001</v>
      </c>
      <c r="C358">
        <v>0.55000000000000004</v>
      </c>
      <c r="D358">
        <v>0.28360000000000002</v>
      </c>
      <c r="E358">
        <v>0</v>
      </c>
      <c r="F358">
        <v>18</v>
      </c>
      <c r="G358">
        <v>18</v>
      </c>
    </row>
    <row r="359" spans="1:7" x14ac:dyDescent="0.3">
      <c r="A359">
        <v>358</v>
      </c>
      <c r="B359">
        <v>0.21210000000000001</v>
      </c>
      <c r="C359">
        <v>0.51</v>
      </c>
      <c r="D359">
        <v>0.25369999999999998</v>
      </c>
      <c r="E359">
        <v>3</v>
      </c>
      <c r="F359">
        <v>29</v>
      </c>
      <c r="G359">
        <v>32</v>
      </c>
    </row>
    <row r="360" spans="1:7" x14ac:dyDescent="0.3">
      <c r="A360">
        <v>359</v>
      </c>
      <c r="B360">
        <v>0.21210000000000001</v>
      </c>
      <c r="C360">
        <v>0.51</v>
      </c>
      <c r="D360">
        <v>0.28360000000000002</v>
      </c>
      <c r="E360">
        <v>8</v>
      </c>
      <c r="F360">
        <v>71</v>
      </c>
      <c r="G360">
        <v>79</v>
      </c>
    </row>
    <row r="361" spans="1:7" x14ac:dyDescent="0.3">
      <c r="A361">
        <v>360</v>
      </c>
      <c r="B361">
        <v>0.2273</v>
      </c>
      <c r="C361">
        <v>0.44</v>
      </c>
      <c r="D361">
        <v>0.25369999999999998</v>
      </c>
      <c r="E361">
        <v>23</v>
      </c>
      <c r="F361">
        <v>70</v>
      </c>
      <c r="G361">
        <v>93</v>
      </c>
    </row>
    <row r="362" spans="1:7" x14ac:dyDescent="0.3">
      <c r="A362">
        <v>361</v>
      </c>
      <c r="B362">
        <v>0.21210000000000001</v>
      </c>
      <c r="C362">
        <v>0.41</v>
      </c>
      <c r="D362">
        <v>0.28360000000000002</v>
      </c>
      <c r="E362">
        <v>29</v>
      </c>
      <c r="F362">
        <v>75</v>
      </c>
      <c r="G362">
        <v>104</v>
      </c>
    </row>
    <row r="363" spans="1:7" x14ac:dyDescent="0.3">
      <c r="A363">
        <v>362</v>
      </c>
      <c r="B363">
        <v>0.2273</v>
      </c>
      <c r="C363">
        <v>0.35</v>
      </c>
      <c r="D363">
        <v>0.29849999999999999</v>
      </c>
      <c r="E363">
        <v>23</v>
      </c>
      <c r="F363">
        <v>95</v>
      </c>
      <c r="G363">
        <v>118</v>
      </c>
    </row>
    <row r="364" spans="1:7" x14ac:dyDescent="0.3">
      <c r="A364">
        <v>363</v>
      </c>
      <c r="B364">
        <v>0.2727</v>
      </c>
      <c r="C364">
        <v>0.36</v>
      </c>
      <c r="D364">
        <v>0.25369999999999998</v>
      </c>
      <c r="E364">
        <v>22</v>
      </c>
      <c r="F364">
        <v>69</v>
      </c>
      <c r="G364">
        <v>91</v>
      </c>
    </row>
    <row r="365" spans="1:7" x14ac:dyDescent="0.3">
      <c r="A365">
        <v>364</v>
      </c>
      <c r="B365">
        <v>0.2424</v>
      </c>
      <c r="C365">
        <v>0.38</v>
      </c>
      <c r="D365">
        <v>0.25369999999999998</v>
      </c>
      <c r="E365">
        <v>35</v>
      </c>
      <c r="F365">
        <v>78</v>
      </c>
      <c r="G365">
        <v>113</v>
      </c>
    </row>
    <row r="366" spans="1:7" x14ac:dyDescent="0.3">
      <c r="A366">
        <v>365</v>
      </c>
      <c r="B366">
        <v>0.2273</v>
      </c>
      <c r="C366">
        <v>0.38</v>
      </c>
      <c r="D366">
        <v>0.22389999999999999</v>
      </c>
      <c r="E366">
        <v>22</v>
      </c>
      <c r="F366">
        <v>77</v>
      </c>
      <c r="G366">
        <v>99</v>
      </c>
    </row>
    <row r="367" spans="1:7" x14ac:dyDescent="0.3">
      <c r="A367">
        <v>366</v>
      </c>
      <c r="B367">
        <v>0.21210000000000001</v>
      </c>
      <c r="C367">
        <v>0.37</v>
      </c>
      <c r="D367">
        <v>0.25369999999999998</v>
      </c>
      <c r="E367">
        <v>23</v>
      </c>
      <c r="F367">
        <v>82</v>
      </c>
      <c r="G367">
        <v>105</v>
      </c>
    </row>
    <row r="368" spans="1:7" x14ac:dyDescent="0.3">
      <c r="A368">
        <v>367</v>
      </c>
      <c r="B368">
        <v>0.21210000000000001</v>
      </c>
      <c r="C368">
        <v>0.4</v>
      </c>
      <c r="D368">
        <v>0.16420000000000001</v>
      </c>
      <c r="E368">
        <v>11</v>
      </c>
      <c r="F368">
        <v>56</v>
      </c>
      <c r="G368">
        <v>67</v>
      </c>
    </row>
    <row r="369" spans="1:7" x14ac:dyDescent="0.3">
      <c r="A369">
        <v>368</v>
      </c>
      <c r="B369">
        <v>0.19700000000000001</v>
      </c>
      <c r="C369">
        <v>0.47</v>
      </c>
      <c r="D369">
        <v>0.1343</v>
      </c>
      <c r="E369">
        <v>14</v>
      </c>
      <c r="F369">
        <v>47</v>
      </c>
      <c r="G369">
        <v>61</v>
      </c>
    </row>
    <row r="370" spans="1:7" x14ac:dyDescent="0.3">
      <c r="A370">
        <v>369</v>
      </c>
      <c r="B370">
        <v>0.19700000000000001</v>
      </c>
      <c r="C370">
        <v>0.47</v>
      </c>
      <c r="D370">
        <v>0.16420000000000001</v>
      </c>
      <c r="E370">
        <v>7</v>
      </c>
      <c r="F370">
        <v>50</v>
      </c>
      <c r="G370">
        <v>57</v>
      </c>
    </row>
    <row r="371" spans="1:7" x14ac:dyDescent="0.3">
      <c r="A371">
        <v>370</v>
      </c>
      <c r="B371">
        <v>0.19700000000000001</v>
      </c>
      <c r="C371">
        <v>0.51</v>
      </c>
      <c r="D371">
        <v>0.16420000000000001</v>
      </c>
      <c r="E371">
        <v>6</v>
      </c>
      <c r="F371">
        <v>22</v>
      </c>
      <c r="G371">
        <v>28</v>
      </c>
    </row>
    <row r="372" spans="1:7" x14ac:dyDescent="0.3">
      <c r="A372">
        <v>371</v>
      </c>
      <c r="B372">
        <v>0.21210000000000001</v>
      </c>
      <c r="C372">
        <v>0.49</v>
      </c>
      <c r="D372">
        <v>0.1343</v>
      </c>
      <c r="E372">
        <v>2</v>
      </c>
      <c r="F372">
        <v>19</v>
      </c>
      <c r="G372">
        <v>21</v>
      </c>
    </row>
    <row r="373" spans="1:7" x14ac:dyDescent="0.3">
      <c r="A373">
        <v>372</v>
      </c>
      <c r="B373">
        <v>0.2273</v>
      </c>
      <c r="C373">
        <v>0.4</v>
      </c>
      <c r="D373">
        <v>0.1045</v>
      </c>
      <c r="E373">
        <v>0</v>
      </c>
      <c r="F373">
        <v>18</v>
      </c>
      <c r="G373">
        <v>18</v>
      </c>
    </row>
    <row r="374" spans="1:7" x14ac:dyDescent="0.3">
      <c r="A374">
        <v>373</v>
      </c>
      <c r="B374">
        <v>0.19700000000000001</v>
      </c>
      <c r="C374">
        <v>0.47</v>
      </c>
      <c r="D374">
        <v>0.22389999999999999</v>
      </c>
      <c r="E374">
        <v>1</v>
      </c>
      <c r="F374">
        <v>16</v>
      </c>
      <c r="G374">
        <v>17</v>
      </c>
    </row>
    <row r="375" spans="1:7" x14ac:dyDescent="0.3">
      <c r="A375">
        <v>374</v>
      </c>
      <c r="B375">
        <v>0.19700000000000001</v>
      </c>
      <c r="C375">
        <v>0.44</v>
      </c>
      <c r="D375">
        <v>0.19400000000000001</v>
      </c>
      <c r="E375">
        <v>1</v>
      </c>
      <c r="F375">
        <v>15</v>
      </c>
      <c r="G375">
        <v>16</v>
      </c>
    </row>
    <row r="376" spans="1:7" x14ac:dyDescent="0.3">
      <c r="A376">
        <v>375</v>
      </c>
      <c r="B376">
        <v>0.16669999999999999</v>
      </c>
      <c r="C376">
        <v>0.43</v>
      </c>
      <c r="D376">
        <v>0.25369999999999998</v>
      </c>
      <c r="E376">
        <v>0</v>
      </c>
      <c r="F376">
        <v>8</v>
      </c>
      <c r="G376">
        <v>8</v>
      </c>
    </row>
    <row r="377" spans="1:7" x14ac:dyDescent="0.3">
      <c r="A377">
        <v>376</v>
      </c>
      <c r="B377">
        <v>0.18179999999999999</v>
      </c>
      <c r="C377">
        <v>0.43</v>
      </c>
      <c r="D377">
        <v>0.19400000000000001</v>
      </c>
      <c r="E377">
        <v>0</v>
      </c>
      <c r="F377">
        <v>2</v>
      </c>
      <c r="G377">
        <v>2</v>
      </c>
    </row>
    <row r="378" spans="1:7" x14ac:dyDescent="0.3">
      <c r="A378">
        <v>377</v>
      </c>
      <c r="B378">
        <v>0.19700000000000001</v>
      </c>
      <c r="C378">
        <v>0.43</v>
      </c>
      <c r="D378">
        <v>0.1343</v>
      </c>
      <c r="E378">
        <v>1</v>
      </c>
      <c r="F378">
        <v>2</v>
      </c>
      <c r="G378">
        <v>3</v>
      </c>
    </row>
    <row r="379" spans="1:7" x14ac:dyDescent="0.3">
      <c r="A379">
        <v>378</v>
      </c>
      <c r="B379">
        <v>0.19700000000000001</v>
      </c>
      <c r="C379">
        <v>0.43</v>
      </c>
      <c r="D379">
        <v>0.16420000000000001</v>
      </c>
      <c r="E379">
        <v>0</v>
      </c>
      <c r="F379">
        <v>1</v>
      </c>
      <c r="G379">
        <v>1</v>
      </c>
    </row>
    <row r="380" spans="1:7" x14ac:dyDescent="0.3">
      <c r="A380">
        <v>379</v>
      </c>
      <c r="B380">
        <v>0.18179999999999999</v>
      </c>
      <c r="C380">
        <v>0.43</v>
      </c>
      <c r="D380">
        <v>0.19400000000000001</v>
      </c>
      <c r="E380">
        <v>0</v>
      </c>
      <c r="F380">
        <v>5</v>
      </c>
      <c r="G380">
        <v>5</v>
      </c>
    </row>
    <row r="381" spans="1:7" x14ac:dyDescent="0.3">
      <c r="A381">
        <v>380</v>
      </c>
      <c r="B381">
        <v>0.18179999999999999</v>
      </c>
      <c r="C381">
        <v>0.5</v>
      </c>
      <c r="D381">
        <v>0.1343</v>
      </c>
      <c r="E381">
        <v>4</v>
      </c>
      <c r="F381">
        <v>9</v>
      </c>
      <c r="G381">
        <v>13</v>
      </c>
    </row>
    <row r="382" spans="1:7" x14ac:dyDescent="0.3">
      <c r="A382">
        <v>381</v>
      </c>
      <c r="B382">
        <v>0.1515</v>
      </c>
      <c r="C382">
        <v>0.47</v>
      </c>
      <c r="D382">
        <v>0.22389999999999999</v>
      </c>
      <c r="E382">
        <v>3</v>
      </c>
      <c r="F382">
        <v>30</v>
      </c>
      <c r="G382">
        <v>33</v>
      </c>
    </row>
    <row r="383" spans="1:7" x14ac:dyDescent="0.3">
      <c r="A383">
        <v>382</v>
      </c>
      <c r="B383">
        <v>0.1515</v>
      </c>
      <c r="C383">
        <v>0.47</v>
      </c>
      <c r="D383">
        <v>0.22389999999999999</v>
      </c>
      <c r="E383">
        <v>8</v>
      </c>
      <c r="F383">
        <v>39</v>
      </c>
      <c r="G383">
        <v>47</v>
      </c>
    </row>
    <row r="384" spans="1:7" x14ac:dyDescent="0.3">
      <c r="A384">
        <v>383</v>
      </c>
      <c r="B384">
        <v>0.1515</v>
      </c>
      <c r="C384">
        <v>0.5</v>
      </c>
      <c r="D384">
        <v>0.25369999999999998</v>
      </c>
      <c r="E384">
        <v>7</v>
      </c>
      <c r="F384">
        <v>50</v>
      </c>
      <c r="G384">
        <v>57</v>
      </c>
    </row>
    <row r="385" spans="1:7" x14ac:dyDescent="0.3">
      <c r="A385">
        <v>384</v>
      </c>
      <c r="B385">
        <v>0.1515</v>
      </c>
      <c r="C385">
        <v>0.55000000000000004</v>
      </c>
      <c r="D385">
        <v>0.19400000000000001</v>
      </c>
      <c r="E385">
        <v>9</v>
      </c>
      <c r="F385">
        <v>55</v>
      </c>
      <c r="G385">
        <v>64</v>
      </c>
    </row>
    <row r="386" spans="1:7" x14ac:dyDescent="0.3">
      <c r="A386">
        <v>385</v>
      </c>
      <c r="B386">
        <v>0.19700000000000001</v>
      </c>
      <c r="C386">
        <v>0.47</v>
      </c>
      <c r="D386">
        <v>0.1343</v>
      </c>
      <c r="E386">
        <v>10</v>
      </c>
      <c r="F386">
        <v>70</v>
      </c>
      <c r="G386">
        <v>80</v>
      </c>
    </row>
    <row r="387" spans="1:7" x14ac:dyDescent="0.3">
      <c r="A387">
        <v>386</v>
      </c>
      <c r="B387">
        <v>0.19700000000000001</v>
      </c>
      <c r="C387">
        <v>0.47</v>
      </c>
      <c r="D387">
        <v>0.1343</v>
      </c>
      <c r="E387">
        <v>13</v>
      </c>
      <c r="F387">
        <v>80</v>
      </c>
      <c r="G387">
        <v>93</v>
      </c>
    </row>
    <row r="388" spans="1:7" x14ac:dyDescent="0.3">
      <c r="A388">
        <v>387</v>
      </c>
      <c r="B388">
        <v>0.21210000000000001</v>
      </c>
      <c r="C388">
        <v>0.43</v>
      </c>
      <c r="D388">
        <v>0.1045</v>
      </c>
      <c r="E388">
        <v>12</v>
      </c>
      <c r="F388">
        <v>74</v>
      </c>
      <c r="G388">
        <v>86</v>
      </c>
    </row>
    <row r="389" spans="1:7" x14ac:dyDescent="0.3">
      <c r="A389">
        <v>388</v>
      </c>
      <c r="B389">
        <v>0.21210000000000001</v>
      </c>
      <c r="C389">
        <v>0.47</v>
      </c>
      <c r="D389">
        <v>0.16420000000000001</v>
      </c>
      <c r="E389">
        <v>21</v>
      </c>
      <c r="F389">
        <v>72</v>
      </c>
      <c r="G389">
        <v>93</v>
      </c>
    </row>
    <row r="390" spans="1:7" x14ac:dyDescent="0.3">
      <c r="A390">
        <v>389</v>
      </c>
      <c r="B390">
        <v>0.21210000000000001</v>
      </c>
      <c r="C390">
        <v>0.47</v>
      </c>
      <c r="D390">
        <v>0.16420000000000001</v>
      </c>
      <c r="E390">
        <v>6</v>
      </c>
      <c r="F390">
        <v>76</v>
      </c>
      <c r="G390">
        <v>82</v>
      </c>
    </row>
    <row r="391" spans="1:7" x14ac:dyDescent="0.3">
      <c r="A391">
        <v>390</v>
      </c>
      <c r="B391">
        <v>0.19700000000000001</v>
      </c>
      <c r="C391">
        <v>0.51</v>
      </c>
      <c r="D391">
        <v>0.19400000000000001</v>
      </c>
      <c r="E391">
        <v>4</v>
      </c>
      <c r="F391">
        <v>67</v>
      </c>
      <c r="G391">
        <v>71</v>
      </c>
    </row>
    <row r="392" spans="1:7" x14ac:dyDescent="0.3">
      <c r="A392">
        <v>391</v>
      </c>
      <c r="B392">
        <v>0.16669999999999999</v>
      </c>
      <c r="C392">
        <v>0.55000000000000004</v>
      </c>
      <c r="D392">
        <v>0.25369999999999998</v>
      </c>
      <c r="E392">
        <v>7</v>
      </c>
      <c r="F392">
        <v>85</v>
      </c>
      <c r="G392">
        <v>92</v>
      </c>
    </row>
    <row r="393" spans="1:7" x14ac:dyDescent="0.3">
      <c r="A393">
        <v>392</v>
      </c>
      <c r="B393">
        <v>0.18179999999999999</v>
      </c>
      <c r="C393">
        <v>0.59</v>
      </c>
      <c r="D393">
        <v>0.19400000000000001</v>
      </c>
      <c r="E393">
        <v>2</v>
      </c>
      <c r="F393">
        <v>58</v>
      </c>
      <c r="G393">
        <v>60</v>
      </c>
    </row>
    <row r="394" spans="1:7" x14ac:dyDescent="0.3">
      <c r="A394">
        <v>393</v>
      </c>
      <c r="B394">
        <v>0.1515</v>
      </c>
      <c r="C394">
        <v>0.8</v>
      </c>
      <c r="D394">
        <v>0.19400000000000001</v>
      </c>
      <c r="E394">
        <v>4</v>
      </c>
      <c r="F394">
        <v>29</v>
      </c>
      <c r="G394">
        <v>33</v>
      </c>
    </row>
    <row r="395" spans="1:7" x14ac:dyDescent="0.3">
      <c r="A395">
        <v>394</v>
      </c>
      <c r="B395">
        <v>0.1515</v>
      </c>
      <c r="C395">
        <v>0.8</v>
      </c>
      <c r="D395">
        <v>0.19400000000000001</v>
      </c>
      <c r="E395">
        <v>3</v>
      </c>
      <c r="F395">
        <v>24</v>
      </c>
      <c r="G395">
        <v>27</v>
      </c>
    </row>
    <row r="396" spans="1:7" x14ac:dyDescent="0.3">
      <c r="A396">
        <v>395</v>
      </c>
      <c r="B396">
        <v>0.1212</v>
      </c>
      <c r="C396">
        <v>0.93</v>
      </c>
      <c r="D396">
        <v>0.25369999999999998</v>
      </c>
      <c r="E396">
        <v>0</v>
      </c>
      <c r="F396">
        <v>13</v>
      </c>
      <c r="G396">
        <v>13</v>
      </c>
    </row>
    <row r="397" spans="1:7" x14ac:dyDescent="0.3">
      <c r="A397">
        <v>396</v>
      </c>
      <c r="B397">
        <v>0.13639999999999999</v>
      </c>
      <c r="C397">
        <v>0.86</v>
      </c>
      <c r="D397">
        <v>0.28360000000000002</v>
      </c>
      <c r="E397">
        <v>1</v>
      </c>
      <c r="F397">
        <v>3</v>
      </c>
      <c r="G397">
        <v>4</v>
      </c>
    </row>
    <row r="398" spans="1:7" x14ac:dyDescent="0.3">
      <c r="A398">
        <v>397</v>
      </c>
      <c r="B398">
        <v>0.18179999999999999</v>
      </c>
      <c r="C398">
        <v>0.86</v>
      </c>
      <c r="D398">
        <v>0.32840000000000003</v>
      </c>
      <c r="E398">
        <v>0</v>
      </c>
      <c r="F398">
        <v>3</v>
      </c>
      <c r="G398">
        <v>3</v>
      </c>
    </row>
    <row r="399" spans="1:7" x14ac:dyDescent="0.3">
      <c r="A399">
        <v>398</v>
      </c>
      <c r="B399">
        <v>0.19700000000000001</v>
      </c>
      <c r="C399">
        <v>0.86</v>
      </c>
      <c r="D399">
        <v>0.22389999999999999</v>
      </c>
      <c r="E399">
        <v>0</v>
      </c>
      <c r="F399">
        <v>22</v>
      </c>
      <c r="G399">
        <v>22</v>
      </c>
    </row>
    <row r="400" spans="1:7" x14ac:dyDescent="0.3">
      <c r="A400">
        <v>399</v>
      </c>
      <c r="B400">
        <v>0.2273</v>
      </c>
      <c r="C400">
        <v>0.8</v>
      </c>
      <c r="D400">
        <v>0.16420000000000001</v>
      </c>
      <c r="E400">
        <v>2</v>
      </c>
      <c r="F400">
        <v>26</v>
      </c>
      <c r="G400">
        <v>28</v>
      </c>
    </row>
    <row r="401" spans="1:7" x14ac:dyDescent="0.3">
      <c r="A401">
        <v>400</v>
      </c>
      <c r="B401">
        <v>0.2273</v>
      </c>
      <c r="C401">
        <v>0.87</v>
      </c>
      <c r="D401">
        <v>0.16420000000000001</v>
      </c>
      <c r="E401">
        <v>3</v>
      </c>
      <c r="F401">
        <v>32</v>
      </c>
      <c r="G401">
        <v>35</v>
      </c>
    </row>
    <row r="402" spans="1:7" x14ac:dyDescent="0.3">
      <c r="A402">
        <v>401</v>
      </c>
      <c r="B402">
        <v>0.2273</v>
      </c>
      <c r="C402">
        <v>0.87</v>
      </c>
      <c r="D402">
        <v>0.19400000000000001</v>
      </c>
      <c r="E402">
        <v>0</v>
      </c>
      <c r="F402">
        <v>61</v>
      </c>
      <c r="G402">
        <v>61</v>
      </c>
    </row>
    <row r="403" spans="1:7" x14ac:dyDescent="0.3">
      <c r="A403">
        <v>402</v>
      </c>
      <c r="B403">
        <v>0.2273</v>
      </c>
      <c r="C403">
        <v>0.82</v>
      </c>
      <c r="D403">
        <v>0.19400000000000001</v>
      </c>
      <c r="E403">
        <v>1</v>
      </c>
      <c r="F403">
        <v>124</v>
      </c>
      <c r="G403">
        <v>125</v>
      </c>
    </row>
    <row r="404" spans="1:7" x14ac:dyDescent="0.3">
      <c r="A404">
        <v>403</v>
      </c>
      <c r="B404">
        <v>0.2273</v>
      </c>
      <c r="C404">
        <v>0.8</v>
      </c>
      <c r="D404">
        <v>0.16420000000000001</v>
      </c>
      <c r="E404">
        <v>1</v>
      </c>
      <c r="F404">
        <v>132</v>
      </c>
      <c r="G404">
        <v>133</v>
      </c>
    </row>
    <row r="405" spans="1:7" x14ac:dyDescent="0.3">
      <c r="A405">
        <v>404</v>
      </c>
      <c r="B405">
        <v>0.2273</v>
      </c>
      <c r="C405">
        <v>0.8</v>
      </c>
      <c r="D405">
        <v>0.1343</v>
      </c>
      <c r="E405">
        <v>1</v>
      </c>
      <c r="F405">
        <v>98</v>
      </c>
      <c r="G405">
        <v>99</v>
      </c>
    </row>
    <row r="406" spans="1:7" x14ac:dyDescent="0.3">
      <c r="A406">
        <v>405</v>
      </c>
      <c r="B406">
        <v>0.2727</v>
      </c>
      <c r="C406">
        <v>0.87</v>
      </c>
      <c r="D406">
        <v>0</v>
      </c>
      <c r="E406">
        <v>0</v>
      </c>
      <c r="F406">
        <v>83</v>
      </c>
      <c r="G406">
        <v>83</v>
      </c>
    </row>
    <row r="407" spans="1:7" x14ac:dyDescent="0.3">
      <c r="A407">
        <v>406</v>
      </c>
      <c r="B407">
        <v>0.2424</v>
      </c>
      <c r="C407">
        <v>0.93</v>
      </c>
      <c r="D407">
        <v>0.1045</v>
      </c>
      <c r="E407">
        <v>0</v>
      </c>
      <c r="F407">
        <v>41</v>
      </c>
      <c r="G407">
        <v>41</v>
      </c>
    </row>
    <row r="408" spans="1:7" x14ac:dyDescent="0.3">
      <c r="A408">
        <v>407</v>
      </c>
      <c r="B408">
        <v>0.2576</v>
      </c>
      <c r="C408">
        <v>0.93</v>
      </c>
      <c r="D408">
        <v>8.9599999999999999E-2</v>
      </c>
      <c r="E408">
        <v>0</v>
      </c>
      <c r="F408">
        <v>33</v>
      </c>
      <c r="G408">
        <v>33</v>
      </c>
    </row>
    <row r="409" spans="1:7" x14ac:dyDescent="0.3">
      <c r="A409">
        <v>408</v>
      </c>
      <c r="B409">
        <v>0.2727</v>
      </c>
      <c r="C409">
        <v>0.93</v>
      </c>
      <c r="D409">
        <v>0</v>
      </c>
      <c r="E409">
        <v>1</v>
      </c>
      <c r="F409">
        <v>19</v>
      </c>
      <c r="G409">
        <v>20</v>
      </c>
    </row>
    <row r="410" spans="1:7" x14ac:dyDescent="0.3">
      <c r="A410">
        <v>409</v>
      </c>
      <c r="B410">
        <v>0.2727</v>
      </c>
      <c r="C410">
        <v>0.93</v>
      </c>
      <c r="D410">
        <v>0</v>
      </c>
      <c r="E410">
        <v>0</v>
      </c>
      <c r="F410">
        <v>3</v>
      </c>
      <c r="G410">
        <v>3</v>
      </c>
    </row>
    <row r="411" spans="1:7" x14ac:dyDescent="0.3">
      <c r="A411">
        <v>410</v>
      </c>
      <c r="B411">
        <v>0.2273</v>
      </c>
      <c r="C411">
        <v>0.93</v>
      </c>
      <c r="D411">
        <v>0.1343</v>
      </c>
      <c r="E411">
        <v>1</v>
      </c>
      <c r="F411">
        <v>6</v>
      </c>
      <c r="G411">
        <v>7</v>
      </c>
    </row>
    <row r="412" spans="1:7" x14ac:dyDescent="0.3">
      <c r="A412">
        <v>411</v>
      </c>
      <c r="B412">
        <v>0.2273</v>
      </c>
      <c r="C412">
        <v>0.93</v>
      </c>
      <c r="D412">
        <v>0.1343</v>
      </c>
      <c r="E412">
        <v>0</v>
      </c>
      <c r="F412">
        <v>3</v>
      </c>
      <c r="G412">
        <v>3</v>
      </c>
    </row>
    <row r="413" spans="1:7" x14ac:dyDescent="0.3">
      <c r="A413">
        <v>412</v>
      </c>
      <c r="B413">
        <v>0.2273</v>
      </c>
      <c r="C413">
        <v>0.93</v>
      </c>
      <c r="D413">
        <v>0.1343</v>
      </c>
      <c r="E413">
        <v>1</v>
      </c>
      <c r="F413">
        <v>1</v>
      </c>
      <c r="G413">
        <v>2</v>
      </c>
    </row>
    <row r="414" spans="1:7" x14ac:dyDescent="0.3">
      <c r="A414">
        <v>413</v>
      </c>
      <c r="B414">
        <v>0.2576</v>
      </c>
      <c r="C414">
        <v>0.93</v>
      </c>
      <c r="D414">
        <v>8.9599999999999999E-2</v>
      </c>
      <c r="E414">
        <v>0</v>
      </c>
      <c r="F414">
        <v>7</v>
      </c>
      <c r="G414">
        <v>7</v>
      </c>
    </row>
    <row r="415" spans="1:7" x14ac:dyDescent="0.3">
      <c r="A415">
        <v>414</v>
      </c>
      <c r="B415">
        <v>0.2576</v>
      </c>
      <c r="C415">
        <v>0.93</v>
      </c>
      <c r="D415">
        <v>8.9599999999999999E-2</v>
      </c>
      <c r="E415">
        <v>0</v>
      </c>
      <c r="F415">
        <v>32</v>
      </c>
      <c r="G415">
        <v>32</v>
      </c>
    </row>
    <row r="416" spans="1:7" x14ac:dyDescent="0.3">
      <c r="A416">
        <v>415</v>
      </c>
      <c r="B416">
        <v>0.2576</v>
      </c>
      <c r="C416">
        <v>0.92</v>
      </c>
      <c r="D416">
        <v>0.1045</v>
      </c>
      <c r="E416">
        <v>1</v>
      </c>
      <c r="F416">
        <v>89</v>
      </c>
      <c r="G416">
        <v>90</v>
      </c>
    </row>
    <row r="417" spans="1:7" x14ac:dyDescent="0.3">
      <c r="A417">
        <v>416</v>
      </c>
      <c r="B417">
        <v>0.2576</v>
      </c>
      <c r="C417">
        <v>0.93</v>
      </c>
      <c r="D417">
        <v>0.1045</v>
      </c>
      <c r="E417">
        <v>1</v>
      </c>
      <c r="F417">
        <v>196</v>
      </c>
      <c r="G417">
        <v>197</v>
      </c>
    </row>
    <row r="418" spans="1:7" x14ac:dyDescent="0.3">
      <c r="A418">
        <v>417</v>
      </c>
      <c r="B418">
        <v>0.2576</v>
      </c>
      <c r="C418">
        <v>0.93</v>
      </c>
      <c r="D418">
        <v>0.1045</v>
      </c>
      <c r="E418">
        <v>2</v>
      </c>
      <c r="F418">
        <v>107</v>
      </c>
      <c r="G418">
        <v>109</v>
      </c>
    </row>
    <row r="419" spans="1:7" x14ac:dyDescent="0.3">
      <c r="A419">
        <v>418</v>
      </c>
      <c r="B419">
        <v>0.2727</v>
      </c>
      <c r="C419">
        <v>0.93</v>
      </c>
      <c r="D419">
        <v>0.1343</v>
      </c>
      <c r="E419">
        <v>1</v>
      </c>
      <c r="F419">
        <v>46</v>
      </c>
      <c r="G419">
        <v>47</v>
      </c>
    </row>
    <row r="420" spans="1:7" x14ac:dyDescent="0.3">
      <c r="A420">
        <v>419</v>
      </c>
      <c r="B420">
        <v>0.30299999999999999</v>
      </c>
      <c r="C420">
        <v>0.87</v>
      </c>
      <c r="D420">
        <v>8.9599999999999999E-2</v>
      </c>
      <c r="E420">
        <v>5</v>
      </c>
      <c r="F420">
        <v>47</v>
      </c>
      <c r="G420">
        <v>52</v>
      </c>
    </row>
    <row r="421" spans="1:7" x14ac:dyDescent="0.3">
      <c r="A421">
        <v>420</v>
      </c>
      <c r="B421">
        <v>0.31819999999999998</v>
      </c>
      <c r="C421">
        <v>0.81</v>
      </c>
      <c r="D421">
        <v>8.9599999999999999E-2</v>
      </c>
      <c r="E421">
        <v>5</v>
      </c>
      <c r="F421">
        <v>65</v>
      </c>
      <c r="G421">
        <v>70</v>
      </c>
    </row>
    <row r="422" spans="1:7" x14ac:dyDescent="0.3">
      <c r="A422">
        <v>421</v>
      </c>
      <c r="B422">
        <v>0.40910000000000002</v>
      </c>
      <c r="C422">
        <v>0.62</v>
      </c>
      <c r="D422">
        <v>0.28360000000000002</v>
      </c>
      <c r="E422">
        <v>11</v>
      </c>
      <c r="F422">
        <v>67</v>
      </c>
      <c r="G422">
        <v>78</v>
      </c>
    </row>
    <row r="423" spans="1:7" x14ac:dyDescent="0.3">
      <c r="A423">
        <v>422</v>
      </c>
      <c r="B423">
        <v>0.40910000000000002</v>
      </c>
      <c r="C423">
        <v>0.57999999999999996</v>
      </c>
      <c r="D423">
        <v>0.25369999999999998</v>
      </c>
      <c r="E423">
        <v>7</v>
      </c>
      <c r="F423">
        <v>68</v>
      </c>
      <c r="G423">
        <v>75</v>
      </c>
    </row>
    <row r="424" spans="1:7" x14ac:dyDescent="0.3">
      <c r="A424">
        <v>423</v>
      </c>
      <c r="B424">
        <v>0.40910000000000002</v>
      </c>
      <c r="C424">
        <v>0.54</v>
      </c>
      <c r="D424">
        <v>0.28360000000000002</v>
      </c>
      <c r="E424">
        <v>4</v>
      </c>
      <c r="F424">
        <v>78</v>
      </c>
      <c r="G424">
        <v>82</v>
      </c>
    </row>
    <row r="425" spans="1:7" x14ac:dyDescent="0.3">
      <c r="A425">
        <v>424</v>
      </c>
      <c r="B425">
        <v>0.39389999999999997</v>
      </c>
      <c r="C425">
        <v>0.57999999999999996</v>
      </c>
      <c r="D425">
        <v>0.3881</v>
      </c>
      <c r="E425">
        <v>10</v>
      </c>
      <c r="F425">
        <v>94</v>
      </c>
      <c r="G425">
        <v>104</v>
      </c>
    </row>
    <row r="426" spans="1:7" x14ac:dyDescent="0.3">
      <c r="A426">
        <v>425</v>
      </c>
      <c r="B426">
        <v>0.33329999999999999</v>
      </c>
      <c r="C426">
        <v>0.56999999999999995</v>
      </c>
      <c r="D426">
        <v>0.32840000000000003</v>
      </c>
      <c r="E426">
        <v>7</v>
      </c>
      <c r="F426">
        <v>190</v>
      </c>
      <c r="G426">
        <v>197</v>
      </c>
    </row>
    <row r="427" spans="1:7" x14ac:dyDescent="0.3">
      <c r="A427">
        <v>426</v>
      </c>
      <c r="B427">
        <v>0.31819999999999998</v>
      </c>
      <c r="C427">
        <v>0.61</v>
      </c>
      <c r="D427">
        <v>0.28360000000000002</v>
      </c>
      <c r="E427">
        <v>5</v>
      </c>
      <c r="F427">
        <v>156</v>
      </c>
      <c r="G427">
        <v>161</v>
      </c>
    </row>
    <row r="428" spans="1:7" x14ac:dyDescent="0.3">
      <c r="A428">
        <v>427</v>
      </c>
      <c r="B428">
        <v>0.28789999999999999</v>
      </c>
      <c r="C428">
        <v>0.56999999999999995</v>
      </c>
      <c r="D428">
        <v>0.41789999999999999</v>
      </c>
      <c r="E428">
        <v>4</v>
      </c>
      <c r="F428">
        <v>108</v>
      </c>
      <c r="G428">
        <v>112</v>
      </c>
    </row>
    <row r="429" spans="1:7" x14ac:dyDescent="0.3">
      <c r="A429">
        <v>428</v>
      </c>
      <c r="B429">
        <v>0.30299999999999999</v>
      </c>
      <c r="C429">
        <v>0.49</v>
      </c>
      <c r="D429">
        <v>0.29849999999999999</v>
      </c>
      <c r="E429">
        <v>2</v>
      </c>
      <c r="F429">
        <v>74</v>
      </c>
      <c r="G429">
        <v>76</v>
      </c>
    </row>
    <row r="430" spans="1:7" x14ac:dyDescent="0.3">
      <c r="A430">
        <v>429</v>
      </c>
      <c r="B430">
        <v>0.28789999999999999</v>
      </c>
      <c r="C430">
        <v>0.49</v>
      </c>
      <c r="D430">
        <v>0.41789999999999999</v>
      </c>
      <c r="E430">
        <v>4</v>
      </c>
      <c r="F430">
        <v>55</v>
      </c>
      <c r="G430">
        <v>59</v>
      </c>
    </row>
    <row r="431" spans="1:7" x14ac:dyDescent="0.3">
      <c r="A431">
        <v>430</v>
      </c>
      <c r="B431">
        <v>0.30299999999999999</v>
      </c>
      <c r="C431">
        <v>0.52</v>
      </c>
      <c r="D431">
        <v>0.16420000000000001</v>
      </c>
      <c r="E431">
        <v>6</v>
      </c>
      <c r="F431">
        <v>53</v>
      </c>
      <c r="G431">
        <v>59</v>
      </c>
    </row>
    <row r="432" spans="1:7" x14ac:dyDescent="0.3">
      <c r="A432">
        <v>431</v>
      </c>
      <c r="B432">
        <v>0.2727</v>
      </c>
      <c r="C432">
        <v>0.52</v>
      </c>
      <c r="D432">
        <v>0.4627</v>
      </c>
      <c r="E432">
        <v>1</v>
      </c>
      <c r="F432">
        <v>27</v>
      </c>
      <c r="G432">
        <v>28</v>
      </c>
    </row>
    <row r="433" spans="1:7" x14ac:dyDescent="0.3">
      <c r="A433">
        <v>432</v>
      </c>
      <c r="B433">
        <v>0.2273</v>
      </c>
      <c r="C433">
        <v>0.56000000000000005</v>
      </c>
      <c r="D433">
        <v>0.3881</v>
      </c>
      <c r="E433">
        <v>5</v>
      </c>
      <c r="F433">
        <v>8</v>
      </c>
      <c r="G433">
        <v>13</v>
      </c>
    </row>
    <row r="434" spans="1:7" x14ac:dyDescent="0.3">
      <c r="A434">
        <v>433</v>
      </c>
      <c r="B434">
        <v>0.2727</v>
      </c>
      <c r="C434">
        <v>0.56000000000000005</v>
      </c>
      <c r="D434">
        <v>0</v>
      </c>
      <c r="E434">
        <v>2</v>
      </c>
      <c r="F434">
        <v>3</v>
      </c>
      <c r="G434">
        <v>5</v>
      </c>
    </row>
    <row r="435" spans="1:7" x14ac:dyDescent="0.3">
      <c r="A435">
        <v>434</v>
      </c>
      <c r="B435">
        <v>0.2727</v>
      </c>
      <c r="C435">
        <v>0.56000000000000005</v>
      </c>
      <c r="D435">
        <v>0</v>
      </c>
      <c r="E435">
        <v>0</v>
      </c>
      <c r="F435">
        <v>2</v>
      </c>
      <c r="G435">
        <v>2</v>
      </c>
    </row>
    <row r="436" spans="1:7" x14ac:dyDescent="0.3">
      <c r="A436">
        <v>435</v>
      </c>
      <c r="B436">
        <v>0.2576</v>
      </c>
      <c r="C436">
        <v>0.56000000000000005</v>
      </c>
      <c r="D436">
        <v>0.16420000000000001</v>
      </c>
      <c r="E436">
        <v>0</v>
      </c>
      <c r="F436">
        <v>1</v>
      </c>
      <c r="G436">
        <v>1</v>
      </c>
    </row>
    <row r="437" spans="1:7" x14ac:dyDescent="0.3">
      <c r="A437">
        <v>436</v>
      </c>
      <c r="B437">
        <v>0.2576</v>
      </c>
      <c r="C437">
        <v>0.56000000000000005</v>
      </c>
      <c r="D437">
        <v>0.16420000000000001</v>
      </c>
      <c r="E437">
        <v>0</v>
      </c>
      <c r="F437">
        <v>1</v>
      </c>
      <c r="G437">
        <v>1</v>
      </c>
    </row>
    <row r="438" spans="1:7" x14ac:dyDescent="0.3">
      <c r="A438">
        <v>437</v>
      </c>
      <c r="B438">
        <v>0.2273</v>
      </c>
      <c r="C438">
        <v>0.6</v>
      </c>
      <c r="D438">
        <v>0.22389999999999999</v>
      </c>
      <c r="E438">
        <v>0</v>
      </c>
      <c r="F438">
        <v>6</v>
      </c>
      <c r="G438">
        <v>6</v>
      </c>
    </row>
    <row r="439" spans="1:7" x14ac:dyDescent="0.3">
      <c r="A439">
        <v>438</v>
      </c>
      <c r="B439">
        <v>0.21210000000000001</v>
      </c>
      <c r="C439">
        <v>0.6</v>
      </c>
      <c r="D439">
        <v>0.22389999999999999</v>
      </c>
      <c r="E439">
        <v>0</v>
      </c>
      <c r="F439">
        <v>35</v>
      </c>
      <c r="G439">
        <v>35</v>
      </c>
    </row>
    <row r="440" spans="1:7" x14ac:dyDescent="0.3">
      <c r="A440">
        <v>439</v>
      </c>
      <c r="B440">
        <v>0.21210000000000001</v>
      </c>
      <c r="C440">
        <v>0.55000000000000004</v>
      </c>
      <c r="D440">
        <v>0.22389999999999999</v>
      </c>
      <c r="E440">
        <v>1</v>
      </c>
      <c r="F440">
        <v>100</v>
      </c>
      <c r="G440">
        <v>101</v>
      </c>
    </row>
    <row r="441" spans="1:7" x14ac:dyDescent="0.3">
      <c r="A441">
        <v>440</v>
      </c>
      <c r="B441">
        <v>0.21210000000000001</v>
      </c>
      <c r="C441">
        <v>0.55000000000000004</v>
      </c>
      <c r="D441">
        <v>0.28360000000000002</v>
      </c>
      <c r="E441">
        <v>2</v>
      </c>
      <c r="F441">
        <v>247</v>
      </c>
      <c r="G441">
        <v>249</v>
      </c>
    </row>
    <row r="442" spans="1:7" x14ac:dyDescent="0.3">
      <c r="A442">
        <v>441</v>
      </c>
      <c r="B442">
        <v>0.2273</v>
      </c>
      <c r="C442">
        <v>0.52</v>
      </c>
      <c r="D442">
        <v>0.22389999999999999</v>
      </c>
      <c r="E442">
        <v>3</v>
      </c>
      <c r="F442">
        <v>140</v>
      </c>
      <c r="G442">
        <v>143</v>
      </c>
    </row>
    <row r="443" spans="1:7" x14ac:dyDescent="0.3">
      <c r="A443">
        <v>442</v>
      </c>
      <c r="B443">
        <v>0.2273</v>
      </c>
      <c r="C443">
        <v>0.48</v>
      </c>
      <c r="D443">
        <v>0.29849999999999999</v>
      </c>
      <c r="E443">
        <v>1</v>
      </c>
      <c r="F443">
        <v>56</v>
      </c>
      <c r="G443">
        <v>57</v>
      </c>
    </row>
    <row r="444" spans="1:7" x14ac:dyDescent="0.3">
      <c r="A444">
        <v>443</v>
      </c>
      <c r="B444">
        <v>0.2727</v>
      </c>
      <c r="C444">
        <v>0.45</v>
      </c>
      <c r="D444">
        <v>0.16420000000000001</v>
      </c>
      <c r="E444">
        <v>5</v>
      </c>
      <c r="F444">
        <v>63</v>
      </c>
      <c r="G444">
        <v>68</v>
      </c>
    </row>
    <row r="445" spans="1:7" x14ac:dyDescent="0.3">
      <c r="A445">
        <v>444</v>
      </c>
      <c r="B445">
        <v>0.33329999999999999</v>
      </c>
      <c r="C445">
        <v>0.42</v>
      </c>
      <c r="D445">
        <v>0</v>
      </c>
      <c r="E445">
        <v>7</v>
      </c>
      <c r="F445">
        <v>77</v>
      </c>
      <c r="G445">
        <v>84</v>
      </c>
    </row>
    <row r="446" spans="1:7" x14ac:dyDescent="0.3">
      <c r="A446">
        <v>445</v>
      </c>
      <c r="B446">
        <v>0.28789999999999999</v>
      </c>
      <c r="C446">
        <v>0.45</v>
      </c>
      <c r="D446">
        <v>0.1045</v>
      </c>
      <c r="E446">
        <v>12</v>
      </c>
      <c r="F446">
        <v>86</v>
      </c>
      <c r="G446">
        <v>98</v>
      </c>
    </row>
    <row r="447" spans="1:7" x14ac:dyDescent="0.3">
      <c r="A447">
        <v>446</v>
      </c>
      <c r="B447">
        <v>0.30299999999999999</v>
      </c>
      <c r="C447">
        <v>0.45</v>
      </c>
      <c r="D447">
        <v>0.1343</v>
      </c>
      <c r="E447">
        <v>6</v>
      </c>
      <c r="F447">
        <v>75</v>
      </c>
      <c r="G447">
        <v>81</v>
      </c>
    </row>
    <row r="448" spans="1:7" x14ac:dyDescent="0.3">
      <c r="A448">
        <v>447</v>
      </c>
      <c r="B448">
        <v>0.31819999999999998</v>
      </c>
      <c r="C448">
        <v>0.45</v>
      </c>
      <c r="D448">
        <v>0.19400000000000001</v>
      </c>
      <c r="E448">
        <v>8</v>
      </c>
      <c r="F448">
        <v>62</v>
      </c>
      <c r="G448">
        <v>70</v>
      </c>
    </row>
    <row r="449" spans="1:7" x14ac:dyDescent="0.3">
      <c r="A449">
        <v>448</v>
      </c>
      <c r="B449">
        <v>0.30299999999999999</v>
      </c>
      <c r="C449">
        <v>0.49</v>
      </c>
      <c r="D449">
        <v>0.1343</v>
      </c>
      <c r="E449">
        <v>8</v>
      </c>
      <c r="F449">
        <v>83</v>
      </c>
      <c r="G449">
        <v>91</v>
      </c>
    </row>
    <row r="450" spans="1:7" x14ac:dyDescent="0.3">
      <c r="A450">
        <v>449</v>
      </c>
      <c r="B450">
        <v>0.31819999999999998</v>
      </c>
      <c r="C450">
        <v>0.49</v>
      </c>
      <c r="D450">
        <v>0.1045</v>
      </c>
      <c r="E450">
        <v>8</v>
      </c>
      <c r="F450">
        <v>207</v>
      </c>
      <c r="G450">
        <v>215</v>
      </c>
    </row>
    <row r="451" spans="1:7" x14ac:dyDescent="0.3">
      <c r="A451">
        <v>450</v>
      </c>
      <c r="B451">
        <v>0.2576</v>
      </c>
      <c r="C451">
        <v>0.56000000000000005</v>
      </c>
      <c r="D451">
        <v>0.19400000000000001</v>
      </c>
      <c r="E451">
        <v>1</v>
      </c>
      <c r="F451">
        <v>184</v>
      </c>
      <c r="G451">
        <v>185</v>
      </c>
    </row>
    <row r="452" spans="1:7" x14ac:dyDescent="0.3">
      <c r="A452">
        <v>451</v>
      </c>
      <c r="B452">
        <v>0.2273</v>
      </c>
      <c r="C452">
        <v>0.56000000000000005</v>
      </c>
      <c r="D452">
        <v>0.32840000000000003</v>
      </c>
      <c r="E452">
        <v>6</v>
      </c>
      <c r="F452">
        <v>146</v>
      </c>
      <c r="G452">
        <v>152</v>
      </c>
    </row>
    <row r="453" spans="1:7" x14ac:dyDescent="0.3">
      <c r="A453">
        <v>452</v>
      </c>
      <c r="B453">
        <v>0.2424</v>
      </c>
      <c r="C453">
        <v>0.6</v>
      </c>
      <c r="D453">
        <v>0.28360000000000002</v>
      </c>
      <c r="E453">
        <v>2</v>
      </c>
      <c r="F453">
        <v>124</v>
      </c>
      <c r="G453">
        <v>126</v>
      </c>
    </row>
    <row r="454" spans="1:7" x14ac:dyDescent="0.3">
      <c r="A454">
        <v>453</v>
      </c>
      <c r="B454">
        <v>0.2273</v>
      </c>
      <c r="C454">
        <v>0.6</v>
      </c>
      <c r="D454">
        <v>0.25369999999999998</v>
      </c>
      <c r="E454">
        <v>3</v>
      </c>
      <c r="F454">
        <v>54</v>
      </c>
      <c r="G454">
        <v>57</v>
      </c>
    </row>
    <row r="455" spans="1:7" x14ac:dyDescent="0.3">
      <c r="A455">
        <v>454</v>
      </c>
      <c r="B455">
        <v>0.21210000000000001</v>
      </c>
      <c r="C455">
        <v>0.65</v>
      </c>
      <c r="D455">
        <v>0.28360000000000002</v>
      </c>
      <c r="E455">
        <v>0</v>
      </c>
      <c r="F455">
        <v>56</v>
      </c>
      <c r="G455">
        <v>56</v>
      </c>
    </row>
    <row r="456" spans="1:7" x14ac:dyDescent="0.3">
      <c r="A456">
        <v>455</v>
      </c>
      <c r="B456">
        <v>0.21210000000000001</v>
      </c>
      <c r="C456">
        <v>0.65</v>
      </c>
      <c r="D456">
        <v>0.32840000000000003</v>
      </c>
      <c r="E456">
        <v>3</v>
      </c>
      <c r="F456">
        <v>28</v>
      </c>
      <c r="G456">
        <v>31</v>
      </c>
    </row>
    <row r="457" spans="1:7" x14ac:dyDescent="0.3">
      <c r="A457">
        <v>456</v>
      </c>
      <c r="B457">
        <v>0.2273</v>
      </c>
      <c r="C457">
        <v>0.7</v>
      </c>
      <c r="D457">
        <v>0.25369999999999998</v>
      </c>
      <c r="E457">
        <v>1</v>
      </c>
      <c r="F457">
        <v>20</v>
      </c>
      <c r="G457">
        <v>21</v>
      </c>
    </row>
    <row r="458" spans="1:7" x14ac:dyDescent="0.3">
      <c r="A458">
        <v>457</v>
      </c>
      <c r="B458">
        <v>0.2273</v>
      </c>
      <c r="C458">
        <v>0.7</v>
      </c>
      <c r="D458">
        <v>0.25369999999999998</v>
      </c>
      <c r="E458">
        <v>0</v>
      </c>
      <c r="F458">
        <v>6</v>
      </c>
      <c r="G458">
        <v>6</v>
      </c>
    </row>
    <row r="459" spans="1:7" x14ac:dyDescent="0.3">
      <c r="A459">
        <v>458</v>
      </c>
      <c r="B459">
        <v>0.2424</v>
      </c>
      <c r="C459">
        <v>0.75</v>
      </c>
      <c r="D459">
        <v>0.16420000000000001</v>
      </c>
      <c r="E459">
        <v>0</v>
      </c>
      <c r="F459">
        <v>2</v>
      </c>
      <c r="G459">
        <v>2</v>
      </c>
    </row>
    <row r="460" spans="1:7" x14ac:dyDescent="0.3">
      <c r="A460">
        <v>459</v>
      </c>
      <c r="B460">
        <v>0.21210000000000001</v>
      </c>
      <c r="C460">
        <v>0.8</v>
      </c>
      <c r="D460">
        <v>0.29849999999999999</v>
      </c>
      <c r="E460">
        <v>0</v>
      </c>
      <c r="F460">
        <v>1</v>
      </c>
      <c r="G460">
        <v>1</v>
      </c>
    </row>
    <row r="461" spans="1:7" x14ac:dyDescent="0.3">
      <c r="A461">
        <v>460</v>
      </c>
      <c r="B461">
        <v>0.2576</v>
      </c>
      <c r="C461">
        <v>0.87</v>
      </c>
      <c r="D461">
        <v>8.9599999999999999E-2</v>
      </c>
      <c r="E461">
        <v>0</v>
      </c>
      <c r="F461">
        <v>1</v>
      </c>
      <c r="G461">
        <v>1</v>
      </c>
    </row>
    <row r="462" spans="1:7" x14ac:dyDescent="0.3">
      <c r="A462">
        <v>461</v>
      </c>
      <c r="B462">
        <v>0.19700000000000001</v>
      </c>
      <c r="C462">
        <v>0.6</v>
      </c>
      <c r="D462">
        <v>0.41789999999999999</v>
      </c>
      <c r="E462">
        <v>1</v>
      </c>
      <c r="F462">
        <v>4</v>
      </c>
      <c r="G462">
        <v>5</v>
      </c>
    </row>
    <row r="463" spans="1:7" x14ac:dyDescent="0.3">
      <c r="A463">
        <v>462</v>
      </c>
      <c r="B463">
        <v>0.21210000000000001</v>
      </c>
      <c r="C463">
        <v>0.55000000000000004</v>
      </c>
      <c r="D463">
        <v>0.25369999999999998</v>
      </c>
      <c r="E463">
        <v>0</v>
      </c>
      <c r="F463">
        <v>27</v>
      </c>
      <c r="G463">
        <v>27</v>
      </c>
    </row>
    <row r="464" spans="1:7" x14ac:dyDescent="0.3">
      <c r="A464">
        <v>463</v>
      </c>
      <c r="B464">
        <v>0.18179999999999999</v>
      </c>
      <c r="C464">
        <v>0.51</v>
      </c>
      <c r="D464">
        <v>0.28360000000000002</v>
      </c>
      <c r="E464">
        <v>2</v>
      </c>
      <c r="F464">
        <v>66</v>
      </c>
      <c r="G464">
        <v>68</v>
      </c>
    </row>
    <row r="465" spans="1:7" x14ac:dyDescent="0.3">
      <c r="A465">
        <v>464</v>
      </c>
      <c r="B465">
        <v>0.18179999999999999</v>
      </c>
      <c r="C465">
        <v>0.47</v>
      </c>
      <c r="D465">
        <v>0.32840000000000003</v>
      </c>
      <c r="E465">
        <v>7</v>
      </c>
      <c r="F465">
        <v>210</v>
      </c>
      <c r="G465">
        <v>217</v>
      </c>
    </row>
    <row r="466" spans="1:7" x14ac:dyDescent="0.3">
      <c r="A466">
        <v>465</v>
      </c>
      <c r="B466">
        <v>0.18179999999999999</v>
      </c>
      <c r="C466">
        <v>0.51</v>
      </c>
      <c r="D466">
        <v>0.35820000000000002</v>
      </c>
      <c r="E466">
        <v>7</v>
      </c>
      <c r="F466">
        <v>159</v>
      </c>
      <c r="G466">
        <v>166</v>
      </c>
    </row>
    <row r="467" spans="1:7" x14ac:dyDescent="0.3">
      <c r="A467">
        <v>466</v>
      </c>
      <c r="B467">
        <v>0.16669999999999999</v>
      </c>
      <c r="C467">
        <v>0.47</v>
      </c>
      <c r="D467">
        <v>0.4627</v>
      </c>
      <c r="E467">
        <v>6</v>
      </c>
      <c r="F467">
        <v>57</v>
      </c>
      <c r="G467">
        <v>63</v>
      </c>
    </row>
    <row r="468" spans="1:7" x14ac:dyDescent="0.3">
      <c r="A468">
        <v>467</v>
      </c>
      <c r="B468">
        <v>0.18179999999999999</v>
      </c>
      <c r="C468">
        <v>0.41</v>
      </c>
      <c r="D468">
        <v>0.4627</v>
      </c>
      <c r="E468">
        <v>6</v>
      </c>
      <c r="F468">
        <v>53</v>
      </c>
      <c r="G468">
        <v>59</v>
      </c>
    </row>
    <row r="469" spans="1:7" x14ac:dyDescent="0.3">
      <c r="A469">
        <v>468</v>
      </c>
      <c r="B469">
        <v>0.18179999999999999</v>
      </c>
      <c r="C469">
        <v>0.27</v>
      </c>
      <c r="D469">
        <v>0.58209999999999995</v>
      </c>
      <c r="E469">
        <v>11</v>
      </c>
      <c r="F469">
        <v>67</v>
      </c>
      <c r="G469">
        <v>78</v>
      </c>
    </row>
    <row r="470" spans="1:7" x14ac:dyDescent="0.3">
      <c r="A470">
        <v>469</v>
      </c>
      <c r="B470">
        <v>0.1515</v>
      </c>
      <c r="C470">
        <v>0.21</v>
      </c>
      <c r="D470">
        <v>0.58209999999999995</v>
      </c>
      <c r="E470">
        <v>8</v>
      </c>
      <c r="F470">
        <v>65</v>
      </c>
      <c r="G470">
        <v>73</v>
      </c>
    </row>
    <row r="471" spans="1:7" x14ac:dyDescent="0.3">
      <c r="A471">
        <v>470</v>
      </c>
      <c r="B471">
        <v>0.1515</v>
      </c>
      <c r="C471">
        <v>0.25</v>
      </c>
      <c r="D471">
        <v>0.52239999999999998</v>
      </c>
      <c r="E471">
        <v>6</v>
      </c>
      <c r="F471">
        <v>56</v>
      </c>
      <c r="G471">
        <v>62</v>
      </c>
    </row>
    <row r="472" spans="1:7" x14ac:dyDescent="0.3">
      <c r="A472">
        <v>471</v>
      </c>
      <c r="B472">
        <v>0.1212</v>
      </c>
      <c r="C472">
        <v>0.26</v>
      </c>
      <c r="D472">
        <v>0.44779999999999998</v>
      </c>
      <c r="E472">
        <v>4</v>
      </c>
      <c r="F472">
        <v>61</v>
      </c>
      <c r="G472">
        <v>65</v>
      </c>
    </row>
    <row r="473" spans="1:7" x14ac:dyDescent="0.3">
      <c r="A473">
        <v>472</v>
      </c>
      <c r="B473">
        <v>0.13639999999999999</v>
      </c>
      <c r="C473">
        <v>0.26</v>
      </c>
      <c r="D473">
        <v>0.35820000000000002</v>
      </c>
      <c r="E473">
        <v>0</v>
      </c>
      <c r="F473">
        <v>97</v>
      </c>
      <c r="G473">
        <v>97</v>
      </c>
    </row>
    <row r="474" spans="1:7" x14ac:dyDescent="0.3">
      <c r="A474">
        <v>473</v>
      </c>
      <c r="B474">
        <v>0.1212</v>
      </c>
      <c r="C474">
        <v>0.28000000000000003</v>
      </c>
      <c r="D474">
        <v>0.35820000000000002</v>
      </c>
      <c r="E474">
        <v>10</v>
      </c>
      <c r="F474">
        <v>151</v>
      </c>
      <c r="G474">
        <v>161</v>
      </c>
    </row>
    <row r="475" spans="1:7" x14ac:dyDescent="0.3">
      <c r="A475">
        <v>474</v>
      </c>
      <c r="B475">
        <v>0.1212</v>
      </c>
      <c r="C475">
        <v>0.3</v>
      </c>
      <c r="D475">
        <v>0.25369999999999998</v>
      </c>
      <c r="E475">
        <v>1</v>
      </c>
      <c r="F475">
        <v>119</v>
      </c>
      <c r="G475">
        <v>120</v>
      </c>
    </row>
    <row r="476" spans="1:7" x14ac:dyDescent="0.3">
      <c r="A476">
        <v>475</v>
      </c>
      <c r="B476">
        <v>0.1061</v>
      </c>
      <c r="C476">
        <v>0.3</v>
      </c>
      <c r="D476">
        <v>0.32840000000000003</v>
      </c>
      <c r="E476">
        <v>3</v>
      </c>
      <c r="F476">
        <v>93</v>
      </c>
      <c r="G476">
        <v>96</v>
      </c>
    </row>
    <row r="477" spans="1:7" x14ac:dyDescent="0.3">
      <c r="A477">
        <v>476</v>
      </c>
      <c r="B477">
        <v>7.5800000000000006E-2</v>
      </c>
      <c r="C477">
        <v>0.33</v>
      </c>
      <c r="D477">
        <v>0.41789999999999999</v>
      </c>
      <c r="E477">
        <v>1</v>
      </c>
      <c r="F477">
        <v>52</v>
      </c>
      <c r="G477">
        <v>53</v>
      </c>
    </row>
    <row r="478" spans="1:7" x14ac:dyDescent="0.3">
      <c r="A478">
        <v>477</v>
      </c>
      <c r="B478">
        <v>7.5800000000000006E-2</v>
      </c>
      <c r="C478">
        <v>0.38</v>
      </c>
      <c r="D478">
        <v>0.28360000000000002</v>
      </c>
      <c r="E478">
        <v>0</v>
      </c>
      <c r="F478">
        <v>41</v>
      </c>
      <c r="G478">
        <v>41</v>
      </c>
    </row>
    <row r="479" spans="1:7" x14ac:dyDescent="0.3">
      <c r="A479">
        <v>478</v>
      </c>
      <c r="B479">
        <v>3.0300000000000001E-2</v>
      </c>
      <c r="C479">
        <v>0.41</v>
      </c>
      <c r="D479">
        <v>0.3881</v>
      </c>
      <c r="E479">
        <v>1</v>
      </c>
      <c r="F479">
        <v>33</v>
      </c>
      <c r="G479">
        <v>34</v>
      </c>
    </row>
    <row r="480" spans="1:7" x14ac:dyDescent="0.3">
      <c r="A480">
        <v>479</v>
      </c>
      <c r="B480">
        <v>4.5499999999999999E-2</v>
      </c>
      <c r="C480">
        <v>0.38</v>
      </c>
      <c r="D480">
        <v>0.32840000000000003</v>
      </c>
      <c r="E480">
        <v>0</v>
      </c>
      <c r="F480">
        <v>27</v>
      </c>
      <c r="G480">
        <v>27</v>
      </c>
    </row>
    <row r="481" spans="1:7" x14ac:dyDescent="0.3">
      <c r="A481">
        <v>480</v>
      </c>
      <c r="B481">
        <v>3.0300000000000001E-2</v>
      </c>
      <c r="C481">
        <v>0.45</v>
      </c>
      <c r="D481">
        <v>0.25369999999999998</v>
      </c>
      <c r="E481">
        <v>0</v>
      </c>
      <c r="F481">
        <v>13</v>
      </c>
      <c r="G481">
        <v>13</v>
      </c>
    </row>
    <row r="482" spans="1:7" x14ac:dyDescent="0.3">
      <c r="A482">
        <v>481</v>
      </c>
      <c r="B482">
        <v>0</v>
      </c>
      <c r="C482">
        <v>0.41</v>
      </c>
      <c r="D482">
        <v>0.3881</v>
      </c>
      <c r="E482">
        <v>3</v>
      </c>
      <c r="F482">
        <v>9</v>
      </c>
      <c r="G482">
        <v>12</v>
      </c>
    </row>
    <row r="483" spans="1:7" x14ac:dyDescent="0.3">
      <c r="A483">
        <v>482</v>
      </c>
      <c r="B483">
        <v>3.0300000000000001E-2</v>
      </c>
      <c r="C483">
        <v>0.41</v>
      </c>
      <c r="D483">
        <v>0.25369999999999998</v>
      </c>
      <c r="E483">
        <v>0</v>
      </c>
      <c r="F483">
        <v>11</v>
      </c>
      <c r="G483">
        <v>11</v>
      </c>
    </row>
    <row r="484" spans="1:7" x14ac:dyDescent="0.3">
      <c r="A484">
        <v>483</v>
      </c>
      <c r="B484">
        <v>3.0300000000000001E-2</v>
      </c>
      <c r="C484">
        <v>0.41</v>
      </c>
      <c r="D484">
        <v>0.28360000000000002</v>
      </c>
      <c r="E484">
        <v>1</v>
      </c>
      <c r="F484">
        <v>6</v>
      </c>
      <c r="G484">
        <v>7</v>
      </c>
    </row>
    <row r="485" spans="1:7" x14ac:dyDescent="0.3">
      <c r="A485">
        <v>484</v>
      </c>
      <c r="B485">
        <v>1.52E-2</v>
      </c>
      <c r="C485">
        <v>0.48</v>
      </c>
      <c r="D485">
        <v>0.29849999999999999</v>
      </c>
      <c r="E485">
        <v>0</v>
      </c>
      <c r="F485">
        <v>3</v>
      </c>
      <c r="G485">
        <v>3</v>
      </c>
    </row>
    <row r="486" spans="1:7" x14ac:dyDescent="0.3">
      <c r="A486">
        <v>485</v>
      </c>
      <c r="B486">
        <v>3.0300000000000001E-2</v>
      </c>
      <c r="C486">
        <v>0.44</v>
      </c>
      <c r="D486">
        <v>0.22389999999999999</v>
      </c>
      <c r="E486">
        <v>0</v>
      </c>
      <c r="F486">
        <v>2</v>
      </c>
      <c r="G486">
        <v>2</v>
      </c>
    </row>
    <row r="487" spans="1:7" x14ac:dyDescent="0.3">
      <c r="A487">
        <v>486</v>
      </c>
      <c r="B487">
        <v>1.52E-2</v>
      </c>
      <c r="C487">
        <v>0.44</v>
      </c>
      <c r="D487">
        <v>0.28360000000000002</v>
      </c>
      <c r="E487">
        <v>0</v>
      </c>
      <c r="F487">
        <v>8</v>
      </c>
      <c r="G487">
        <v>8</v>
      </c>
    </row>
    <row r="488" spans="1:7" x14ac:dyDescent="0.3">
      <c r="A488">
        <v>487</v>
      </c>
      <c r="B488">
        <v>0</v>
      </c>
      <c r="C488">
        <v>0.44</v>
      </c>
      <c r="D488">
        <v>0.32840000000000003</v>
      </c>
      <c r="E488">
        <v>1</v>
      </c>
      <c r="F488">
        <v>26</v>
      </c>
      <c r="G488">
        <v>27</v>
      </c>
    </row>
    <row r="489" spans="1:7" x14ac:dyDescent="0.3">
      <c r="A489">
        <v>488</v>
      </c>
      <c r="B489">
        <v>3.0300000000000001E-2</v>
      </c>
      <c r="C489">
        <v>0.41</v>
      </c>
      <c r="D489">
        <v>0.25369999999999998</v>
      </c>
      <c r="E489">
        <v>3</v>
      </c>
      <c r="F489">
        <v>37</v>
      </c>
      <c r="G489">
        <v>40</v>
      </c>
    </row>
    <row r="490" spans="1:7" x14ac:dyDescent="0.3">
      <c r="A490">
        <v>489</v>
      </c>
      <c r="B490">
        <v>6.0600000000000001E-2</v>
      </c>
      <c r="C490">
        <v>0.41</v>
      </c>
      <c r="D490">
        <v>0.16420000000000001</v>
      </c>
      <c r="E490">
        <v>3</v>
      </c>
      <c r="F490">
        <v>50</v>
      </c>
      <c r="G490">
        <v>53</v>
      </c>
    </row>
    <row r="491" spans="1:7" x14ac:dyDescent="0.3">
      <c r="A491">
        <v>490</v>
      </c>
      <c r="B491">
        <v>7.5800000000000006E-2</v>
      </c>
      <c r="C491">
        <v>0.38</v>
      </c>
      <c r="D491">
        <v>0.1343</v>
      </c>
      <c r="E491">
        <v>4</v>
      </c>
      <c r="F491">
        <v>59</v>
      </c>
      <c r="G491">
        <v>63</v>
      </c>
    </row>
    <row r="492" spans="1:7" x14ac:dyDescent="0.3">
      <c r="A492">
        <v>491</v>
      </c>
      <c r="B492">
        <v>0.1061</v>
      </c>
      <c r="C492">
        <v>0.38</v>
      </c>
      <c r="D492">
        <v>0.1045</v>
      </c>
      <c r="E492">
        <v>10</v>
      </c>
      <c r="F492">
        <v>60</v>
      </c>
      <c r="G492">
        <v>70</v>
      </c>
    </row>
    <row r="493" spans="1:7" x14ac:dyDescent="0.3">
      <c r="A493">
        <v>492</v>
      </c>
      <c r="B493">
        <v>0.16669999999999999</v>
      </c>
      <c r="C493">
        <v>0.35</v>
      </c>
      <c r="D493">
        <v>0</v>
      </c>
      <c r="E493">
        <v>12</v>
      </c>
      <c r="F493">
        <v>72</v>
      </c>
      <c r="G493">
        <v>84</v>
      </c>
    </row>
    <row r="494" spans="1:7" x14ac:dyDescent="0.3">
      <c r="A494">
        <v>493</v>
      </c>
      <c r="B494">
        <v>0.13639999999999999</v>
      </c>
      <c r="C494">
        <v>0.33</v>
      </c>
      <c r="D494">
        <v>0.1045</v>
      </c>
      <c r="E494">
        <v>11</v>
      </c>
      <c r="F494">
        <v>64</v>
      </c>
      <c r="G494">
        <v>75</v>
      </c>
    </row>
    <row r="495" spans="1:7" x14ac:dyDescent="0.3">
      <c r="A495">
        <v>494</v>
      </c>
      <c r="B495">
        <v>0.1515</v>
      </c>
      <c r="C495">
        <v>0.28000000000000003</v>
      </c>
      <c r="D495">
        <v>0</v>
      </c>
      <c r="E495">
        <v>10</v>
      </c>
      <c r="F495">
        <v>93</v>
      </c>
      <c r="G495">
        <v>103</v>
      </c>
    </row>
    <row r="496" spans="1:7" x14ac:dyDescent="0.3">
      <c r="A496">
        <v>495</v>
      </c>
      <c r="B496">
        <v>0.13639999999999999</v>
      </c>
      <c r="C496">
        <v>0.28000000000000003</v>
      </c>
      <c r="D496">
        <v>0.19400000000000001</v>
      </c>
      <c r="E496">
        <v>11</v>
      </c>
      <c r="F496">
        <v>72</v>
      </c>
      <c r="G496">
        <v>83</v>
      </c>
    </row>
    <row r="497" spans="1:7" x14ac:dyDescent="0.3">
      <c r="A497">
        <v>496</v>
      </c>
      <c r="B497">
        <v>0.19700000000000001</v>
      </c>
      <c r="C497">
        <v>0.28000000000000003</v>
      </c>
      <c r="D497">
        <v>0</v>
      </c>
      <c r="E497">
        <v>8</v>
      </c>
      <c r="F497">
        <v>59</v>
      </c>
      <c r="G497">
        <v>67</v>
      </c>
    </row>
    <row r="498" spans="1:7" x14ac:dyDescent="0.3">
      <c r="A498">
        <v>497</v>
      </c>
      <c r="B498">
        <v>9.0899999999999995E-2</v>
      </c>
      <c r="C498">
        <v>0.35</v>
      </c>
      <c r="D498">
        <v>0.19400000000000001</v>
      </c>
      <c r="E498">
        <v>0</v>
      </c>
      <c r="F498">
        <v>54</v>
      </c>
      <c r="G498">
        <v>54</v>
      </c>
    </row>
    <row r="499" spans="1:7" x14ac:dyDescent="0.3">
      <c r="A499">
        <v>498</v>
      </c>
      <c r="B499">
        <v>0.1061</v>
      </c>
      <c r="C499">
        <v>0.35</v>
      </c>
      <c r="D499">
        <v>0.1343</v>
      </c>
      <c r="E499">
        <v>6</v>
      </c>
      <c r="F499">
        <v>53</v>
      </c>
      <c r="G499">
        <v>59</v>
      </c>
    </row>
    <row r="500" spans="1:7" x14ac:dyDescent="0.3">
      <c r="A500">
        <v>499</v>
      </c>
      <c r="B500">
        <v>7.5800000000000006E-2</v>
      </c>
      <c r="C500">
        <v>0.45</v>
      </c>
      <c r="D500">
        <v>0.16420000000000001</v>
      </c>
      <c r="E500">
        <v>1</v>
      </c>
      <c r="F500">
        <v>44</v>
      </c>
      <c r="G500">
        <v>45</v>
      </c>
    </row>
    <row r="501" spans="1:7" x14ac:dyDescent="0.3">
      <c r="A501">
        <v>500</v>
      </c>
      <c r="B501">
        <v>0.1061</v>
      </c>
      <c r="C501">
        <v>0.41</v>
      </c>
      <c r="D501">
        <v>8.9599999999999999E-2</v>
      </c>
      <c r="E501">
        <v>0</v>
      </c>
      <c r="F501">
        <v>39</v>
      </c>
      <c r="G501">
        <v>39</v>
      </c>
    </row>
    <row r="502" spans="1:7" x14ac:dyDescent="0.3">
      <c r="A502">
        <v>501</v>
      </c>
      <c r="B502">
        <v>0.1515</v>
      </c>
      <c r="C502">
        <v>0.49</v>
      </c>
      <c r="D502">
        <v>0</v>
      </c>
      <c r="E502">
        <v>7</v>
      </c>
      <c r="F502">
        <v>23</v>
      </c>
      <c r="G502">
        <v>30</v>
      </c>
    </row>
    <row r="503" spans="1:7" x14ac:dyDescent="0.3">
      <c r="A503">
        <v>502</v>
      </c>
      <c r="B503">
        <v>7.5800000000000006E-2</v>
      </c>
      <c r="C503">
        <v>0.56999999999999995</v>
      </c>
      <c r="D503">
        <v>0.1045</v>
      </c>
      <c r="E503">
        <v>2</v>
      </c>
      <c r="F503">
        <v>31</v>
      </c>
      <c r="G503">
        <v>33</v>
      </c>
    </row>
    <row r="504" spans="1:7" x14ac:dyDescent="0.3">
      <c r="A504">
        <v>503</v>
      </c>
      <c r="B504">
        <v>7.5800000000000006E-2</v>
      </c>
      <c r="C504">
        <v>0.56999999999999995</v>
      </c>
      <c r="D504">
        <v>0.1045</v>
      </c>
      <c r="E504">
        <v>2</v>
      </c>
      <c r="F504">
        <v>20</v>
      </c>
      <c r="G504">
        <v>22</v>
      </c>
    </row>
    <row r="505" spans="1:7" x14ac:dyDescent="0.3">
      <c r="A505">
        <v>504</v>
      </c>
      <c r="B505">
        <v>7.5800000000000006E-2</v>
      </c>
      <c r="C505">
        <v>0.56999999999999995</v>
      </c>
      <c r="D505">
        <v>0.1045</v>
      </c>
      <c r="E505">
        <v>1</v>
      </c>
      <c r="F505">
        <v>12</v>
      </c>
      <c r="G505">
        <v>13</v>
      </c>
    </row>
    <row r="506" spans="1:7" x14ac:dyDescent="0.3">
      <c r="A506">
        <v>505</v>
      </c>
      <c r="B506">
        <v>6.0600000000000001E-2</v>
      </c>
      <c r="C506">
        <v>0.62</v>
      </c>
      <c r="D506">
        <v>0.1343</v>
      </c>
      <c r="E506">
        <v>3</v>
      </c>
      <c r="F506">
        <v>15</v>
      </c>
      <c r="G506">
        <v>18</v>
      </c>
    </row>
    <row r="507" spans="1:7" x14ac:dyDescent="0.3">
      <c r="A507">
        <v>506</v>
      </c>
      <c r="B507">
        <v>6.0600000000000001E-2</v>
      </c>
      <c r="C507">
        <v>0.62</v>
      </c>
      <c r="D507">
        <v>0.1343</v>
      </c>
      <c r="E507">
        <v>1</v>
      </c>
      <c r="F507">
        <v>4</v>
      </c>
      <c r="G507">
        <v>5</v>
      </c>
    </row>
    <row r="508" spans="1:7" x14ac:dyDescent="0.3">
      <c r="A508">
        <v>507</v>
      </c>
      <c r="B508">
        <v>7.5800000000000006E-2</v>
      </c>
      <c r="C508">
        <v>0.56999999999999995</v>
      </c>
      <c r="D508">
        <v>0.1045</v>
      </c>
      <c r="E508">
        <v>0</v>
      </c>
      <c r="F508">
        <v>3</v>
      </c>
      <c r="G508">
        <v>3</v>
      </c>
    </row>
    <row r="509" spans="1:7" x14ac:dyDescent="0.3">
      <c r="A509">
        <v>508</v>
      </c>
      <c r="B509">
        <v>7.5800000000000006E-2</v>
      </c>
      <c r="C509">
        <v>0.56999999999999995</v>
      </c>
      <c r="D509">
        <v>0.1045</v>
      </c>
      <c r="E509">
        <v>0</v>
      </c>
      <c r="F509">
        <v>1</v>
      </c>
      <c r="G509">
        <v>1</v>
      </c>
    </row>
    <row r="510" spans="1:7" x14ac:dyDescent="0.3">
      <c r="A510">
        <v>509</v>
      </c>
      <c r="B510">
        <v>0.1061</v>
      </c>
      <c r="C510">
        <v>0.57999999999999996</v>
      </c>
      <c r="D510">
        <v>0.16420000000000001</v>
      </c>
      <c r="E510">
        <v>1</v>
      </c>
      <c r="F510">
        <v>1</v>
      </c>
      <c r="G510">
        <v>2</v>
      </c>
    </row>
    <row r="511" spans="1:7" x14ac:dyDescent="0.3">
      <c r="A511">
        <v>510</v>
      </c>
      <c r="B511">
        <v>7.5800000000000006E-2</v>
      </c>
      <c r="C511">
        <v>0.62</v>
      </c>
      <c r="D511">
        <v>0.16420000000000001</v>
      </c>
      <c r="E511">
        <v>2</v>
      </c>
      <c r="F511">
        <v>17</v>
      </c>
      <c r="G511">
        <v>19</v>
      </c>
    </row>
    <row r="512" spans="1:7" x14ac:dyDescent="0.3">
      <c r="A512">
        <v>511</v>
      </c>
      <c r="B512">
        <v>7.5800000000000006E-2</v>
      </c>
      <c r="C512">
        <v>0.54</v>
      </c>
      <c r="D512">
        <v>0.35820000000000002</v>
      </c>
      <c r="E512">
        <v>3</v>
      </c>
      <c r="F512">
        <v>25</v>
      </c>
      <c r="G512">
        <v>28</v>
      </c>
    </row>
    <row r="513" spans="1:7" x14ac:dyDescent="0.3">
      <c r="A513">
        <v>512</v>
      </c>
      <c r="B513">
        <v>0.1061</v>
      </c>
      <c r="C513">
        <v>0.46</v>
      </c>
      <c r="D513">
        <v>0.3881</v>
      </c>
      <c r="E513">
        <v>7</v>
      </c>
      <c r="F513">
        <v>51</v>
      </c>
      <c r="G513">
        <v>58</v>
      </c>
    </row>
    <row r="514" spans="1:7" x14ac:dyDescent="0.3">
      <c r="A514">
        <v>513</v>
      </c>
      <c r="B514">
        <v>0.13639999999999999</v>
      </c>
      <c r="C514">
        <v>0.43</v>
      </c>
      <c r="D514">
        <v>0.22389999999999999</v>
      </c>
      <c r="E514">
        <v>22</v>
      </c>
      <c r="F514">
        <v>77</v>
      </c>
      <c r="G514">
        <v>99</v>
      </c>
    </row>
    <row r="515" spans="1:7" x14ac:dyDescent="0.3">
      <c r="A515">
        <v>514</v>
      </c>
      <c r="B515">
        <v>0.1212</v>
      </c>
      <c r="C515">
        <v>0.37</v>
      </c>
      <c r="D515">
        <v>0.4627</v>
      </c>
      <c r="E515">
        <v>24</v>
      </c>
      <c r="F515">
        <v>92</v>
      </c>
      <c r="G515">
        <v>116</v>
      </c>
    </row>
    <row r="516" spans="1:7" x14ac:dyDescent="0.3">
      <c r="A516">
        <v>515</v>
      </c>
      <c r="B516">
        <v>0.1061</v>
      </c>
      <c r="C516">
        <v>0.33</v>
      </c>
      <c r="D516">
        <v>0.3881</v>
      </c>
      <c r="E516">
        <v>12</v>
      </c>
      <c r="F516">
        <v>75</v>
      </c>
      <c r="G516">
        <v>87</v>
      </c>
    </row>
    <row r="517" spans="1:7" x14ac:dyDescent="0.3">
      <c r="A517">
        <v>516</v>
      </c>
      <c r="B517">
        <v>0.13639999999999999</v>
      </c>
      <c r="C517">
        <v>0.28000000000000003</v>
      </c>
      <c r="D517">
        <v>0.35820000000000002</v>
      </c>
      <c r="E517">
        <v>17</v>
      </c>
      <c r="F517">
        <v>93</v>
      </c>
      <c r="G517">
        <v>110</v>
      </c>
    </row>
    <row r="518" spans="1:7" x14ac:dyDescent="0.3">
      <c r="A518">
        <v>517</v>
      </c>
      <c r="B518">
        <v>0.13639999999999999</v>
      </c>
      <c r="C518">
        <v>0.28000000000000003</v>
      </c>
      <c r="D518">
        <v>0.35820000000000002</v>
      </c>
      <c r="E518">
        <v>13</v>
      </c>
      <c r="F518">
        <v>64</v>
      </c>
      <c r="G518">
        <v>77</v>
      </c>
    </row>
    <row r="519" spans="1:7" x14ac:dyDescent="0.3">
      <c r="A519">
        <v>518</v>
      </c>
      <c r="B519">
        <v>0.13639999999999999</v>
      </c>
      <c r="C519">
        <v>0.26</v>
      </c>
      <c r="D519">
        <v>0.32840000000000003</v>
      </c>
      <c r="E519">
        <v>9</v>
      </c>
      <c r="F519">
        <v>56</v>
      </c>
      <c r="G519">
        <v>65</v>
      </c>
    </row>
    <row r="520" spans="1:7" x14ac:dyDescent="0.3">
      <c r="A520">
        <v>519</v>
      </c>
      <c r="B520">
        <v>0.1061</v>
      </c>
      <c r="C520">
        <v>0.26</v>
      </c>
      <c r="D520">
        <v>0.3881</v>
      </c>
      <c r="E520">
        <v>5</v>
      </c>
      <c r="F520">
        <v>50</v>
      </c>
      <c r="G520">
        <v>55</v>
      </c>
    </row>
    <row r="521" spans="1:7" x14ac:dyDescent="0.3">
      <c r="A521">
        <v>520</v>
      </c>
      <c r="B521">
        <v>0.1212</v>
      </c>
      <c r="C521">
        <v>0.3</v>
      </c>
      <c r="D521">
        <v>0.25369999999999998</v>
      </c>
      <c r="E521">
        <v>5</v>
      </c>
      <c r="F521">
        <v>44</v>
      </c>
      <c r="G521">
        <v>49</v>
      </c>
    </row>
    <row r="522" spans="1:7" x14ac:dyDescent="0.3">
      <c r="A522">
        <v>521</v>
      </c>
      <c r="B522">
        <v>0.1212</v>
      </c>
      <c r="C522">
        <v>0.3</v>
      </c>
      <c r="D522">
        <v>0.28360000000000002</v>
      </c>
      <c r="E522">
        <v>5</v>
      </c>
      <c r="F522">
        <v>45</v>
      </c>
      <c r="G522">
        <v>50</v>
      </c>
    </row>
    <row r="523" spans="1:7" x14ac:dyDescent="0.3">
      <c r="A523">
        <v>522</v>
      </c>
      <c r="B523">
        <v>0.1061</v>
      </c>
      <c r="C523">
        <v>0.36</v>
      </c>
      <c r="D523">
        <v>0.25369999999999998</v>
      </c>
      <c r="E523">
        <v>4</v>
      </c>
      <c r="F523">
        <v>31</v>
      </c>
      <c r="G523">
        <v>35</v>
      </c>
    </row>
    <row r="524" spans="1:7" x14ac:dyDescent="0.3">
      <c r="A524">
        <v>523</v>
      </c>
      <c r="B524">
        <v>0.1061</v>
      </c>
      <c r="C524">
        <v>0.36</v>
      </c>
      <c r="D524">
        <v>0.19400000000000001</v>
      </c>
      <c r="E524">
        <v>5</v>
      </c>
      <c r="F524">
        <v>20</v>
      </c>
      <c r="G524">
        <v>25</v>
      </c>
    </row>
    <row r="525" spans="1:7" x14ac:dyDescent="0.3">
      <c r="A525">
        <v>524</v>
      </c>
      <c r="B525">
        <v>9.0899999999999995E-2</v>
      </c>
      <c r="C525">
        <v>0.38</v>
      </c>
      <c r="D525">
        <v>0.19400000000000001</v>
      </c>
      <c r="E525">
        <v>5</v>
      </c>
      <c r="F525">
        <v>23</v>
      </c>
      <c r="G525">
        <v>28</v>
      </c>
    </row>
    <row r="526" spans="1:7" x14ac:dyDescent="0.3">
      <c r="A526">
        <v>525</v>
      </c>
      <c r="B526">
        <v>6.0600000000000001E-2</v>
      </c>
      <c r="C526">
        <v>0.41</v>
      </c>
      <c r="D526">
        <v>0.22389999999999999</v>
      </c>
      <c r="E526">
        <v>4</v>
      </c>
      <c r="F526">
        <v>17</v>
      </c>
      <c r="G526">
        <v>21</v>
      </c>
    </row>
    <row r="527" spans="1:7" x14ac:dyDescent="0.3">
      <c r="A527">
        <v>526</v>
      </c>
      <c r="B527">
        <v>6.0600000000000001E-2</v>
      </c>
      <c r="C527">
        <v>0.41</v>
      </c>
      <c r="D527">
        <v>0.19400000000000001</v>
      </c>
      <c r="E527">
        <v>0</v>
      </c>
      <c r="F527">
        <v>7</v>
      </c>
      <c r="G527">
        <v>7</v>
      </c>
    </row>
    <row r="528" spans="1:7" x14ac:dyDescent="0.3">
      <c r="A528">
        <v>527</v>
      </c>
      <c r="B528">
        <v>4.5499999999999999E-2</v>
      </c>
      <c r="C528">
        <v>0.45</v>
      </c>
      <c r="D528">
        <v>0.19400000000000001</v>
      </c>
      <c r="E528">
        <v>0</v>
      </c>
      <c r="F528">
        <v>1</v>
      </c>
      <c r="G528">
        <v>1</v>
      </c>
    </row>
    <row r="529" spans="1:7" x14ac:dyDescent="0.3">
      <c r="A529">
        <v>528</v>
      </c>
      <c r="B529">
        <v>3.0300000000000001E-2</v>
      </c>
      <c r="C529">
        <v>0.45</v>
      </c>
      <c r="D529">
        <v>0.25369999999999998</v>
      </c>
      <c r="E529">
        <v>0</v>
      </c>
      <c r="F529">
        <v>1</v>
      </c>
      <c r="G529">
        <v>1</v>
      </c>
    </row>
    <row r="530" spans="1:7" x14ac:dyDescent="0.3">
      <c r="A530">
        <v>529</v>
      </c>
      <c r="B530">
        <v>6.0600000000000001E-2</v>
      </c>
      <c r="C530">
        <v>0.48</v>
      </c>
      <c r="D530">
        <v>0.1343</v>
      </c>
      <c r="E530">
        <v>0</v>
      </c>
      <c r="F530">
        <v>1</v>
      </c>
      <c r="G530">
        <v>1</v>
      </c>
    </row>
    <row r="531" spans="1:7" x14ac:dyDescent="0.3">
      <c r="A531">
        <v>530</v>
      </c>
      <c r="B531">
        <v>6.0600000000000001E-2</v>
      </c>
      <c r="C531">
        <v>0.48</v>
      </c>
      <c r="D531">
        <v>0.1343</v>
      </c>
      <c r="E531">
        <v>0</v>
      </c>
      <c r="F531">
        <v>5</v>
      </c>
      <c r="G531">
        <v>5</v>
      </c>
    </row>
    <row r="532" spans="1:7" x14ac:dyDescent="0.3">
      <c r="A532">
        <v>531</v>
      </c>
      <c r="B532">
        <v>7.5800000000000006E-2</v>
      </c>
      <c r="C532">
        <v>0.48</v>
      </c>
      <c r="D532">
        <v>8.9599999999999999E-2</v>
      </c>
      <c r="E532">
        <v>0</v>
      </c>
      <c r="F532">
        <v>15</v>
      </c>
      <c r="G532">
        <v>15</v>
      </c>
    </row>
    <row r="533" spans="1:7" x14ac:dyDescent="0.3">
      <c r="A533">
        <v>532</v>
      </c>
      <c r="B533">
        <v>0.1212</v>
      </c>
      <c r="C533">
        <v>0.48</v>
      </c>
      <c r="D533">
        <v>0</v>
      </c>
      <c r="E533">
        <v>5</v>
      </c>
      <c r="F533">
        <v>79</v>
      </c>
      <c r="G533">
        <v>84</v>
      </c>
    </row>
    <row r="534" spans="1:7" x14ac:dyDescent="0.3">
      <c r="A534">
        <v>533</v>
      </c>
      <c r="B534">
        <v>0.13639999999999999</v>
      </c>
      <c r="C534">
        <v>0.49</v>
      </c>
      <c r="D534">
        <v>0</v>
      </c>
      <c r="E534">
        <v>6</v>
      </c>
      <c r="F534">
        <v>171</v>
      </c>
      <c r="G534">
        <v>177</v>
      </c>
    </row>
    <row r="535" spans="1:7" x14ac:dyDescent="0.3">
      <c r="A535">
        <v>534</v>
      </c>
      <c r="B535">
        <v>0.1515</v>
      </c>
      <c r="C535">
        <v>0.41</v>
      </c>
      <c r="D535">
        <v>0</v>
      </c>
      <c r="E535">
        <v>4</v>
      </c>
      <c r="F535">
        <v>98</v>
      </c>
      <c r="G535">
        <v>102</v>
      </c>
    </row>
    <row r="536" spans="1:7" x14ac:dyDescent="0.3">
      <c r="A536">
        <v>535</v>
      </c>
      <c r="B536">
        <v>0.13639999999999999</v>
      </c>
      <c r="C536">
        <v>0.42</v>
      </c>
      <c r="D536">
        <v>0</v>
      </c>
      <c r="E536">
        <v>6</v>
      </c>
      <c r="F536">
        <v>34</v>
      </c>
      <c r="G536">
        <v>40</v>
      </c>
    </row>
    <row r="537" spans="1:7" x14ac:dyDescent="0.3">
      <c r="A537">
        <v>536</v>
      </c>
      <c r="B537">
        <v>0.1212</v>
      </c>
      <c r="C537">
        <v>0.46</v>
      </c>
      <c r="D537">
        <v>0.1343</v>
      </c>
      <c r="E537">
        <v>3</v>
      </c>
      <c r="F537">
        <v>43</v>
      </c>
      <c r="G537">
        <v>46</v>
      </c>
    </row>
    <row r="538" spans="1:7" x14ac:dyDescent="0.3">
      <c r="A538">
        <v>537</v>
      </c>
      <c r="B538">
        <v>0.13639999999999999</v>
      </c>
      <c r="C538">
        <v>0.42</v>
      </c>
      <c r="D538">
        <v>0.19400000000000001</v>
      </c>
      <c r="E538">
        <v>11</v>
      </c>
      <c r="F538">
        <v>52</v>
      </c>
      <c r="G538">
        <v>63</v>
      </c>
    </row>
    <row r="539" spans="1:7" x14ac:dyDescent="0.3">
      <c r="A539">
        <v>538</v>
      </c>
      <c r="B539">
        <v>0.13639999999999999</v>
      </c>
      <c r="C539">
        <v>0.43</v>
      </c>
      <c r="D539">
        <v>0.22389999999999999</v>
      </c>
      <c r="E539">
        <v>6</v>
      </c>
      <c r="F539">
        <v>54</v>
      </c>
      <c r="G539">
        <v>60</v>
      </c>
    </row>
    <row r="540" spans="1:7" x14ac:dyDescent="0.3">
      <c r="A540">
        <v>539</v>
      </c>
      <c r="B540">
        <v>0.13639999999999999</v>
      </c>
      <c r="C540">
        <v>0.46</v>
      </c>
      <c r="D540">
        <v>0.22389999999999999</v>
      </c>
      <c r="E540">
        <v>2</v>
      </c>
      <c r="F540">
        <v>43</v>
      </c>
      <c r="G540">
        <v>45</v>
      </c>
    </row>
    <row r="541" spans="1:7" x14ac:dyDescent="0.3">
      <c r="A541">
        <v>540</v>
      </c>
      <c r="B541">
        <v>0.16669999999999999</v>
      </c>
      <c r="C541">
        <v>0.4</v>
      </c>
      <c r="D541">
        <v>0.16420000000000001</v>
      </c>
      <c r="E541">
        <v>7</v>
      </c>
      <c r="F541">
        <v>50</v>
      </c>
      <c r="G541">
        <v>57</v>
      </c>
    </row>
    <row r="542" spans="1:7" x14ac:dyDescent="0.3">
      <c r="A542">
        <v>541</v>
      </c>
      <c r="B542">
        <v>0.1515</v>
      </c>
      <c r="C542">
        <v>0.47</v>
      </c>
      <c r="D542">
        <v>0.25369999999999998</v>
      </c>
      <c r="E542">
        <v>4</v>
      </c>
      <c r="F542">
        <v>66</v>
      </c>
      <c r="G542">
        <v>70</v>
      </c>
    </row>
    <row r="543" spans="1:7" x14ac:dyDescent="0.3">
      <c r="A543">
        <v>542</v>
      </c>
      <c r="B543">
        <v>0.1212</v>
      </c>
      <c r="C543">
        <v>0.5</v>
      </c>
      <c r="D543">
        <v>0.25369999999999998</v>
      </c>
      <c r="E543">
        <v>6</v>
      </c>
      <c r="F543">
        <v>178</v>
      </c>
      <c r="G543">
        <v>184</v>
      </c>
    </row>
    <row r="544" spans="1:7" x14ac:dyDescent="0.3">
      <c r="A544">
        <v>543</v>
      </c>
      <c r="B544">
        <v>0.13639999999999999</v>
      </c>
      <c r="C544">
        <v>0.59</v>
      </c>
      <c r="D544">
        <v>0.19400000000000001</v>
      </c>
      <c r="E544">
        <v>8</v>
      </c>
      <c r="F544">
        <v>145</v>
      </c>
      <c r="G544">
        <v>153</v>
      </c>
    </row>
    <row r="545" spans="1:7" x14ac:dyDescent="0.3">
      <c r="A545">
        <v>544</v>
      </c>
      <c r="B545">
        <v>0.1515</v>
      </c>
      <c r="C545">
        <v>0.54</v>
      </c>
      <c r="D545">
        <v>0.16420000000000001</v>
      </c>
      <c r="E545">
        <v>5</v>
      </c>
      <c r="F545">
        <v>101</v>
      </c>
      <c r="G545">
        <v>106</v>
      </c>
    </row>
    <row r="546" spans="1:7" x14ac:dyDescent="0.3">
      <c r="A546">
        <v>545</v>
      </c>
      <c r="B546">
        <v>0.13639999999999999</v>
      </c>
      <c r="C546">
        <v>0.59</v>
      </c>
      <c r="D546">
        <v>0.19400000000000001</v>
      </c>
      <c r="E546">
        <v>1</v>
      </c>
      <c r="F546">
        <v>80</v>
      </c>
      <c r="G546">
        <v>81</v>
      </c>
    </row>
    <row r="547" spans="1:7" x14ac:dyDescent="0.3">
      <c r="A547">
        <v>546</v>
      </c>
      <c r="B547">
        <v>0.1515</v>
      </c>
      <c r="C547">
        <v>0.63</v>
      </c>
      <c r="D547">
        <v>0.16420000000000001</v>
      </c>
      <c r="E547">
        <v>6</v>
      </c>
      <c r="F547">
        <v>53</v>
      </c>
      <c r="G547">
        <v>59</v>
      </c>
    </row>
    <row r="548" spans="1:7" x14ac:dyDescent="0.3">
      <c r="A548">
        <v>547</v>
      </c>
      <c r="B548">
        <v>0.13639999999999999</v>
      </c>
      <c r="C548">
        <v>0.63</v>
      </c>
      <c r="D548">
        <v>0.22389999999999999</v>
      </c>
      <c r="E548">
        <v>3</v>
      </c>
      <c r="F548">
        <v>32</v>
      </c>
      <c r="G548">
        <v>35</v>
      </c>
    </row>
    <row r="549" spans="1:7" x14ac:dyDescent="0.3">
      <c r="A549">
        <v>548</v>
      </c>
      <c r="B549">
        <v>0.1515</v>
      </c>
      <c r="C549">
        <v>0.64</v>
      </c>
      <c r="D549">
        <v>0.25369999999999998</v>
      </c>
      <c r="E549">
        <v>3</v>
      </c>
      <c r="F549">
        <v>21</v>
      </c>
      <c r="G549">
        <v>24</v>
      </c>
    </row>
    <row r="550" spans="1:7" x14ac:dyDescent="0.3">
      <c r="A550">
        <v>549</v>
      </c>
      <c r="B550">
        <v>0.13639999999999999</v>
      </c>
      <c r="C550">
        <v>0.69</v>
      </c>
      <c r="D550">
        <v>0.28360000000000002</v>
      </c>
      <c r="E550">
        <v>3</v>
      </c>
      <c r="F550">
        <v>6</v>
      </c>
      <c r="G550">
        <v>9</v>
      </c>
    </row>
    <row r="551" spans="1:7" x14ac:dyDescent="0.3">
      <c r="A551">
        <v>550</v>
      </c>
      <c r="B551">
        <v>0.16669999999999999</v>
      </c>
      <c r="C551">
        <v>0.69</v>
      </c>
      <c r="D551">
        <v>0.16420000000000001</v>
      </c>
      <c r="E551">
        <v>0</v>
      </c>
      <c r="F551">
        <v>5</v>
      </c>
      <c r="G551">
        <v>5</v>
      </c>
    </row>
    <row r="552" spans="1:7" x14ac:dyDescent="0.3">
      <c r="A552">
        <v>551</v>
      </c>
      <c r="B552">
        <v>0.1515</v>
      </c>
      <c r="C552">
        <v>0.69</v>
      </c>
      <c r="D552">
        <v>0.22389999999999999</v>
      </c>
      <c r="E552">
        <v>0</v>
      </c>
      <c r="F552">
        <v>2</v>
      </c>
      <c r="G552">
        <v>2</v>
      </c>
    </row>
    <row r="553" spans="1:7" x14ac:dyDescent="0.3">
      <c r="A553">
        <v>552</v>
      </c>
      <c r="B553">
        <v>0.16669999999999999</v>
      </c>
      <c r="C553">
        <v>0.74</v>
      </c>
      <c r="D553">
        <v>0.1045</v>
      </c>
      <c r="E553">
        <v>0</v>
      </c>
      <c r="F553">
        <v>1</v>
      </c>
      <c r="G553">
        <v>1</v>
      </c>
    </row>
    <row r="554" spans="1:7" x14ac:dyDescent="0.3">
      <c r="A554">
        <v>553</v>
      </c>
      <c r="B554">
        <v>0.13639999999999999</v>
      </c>
      <c r="C554">
        <v>0.74</v>
      </c>
      <c r="D554">
        <v>0.22389999999999999</v>
      </c>
      <c r="E554">
        <v>0</v>
      </c>
      <c r="F554">
        <v>9</v>
      </c>
      <c r="G554">
        <v>9</v>
      </c>
    </row>
    <row r="555" spans="1:7" x14ac:dyDescent="0.3">
      <c r="A555">
        <v>554</v>
      </c>
      <c r="B555">
        <v>0.18179999999999999</v>
      </c>
      <c r="C555">
        <v>0.74</v>
      </c>
      <c r="D555">
        <v>0.1045</v>
      </c>
      <c r="E555">
        <v>1</v>
      </c>
      <c r="F555">
        <v>35</v>
      </c>
      <c r="G555">
        <v>36</v>
      </c>
    </row>
    <row r="556" spans="1:7" x14ac:dyDescent="0.3">
      <c r="A556">
        <v>555</v>
      </c>
      <c r="B556">
        <v>0.1515</v>
      </c>
      <c r="C556">
        <v>0.74</v>
      </c>
      <c r="D556">
        <v>0.22389999999999999</v>
      </c>
      <c r="E556">
        <v>5</v>
      </c>
      <c r="F556">
        <v>103</v>
      </c>
      <c r="G556">
        <v>108</v>
      </c>
    </row>
    <row r="557" spans="1:7" x14ac:dyDescent="0.3">
      <c r="A557">
        <v>556</v>
      </c>
      <c r="B557">
        <v>0.18179999999999999</v>
      </c>
      <c r="C557">
        <v>0.74</v>
      </c>
      <c r="D557">
        <v>0.1343</v>
      </c>
      <c r="E557">
        <v>5</v>
      </c>
      <c r="F557">
        <v>233</v>
      </c>
      <c r="G557">
        <v>238</v>
      </c>
    </row>
    <row r="558" spans="1:7" x14ac:dyDescent="0.3">
      <c r="A558">
        <v>557</v>
      </c>
      <c r="B558">
        <v>0.2273</v>
      </c>
      <c r="C558">
        <v>0.64</v>
      </c>
      <c r="D558">
        <v>8.9599999999999999E-2</v>
      </c>
      <c r="E558">
        <v>10</v>
      </c>
      <c r="F558">
        <v>134</v>
      </c>
      <c r="G558">
        <v>144</v>
      </c>
    </row>
    <row r="559" spans="1:7" x14ac:dyDescent="0.3">
      <c r="A559">
        <v>558</v>
      </c>
      <c r="B559">
        <v>0.2424</v>
      </c>
      <c r="C559">
        <v>0.6</v>
      </c>
      <c r="D559">
        <v>0.1045</v>
      </c>
      <c r="E559">
        <v>6</v>
      </c>
      <c r="F559">
        <v>49</v>
      </c>
      <c r="G559">
        <v>55</v>
      </c>
    </row>
    <row r="560" spans="1:7" x14ac:dyDescent="0.3">
      <c r="A560">
        <v>559</v>
      </c>
      <c r="B560">
        <v>0.2424</v>
      </c>
      <c r="C560">
        <v>0.6</v>
      </c>
      <c r="D560">
        <v>0.1343</v>
      </c>
      <c r="E560">
        <v>6</v>
      </c>
      <c r="F560">
        <v>55</v>
      </c>
      <c r="G560">
        <v>61</v>
      </c>
    </row>
    <row r="561" spans="1:7" x14ac:dyDescent="0.3">
      <c r="A561">
        <v>560</v>
      </c>
      <c r="B561">
        <v>0.28789999999999999</v>
      </c>
      <c r="C561">
        <v>0.56000000000000005</v>
      </c>
      <c r="D561">
        <v>8.9599999999999999E-2</v>
      </c>
      <c r="E561">
        <v>21</v>
      </c>
      <c r="F561">
        <v>85</v>
      </c>
      <c r="G561">
        <v>106</v>
      </c>
    </row>
    <row r="562" spans="1:7" x14ac:dyDescent="0.3">
      <c r="A562">
        <v>561</v>
      </c>
      <c r="B562">
        <v>0.2727</v>
      </c>
      <c r="C562">
        <v>0.56000000000000005</v>
      </c>
      <c r="D562">
        <v>0.1343</v>
      </c>
      <c r="E562">
        <v>21</v>
      </c>
      <c r="F562">
        <v>72</v>
      </c>
      <c r="G562">
        <v>93</v>
      </c>
    </row>
    <row r="563" spans="1:7" x14ac:dyDescent="0.3">
      <c r="A563">
        <v>562</v>
      </c>
      <c r="B563">
        <v>0.33329999999999999</v>
      </c>
      <c r="C563">
        <v>0.45</v>
      </c>
      <c r="D563">
        <v>0</v>
      </c>
      <c r="E563">
        <v>11</v>
      </c>
      <c r="F563">
        <v>57</v>
      </c>
      <c r="G563">
        <v>68</v>
      </c>
    </row>
    <row r="564" spans="1:7" x14ac:dyDescent="0.3">
      <c r="A564">
        <v>563</v>
      </c>
      <c r="B564">
        <v>0.34849999999999998</v>
      </c>
      <c r="C564">
        <v>0.42</v>
      </c>
      <c r="D564">
        <v>0</v>
      </c>
      <c r="E564">
        <v>21</v>
      </c>
      <c r="F564">
        <v>63</v>
      </c>
      <c r="G564">
        <v>84</v>
      </c>
    </row>
    <row r="565" spans="1:7" x14ac:dyDescent="0.3">
      <c r="A565">
        <v>564</v>
      </c>
      <c r="B565">
        <v>0.34849999999999998</v>
      </c>
      <c r="C565">
        <v>0.42</v>
      </c>
      <c r="D565">
        <v>0</v>
      </c>
      <c r="E565">
        <v>14</v>
      </c>
      <c r="F565">
        <v>102</v>
      </c>
      <c r="G565">
        <v>116</v>
      </c>
    </row>
    <row r="566" spans="1:7" x14ac:dyDescent="0.3">
      <c r="A566">
        <v>565</v>
      </c>
      <c r="B566">
        <v>0.33329999999999999</v>
      </c>
      <c r="C566">
        <v>0.45</v>
      </c>
      <c r="D566">
        <v>0</v>
      </c>
      <c r="E566">
        <v>14</v>
      </c>
      <c r="F566">
        <v>208</v>
      </c>
      <c r="G566">
        <v>222</v>
      </c>
    </row>
    <row r="567" spans="1:7" x14ac:dyDescent="0.3">
      <c r="A567">
        <v>566</v>
      </c>
      <c r="B567">
        <v>0.31819999999999998</v>
      </c>
      <c r="C567">
        <v>0.49</v>
      </c>
      <c r="D567">
        <v>8.9599999999999999E-2</v>
      </c>
      <c r="E567">
        <v>7</v>
      </c>
      <c r="F567">
        <v>218</v>
      </c>
      <c r="G567">
        <v>225</v>
      </c>
    </row>
    <row r="568" spans="1:7" x14ac:dyDescent="0.3">
      <c r="A568">
        <v>567</v>
      </c>
      <c r="B568">
        <v>0.2576</v>
      </c>
      <c r="C568">
        <v>0.65</v>
      </c>
      <c r="D568">
        <v>0.16420000000000001</v>
      </c>
      <c r="E568">
        <v>13</v>
      </c>
      <c r="F568">
        <v>133</v>
      </c>
      <c r="G568">
        <v>146</v>
      </c>
    </row>
    <row r="569" spans="1:7" x14ac:dyDescent="0.3">
      <c r="A569">
        <v>568</v>
      </c>
      <c r="B569">
        <v>0.2273</v>
      </c>
      <c r="C569">
        <v>0.65</v>
      </c>
      <c r="D569">
        <v>0.19400000000000001</v>
      </c>
      <c r="E569">
        <v>16</v>
      </c>
      <c r="F569">
        <v>103</v>
      </c>
      <c r="G569">
        <v>119</v>
      </c>
    </row>
    <row r="570" spans="1:7" x14ac:dyDescent="0.3">
      <c r="A570">
        <v>569</v>
      </c>
      <c r="B570">
        <v>0.2273</v>
      </c>
      <c r="C570">
        <v>0.65</v>
      </c>
      <c r="D570">
        <v>0.19400000000000001</v>
      </c>
      <c r="E570">
        <v>5</v>
      </c>
      <c r="F570">
        <v>40</v>
      </c>
      <c r="G570">
        <v>45</v>
      </c>
    </row>
    <row r="571" spans="1:7" x14ac:dyDescent="0.3">
      <c r="A571">
        <v>570</v>
      </c>
      <c r="B571">
        <v>0.2273</v>
      </c>
      <c r="C571">
        <v>0.64</v>
      </c>
      <c r="D571">
        <v>0.16420000000000001</v>
      </c>
      <c r="E571">
        <v>4</v>
      </c>
      <c r="F571">
        <v>49</v>
      </c>
      <c r="G571">
        <v>53</v>
      </c>
    </row>
    <row r="572" spans="1:7" x14ac:dyDescent="0.3">
      <c r="A572">
        <v>571</v>
      </c>
      <c r="B572">
        <v>0.2273</v>
      </c>
      <c r="C572">
        <v>0.64</v>
      </c>
      <c r="D572">
        <v>0.16420000000000001</v>
      </c>
      <c r="E572">
        <v>3</v>
      </c>
      <c r="F572">
        <v>37</v>
      </c>
      <c r="G572">
        <v>40</v>
      </c>
    </row>
    <row r="573" spans="1:7" x14ac:dyDescent="0.3">
      <c r="A573">
        <v>572</v>
      </c>
      <c r="B573">
        <v>0.2273</v>
      </c>
      <c r="C573">
        <v>0.69</v>
      </c>
      <c r="D573">
        <v>0.1343</v>
      </c>
      <c r="E573">
        <v>3</v>
      </c>
      <c r="F573">
        <v>14</v>
      </c>
      <c r="G573">
        <v>17</v>
      </c>
    </row>
    <row r="574" spans="1:7" x14ac:dyDescent="0.3">
      <c r="A574">
        <v>573</v>
      </c>
      <c r="B574">
        <v>0.2424</v>
      </c>
      <c r="C574">
        <v>0.65</v>
      </c>
      <c r="D574">
        <v>0.1343</v>
      </c>
      <c r="E574">
        <v>0</v>
      </c>
      <c r="F574">
        <v>5</v>
      </c>
      <c r="G574">
        <v>5</v>
      </c>
    </row>
    <row r="575" spans="1:7" x14ac:dyDescent="0.3">
      <c r="A575">
        <v>574</v>
      </c>
      <c r="B575">
        <v>0.2273</v>
      </c>
      <c r="C575">
        <v>0.69</v>
      </c>
      <c r="D575">
        <v>0.19400000000000001</v>
      </c>
      <c r="E575">
        <v>3</v>
      </c>
      <c r="F575">
        <v>7</v>
      </c>
      <c r="G575">
        <v>10</v>
      </c>
    </row>
    <row r="576" spans="1:7" x14ac:dyDescent="0.3">
      <c r="A576">
        <v>575</v>
      </c>
      <c r="B576">
        <v>0.18179999999999999</v>
      </c>
      <c r="C576">
        <v>0.86</v>
      </c>
      <c r="D576">
        <v>0.28360000000000002</v>
      </c>
      <c r="E576">
        <v>0</v>
      </c>
      <c r="F576">
        <v>1</v>
      </c>
      <c r="G576">
        <v>1</v>
      </c>
    </row>
    <row r="577" spans="1:7" x14ac:dyDescent="0.3">
      <c r="A577">
        <v>576</v>
      </c>
      <c r="B577">
        <v>0.18179999999999999</v>
      </c>
      <c r="C577">
        <v>0.86</v>
      </c>
      <c r="D577">
        <v>0.28360000000000002</v>
      </c>
      <c r="E577">
        <v>0</v>
      </c>
      <c r="F577">
        <v>8</v>
      </c>
      <c r="G577">
        <v>8</v>
      </c>
    </row>
    <row r="578" spans="1:7" x14ac:dyDescent="0.3">
      <c r="A578">
        <v>577</v>
      </c>
      <c r="B578">
        <v>0.21210000000000001</v>
      </c>
      <c r="C578">
        <v>0.87</v>
      </c>
      <c r="D578">
        <v>0.29849999999999999</v>
      </c>
      <c r="E578">
        <v>1</v>
      </c>
      <c r="F578">
        <v>29</v>
      </c>
      <c r="G578">
        <v>30</v>
      </c>
    </row>
    <row r="579" spans="1:7" x14ac:dyDescent="0.3">
      <c r="A579">
        <v>578</v>
      </c>
      <c r="B579">
        <v>0.21210000000000001</v>
      </c>
      <c r="C579">
        <v>0.87</v>
      </c>
      <c r="D579">
        <v>0.29849999999999999</v>
      </c>
      <c r="E579">
        <v>3</v>
      </c>
      <c r="F579">
        <v>69</v>
      </c>
      <c r="G579">
        <v>72</v>
      </c>
    </row>
    <row r="580" spans="1:7" x14ac:dyDescent="0.3">
      <c r="A580">
        <v>579</v>
      </c>
      <c r="B580">
        <v>0.21210000000000001</v>
      </c>
      <c r="C580">
        <v>0.87</v>
      </c>
      <c r="D580">
        <v>0.29849999999999999</v>
      </c>
      <c r="E580">
        <v>3</v>
      </c>
      <c r="F580">
        <v>55</v>
      </c>
      <c r="G580">
        <v>58</v>
      </c>
    </row>
    <row r="581" spans="1:7" x14ac:dyDescent="0.3">
      <c r="A581">
        <v>580</v>
      </c>
      <c r="B581">
        <v>0.21210000000000001</v>
      </c>
      <c r="C581">
        <v>0.93</v>
      </c>
      <c r="D581">
        <v>0.28360000000000002</v>
      </c>
      <c r="E581">
        <v>2</v>
      </c>
      <c r="F581">
        <v>26</v>
      </c>
      <c r="G581">
        <v>28</v>
      </c>
    </row>
    <row r="582" spans="1:7" x14ac:dyDescent="0.3">
      <c r="A582">
        <v>581</v>
      </c>
      <c r="B582">
        <v>0.19700000000000001</v>
      </c>
      <c r="C582">
        <v>0.93</v>
      </c>
      <c r="D582">
        <v>0.32840000000000003</v>
      </c>
      <c r="E582">
        <v>6</v>
      </c>
      <c r="F582">
        <v>35</v>
      </c>
      <c r="G582">
        <v>41</v>
      </c>
    </row>
    <row r="583" spans="1:7" x14ac:dyDescent="0.3">
      <c r="A583">
        <v>582</v>
      </c>
      <c r="B583">
        <v>0.19700000000000001</v>
      </c>
      <c r="C583">
        <v>0.93</v>
      </c>
      <c r="D583">
        <v>0.32840000000000003</v>
      </c>
      <c r="E583">
        <v>7</v>
      </c>
      <c r="F583">
        <v>41</v>
      </c>
      <c r="G583">
        <v>48</v>
      </c>
    </row>
    <row r="584" spans="1:7" x14ac:dyDescent="0.3">
      <c r="A584">
        <v>583</v>
      </c>
      <c r="B584">
        <v>0.19700000000000001</v>
      </c>
      <c r="C584">
        <v>0.93</v>
      </c>
      <c r="D584">
        <v>0.32840000000000003</v>
      </c>
      <c r="E584">
        <v>4</v>
      </c>
      <c r="F584">
        <v>43</v>
      </c>
      <c r="G584">
        <v>47</v>
      </c>
    </row>
    <row r="585" spans="1:7" x14ac:dyDescent="0.3">
      <c r="A585">
        <v>584</v>
      </c>
      <c r="B585">
        <v>0.19700000000000001</v>
      </c>
      <c r="C585">
        <v>0.93</v>
      </c>
      <c r="D585">
        <v>0.35820000000000002</v>
      </c>
      <c r="E585">
        <v>0</v>
      </c>
      <c r="F585">
        <v>36</v>
      </c>
      <c r="G585">
        <v>36</v>
      </c>
    </row>
    <row r="586" spans="1:7" x14ac:dyDescent="0.3">
      <c r="A586">
        <v>585</v>
      </c>
      <c r="B586">
        <v>0.18179999999999999</v>
      </c>
      <c r="C586">
        <v>0.93</v>
      </c>
      <c r="D586">
        <v>0.4627</v>
      </c>
      <c r="E586">
        <v>1</v>
      </c>
      <c r="F586">
        <v>42</v>
      </c>
      <c r="G586">
        <v>43</v>
      </c>
    </row>
    <row r="587" spans="1:7" x14ac:dyDescent="0.3">
      <c r="A587">
        <v>586</v>
      </c>
      <c r="B587">
        <v>0.19700000000000001</v>
      </c>
      <c r="C587">
        <v>0.93</v>
      </c>
      <c r="D587">
        <v>0.32840000000000003</v>
      </c>
      <c r="E587">
        <v>1</v>
      </c>
      <c r="F587">
        <v>35</v>
      </c>
      <c r="G587">
        <v>36</v>
      </c>
    </row>
    <row r="588" spans="1:7" x14ac:dyDescent="0.3">
      <c r="A588">
        <v>587</v>
      </c>
      <c r="B588">
        <v>0.18179999999999999</v>
      </c>
      <c r="C588">
        <v>0.93</v>
      </c>
      <c r="D588">
        <v>0.35820000000000002</v>
      </c>
      <c r="E588">
        <v>0</v>
      </c>
      <c r="F588">
        <v>26</v>
      </c>
      <c r="G588">
        <v>26</v>
      </c>
    </row>
    <row r="589" spans="1:7" x14ac:dyDescent="0.3">
      <c r="A589">
        <v>588</v>
      </c>
      <c r="B589">
        <v>0.2273</v>
      </c>
      <c r="C589">
        <v>0.55000000000000004</v>
      </c>
      <c r="D589">
        <v>0.19400000000000001</v>
      </c>
      <c r="E589">
        <v>1</v>
      </c>
      <c r="F589">
        <v>23</v>
      </c>
      <c r="G589">
        <v>24</v>
      </c>
    </row>
    <row r="590" spans="1:7" x14ac:dyDescent="0.3">
      <c r="A590">
        <v>589</v>
      </c>
      <c r="B590">
        <v>0.2424</v>
      </c>
      <c r="C590">
        <v>0.55000000000000004</v>
      </c>
      <c r="D590">
        <v>0.1045</v>
      </c>
      <c r="E590">
        <v>2</v>
      </c>
      <c r="F590">
        <v>82</v>
      </c>
      <c r="G590">
        <v>84</v>
      </c>
    </row>
    <row r="591" spans="1:7" x14ac:dyDescent="0.3">
      <c r="A591">
        <v>590</v>
      </c>
      <c r="B591">
        <v>0.2273</v>
      </c>
      <c r="C591">
        <v>0.69</v>
      </c>
      <c r="D591">
        <v>8.9599999999999999E-2</v>
      </c>
      <c r="E591">
        <v>3</v>
      </c>
      <c r="F591">
        <v>101</v>
      </c>
      <c r="G591">
        <v>104</v>
      </c>
    </row>
    <row r="592" spans="1:7" x14ac:dyDescent="0.3">
      <c r="A592">
        <v>591</v>
      </c>
      <c r="B592">
        <v>0.2273</v>
      </c>
      <c r="C592">
        <v>0.69</v>
      </c>
      <c r="D592">
        <v>8.9599999999999999E-2</v>
      </c>
      <c r="E592">
        <v>3</v>
      </c>
      <c r="F592">
        <v>76</v>
      </c>
      <c r="G592">
        <v>79</v>
      </c>
    </row>
    <row r="593" spans="1:7" x14ac:dyDescent="0.3">
      <c r="A593">
        <v>592</v>
      </c>
      <c r="B593">
        <v>0.21210000000000001</v>
      </c>
      <c r="C593">
        <v>0.74</v>
      </c>
      <c r="D593">
        <v>8.9599999999999999E-2</v>
      </c>
      <c r="E593">
        <v>4</v>
      </c>
      <c r="F593">
        <v>55</v>
      </c>
      <c r="G593">
        <v>59</v>
      </c>
    </row>
    <row r="594" spans="1:7" x14ac:dyDescent="0.3">
      <c r="A594">
        <v>593</v>
      </c>
      <c r="B594">
        <v>0.21210000000000001</v>
      </c>
      <c r="C594">
        <v>0.74</v>
      </c>
      <c r="D594">
        <v>8.9599999999999999E-2</v>
      </c>
      <c r="E594">
        <v>2</v>
      </c>
      <c r="F594">
        <v>36</v>
      </c>
      <c r="G594">
        <v>38</v>
      </c>
    </row>
    <row r="595" spans="1:7" x14ac:dyDescent="0.3">
      <c r="A595">
        <v>594</v>
      </c>
      <c r="B595">
        <v>0.21210000000000001</v>
      </c>
      <c r="C595">
        <v>0.74</v>
      </c>
      <c r="D595">
        <v>8.9599999999999999E-2</v>
      </c>
      <c r="E595">
        <v>0</v>
      </c>
      <c r="F595">
        <v>27</v>
      </c>
      <c r="G595">
        <v>27</v>
      </c>
    </row>
    <row r="596" spans="1:7" x14ac:dyDescent="0.3">
      <c r="A596">
        <v>595</v>
      </c>
      <c r="B596">
        <v>0.19700000000000001</v>
      </c>
      <c r="C596">
        <v>0.8</v>
      </c>
      <c r="D596">
        <v>0.16420000000000001</v>
      </c>
      <c r="E596">
        <v>0</v>
      </c>
      <c r="F596">
        <v>16</v>
      </c>
      <c r="G596">
        <v>16</v>
      </c>
    </row>
    <row r="597" spans="1:7" x14ac:dyDescent="0.3">
      <c r="A597">
        <v>596</v>
      </c>
      <c r="B597">
        <v>0.21210000000000001</v>
      </c>
      <c r="C597">
        <v>0.75</v>
      </c>
      <c r="D597">
        <v>0.1343</v>
      </c>
      <c r="E597">
        <v>0</v>
      </c>
      <c r="F597">
        <v>9</v>
      </c>
      <c r="G597">
        <v>9</v>
      </c>
    </row>
    <row r="598" spans="1:7" x14ac:dyDescent="0.3">
      <c r="A598">
        <v>597</v>
      </c>
      <c r="B598">
        <v>0.21210000000000001</v>
      </c>
      <c r="C598">
        <v>0.75</v>
      </c>
      <c r="D598">
        <v>0.1343</v>
      </c>
      <c r="E598">
        <v>1</v>
      </c>
      <c r="F598">
        <v>2</v>
      </c>
      <c r="G598">
        <v>3</v>
      </c>
    </row>
    <row r="599" spans="1:7" x14ac:dyDescent="0.3">
      <c r="A599">
        <v>598</v>
      </c>
      <c r="B599">
        <v>0.21210000000000001</v>
      </c>
      <c r="C599">
        <v>0.75</v>
      </c>
      <c r="D599">
        <v>0.16420000000000001</v>
      </c>
      <c r="E599">
        <v>0</v>
      </c>
      <c r="F599">
        <v>2</v>
      </c>
      <c r="G599">
        <v>2</v>
      </c>
    </row>
    <row r="600" spans="1:7" x14ac:dyDescent="0.3">
      <c r="A600">
        <v>599</v>
      </c>
      <c r="B600">
        <v>0.2273</v>
      </c>
      <c r="C600">
        <v>0.75</v>
      </c>
      <c r="D600">
        <v>0.1045</v>
      </c>
      <c r="E600">
        <v>1</v>
      </c>
      <c r="F600">
        <v>0</v>
      </c>
      <c r="G600">
        <v>1</v>
      </c>
    </row>
    <row r="601" spans="1:7" x14ac:dyDescent="0.3">
      <c r="A601">
        <v>600</v>
      </c>
      <c r="B601">
        <v>0.21210000000000001</v>
      </c>
      <c r="C601">
        <v>0.8</v>
      </c>
      <c r="D601">
        <v>0.1045</v>
      </c>
      <c r="E601">
        <v>0</v>
      </c>
      <c r="F601">
        <v>4</v>
      </c>
      <c r="G601">
        <v>4</v>
      </c>
    </row>
    <row r="602" spans="1:7" x14ac:dyDescent="0.3">
      <c r="A602">
        <v>601</v>
      </c>
      <c r="B602">
        <v>0.19700000000000001</v>
      </c>
      <c r="C602">
        <v>0.8</v>
      </c>
      <c r="D602">
        <v>0.1343</v>
      </c>
      <c r="E602">
        <v>0</v>
      </c>
      <c r="F602">
        <v>16</v>
      </c>
      <c r="G602">
        <v>16</v>
      </c>
    </row>
    <row r="603" spans="1:7" x14ac:dyDescent="0.3">
      <c r="A603">
        <v>602</v>
      </c>
      <c r="B603">
        <v>0.19700000000000001</v>
      </c>
      <c r="C603">
        <v>0.86</v>
      </c>
      <c r="D603">
        <v>8.9599999999999999E-2</v>
      </c>
      <c r="E603">
        <v>2</v>
      </c>
      <c r="F603">
        <v>58</v>
      </c>
      <c r="G603">
        <v>60</v>
      </c>
    </row>
    <row r="604" spans="1:7" x14ac:dyDescent="0.3">
      <c r="A604">
        <v>603</v>
      </c>
      <c r="B604">
        <v>0.19700000000000001</v>
      </c>
      <c r="C604">
        <v>0.86</v>
      </c>
      <c r="D604">
        <v>8.9599999999999999E-2</v>
      </c>
      <c r="E604">
        <v>2</v>
      </c>
      <c r="F604">
        <v>155</v>
      </c>
      <c r="G604">
        <v>157</v>
      </c>
    </row>
    <row r="605" spans="1:7" x14ac:dyDescent="0.3">
      <c r="A605">
        <v>604</v>
      </c>
      <c r="B605">
        <v>0.21210000000000001</v>
      </c>
      <c r="C605">
        <v>0.86</v>
      </c>
      <c r="D605">
        <v>8.9599999999999999E-2</v>
      </c>
      <c r="E605">
        <v>6</v>
      </c>
      <c r="F605">
        <v>95</v>
      </c>
      <c r="G605">
        <v>101</v>
      </c>
    </row>
    <row r="606" spans="1:7" x14ac:dyDescent="0.3">
      <c r="A606">
        <v>605</v>
      </c>
      <c r="B606">
        <v>0.21210000000000001</v>
      </c>
      <c r="C606">
        <v>0.86</v>
      </c>
      <c r="D606">
        <v>0.1045</v>
      </c>
      <c r="E606">
        <v>0</v>
      </c>
      <c r="F606">
        <v>49</v>
      </c>
      <c r="G606">
        <v>49</v>
      </c>
    </row>
    <row r="607" spans="1:7" x14ac:dyDescent="0.3">
      <c r="A607">
        <v>606</v>
      </c>
      <c r="B607">
        <v>0.21210000000000001</v>
      </c>
      <c r="C607">
        <v>0.93</v>
      </c>
      <c r="D607">
        <v>0.1045</v>
      </c>
      <c r="E607">
        <v>0</v>
      </c>
      <c r="F607">
        <v>30</v>
      </c>
      <c r="G607">
        <v>30</v>
      </c>
    </row>
    <row r="608" spans="1:7" x14ac:dyDescent="0.3">
      <c r="A608">
        <v>607</v>
      </c>
      <c r="B608">
        <v>0.21210000000000001</v>
      </c>
      <c r="C608">
        <v>0.93</v>
      </c>
      <c r="D608">
        <v>0.1045</v>
      </c>
      <c r="E608">
        <v>1</v>
      </c>
      <c r="F608">
        <v>28</v>
      </c>
      <c r="G608">
        <v>29</v>
      </c>
    </row>
    <row r="609" spans="1:7" x14ac:dyDescent="0.3">
      <c r="A609">
        <v>608</v>
      </c>
      <c r="B609">
        <v>0.21210000000000001</v>
      </c>
      <c r="C609">
        <v>0.93</v>
      </c>
      <c r="D609">
        <v>0.1045</v>
      </c>
      <c r="E609">
        <v>0</v>
      </c>
      <c r="F609">
        <v>31</v>
      </c>
      <c r="G609">
        <v>31</v>
      </c>
    </row>
    <row r="610" spans="1:7" x14ac:dyDescent="0.3">
      <c r="A610">
        <v>609</v>
      </c>
      <c r="B610">
        <v>0.2727</v>
      </c>
      <c r="C610">
        <v>0.8</v>
      </c>
      <c r="D610">
        <v>0</v>
      </c>
      <c r="E610">
        <v>2</v>
      </c>
      <c r="F610">
        <v>36</v>
      </c>
      <c r="G610">
        <v>38</v>
      </c>
    </row>
    <row r="611" spans="1:7" x14ac:dyDescent="0.3">
      <c r="A611">
        <v>610</v>
      </c>
      <c r="B611">
        <v>0.2576</v>
      </c>
      <c r="C611">
        <v>0.86</v>
      </c>
      <c r="D611">
        <v>0</v>
      </c>
      <c r="E611">
        <v>1</v>
      </c>
      <c r="F611">
        <v>40</v>
      </c>
      <c r="G611">
        <v>41</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9C97C-EE6D-4322-8B49-CC1BBB90C56B}">
  <sheetPr>
    <tabColor theme="7" tint="0.39997558519241921"/>
  </sheetPr>
  <dimension ref="A1:N611"/>
  <sheetViews>
    <sheetView workbookViewId="0">
      <selection activeCell="C15" sqref="C15"/>
    </sheetView>
  </sheetViews>
  <sheetFormatPr defaultRowHeight="14.4" x14ac:dyDescent="0.3"/>
  <cols>
    <col min="1" max="1" width="15.88671875" customWidth="1"/>
    <col min="2" max="2" width="16.21875" customWidth="1"/>
    <col min="3" max="3" width="15.21875" customWidth="1"/>
    <col min="4" max="4" width="14.88671875" customWidth="1"/>
    <col min="5" max="5" width="16.44140625" customWidth="1"/>
    <col min="6" max="6" width="16.77734375" customWidth="1"/>
    <col min="7" max="7" width="27.88671875" customWidth="1"/>
    <col min="8" max="8" width="21.88671875" customWidth="1"/>
    <col min="9" max="9" width="28.33203125" customWidth="1"/>
    <col min="10" max="10" width="17" customWidth="1"/>
    <col min="11" max="11" width="18.88671875" customWidth="1"/>
    <col min="12" max="12" width="16.21875" customWidth="1"/>
    <col min="13" max="13" width="19" customWidth="1"/>
    <col min="14" max="14" width="27.44140625" customWidth="1"/>
  </cols>
  <sheetData>
    <row r="1" spans="1:14" x14ac:dyDescent="0.3">
      <c r="A1" t="s">
        <v>0</v>
      </c>
      <c r="B1" t="s">
        <v>1</v>
      </c>
      <c r="C1" t="s">
        <v>7</v>
      </c>
      <c r="D1" t="s">
        <v>2</v>
      </c>
      <c r="E1" t="s">
        <v>3</v>
      </c>
      <c r="F1" t="s">
        <v>4</v>
      </c>
      <c r="G1" t="s">
        <v>5</v>
      </c>
      <c r="H1" t="s">
        <v>6</v>
      </c>
      <c r="I1" t="s">
        <v>22</v>
      </c>
      <c r="J1" t="s">
        <v>23</v>
      </c>
      <c r="K1" t="s">
        <v>24</v>
      </c>
      <c r="L1" t="s">
        <v>25</v>
      </c>
      <c r="M1" t="s">
        <v>26</v>
      </c>
      <c r="N1" t="s">
        <v>27</v>
      </c>
    </row>
    <row r="2" spans="1:14" x14ac:dyDescent="0.3">
      <c r="A2">
        <v>1</v>
      </c>
      <c r="B2">
        <v>40544</v>
      </c>
      <c r="C2">
        <v>0</v>
      </c>
      <c r="D2" t="s">
        <v>8</v>
      </c>
      <c r="E2" t="s">
        <v>9</v>
      </c>
      <c r="F2" t="s">
        <v>11</v>
      </c>
      <c r="G2" t="s">
        <v>18</v>
      </c>
      <c r="H2">
        <v>0.24</v>
      </c>
      <c r="I2">
        <v>0.28789999999999999</v>
      </c>
      <c r="J2">
        <v>0.81</v>
      </c>
      <c r="K2">
        <v>0</v>
      </c>
      <c r="L2">
        <v>3</v>
      </c>
      <c r="M2">
        <v>13</v>
      </c>
      <c r="N2">
        <v>16</v>
      </c>
    </row>
    <row r="3" spans="1:14" x14ac:dyDescent="0.3">
      <c r="A3">
        <v>2</v>
      </c>
      <c r="B3">
        <v>40544</v>
      </c>
      <c r="C3">
        <v>4.1666666666666741E-2</v>
      </c>
      <c r="D3" t="s">
        <v>8</v>
      </c>
      <c r="E3" t="s">
        <v>9</v>
      </c>
      <c r="F3" t="s">
        <v>11</v>
      </c>
      <c r="G3" t="s">
        <v>18</v>
      </c>
      <c r="H3">
        <v>0.22</v>
      </c>
      <c r="I3">
        <v>0.2727</v>
      </c>
      <c r="J3">
        <v>0.8</v>
      </c>
      <c r="K3">
        <v>0</v>
      </c>
      <c r="L3">
        <v>8</v>
      </c>
      <c r="M3">
        <v>32</v>
      </c>
      <c r="N3">
        <v>40</v>
      </c>
    </row>
    <row r="4" spans="1:14" x14ac:dyDescent="0.3">
      <c r="A4">
        <v>3</v>
      </c>
      <c r="B4">
        <v>40544</v>
      </c>
      <c r="C4">
        <v>8.3333333333333259E-2</v>
      </c>
      <c r="D4" t="s">
        <v>8</v>
      </c>
      <c r="E4" t="s">
        <v>9</v>
      </c>
      <c r="F4" t="s">
        <v>11</v>
      </c>
      <c r="G4" t="s">
        <v>18</v>
      </c>
      <c r="H4">
        <v>0.22</v>
      </c>
      <c r="I4">
        <v>0.2727</v>
      </c>
      <c r="J4">
        <v>0.8</v>
      </c>
      <c r="K4">
        <v>0</v>
      </c>
      <c r="L4">
        <v>5</v>
      </c>
      <c r="M4">
        <v>27</v>
      </c>
      <c r="N4">
        <v>32</v>
      </c>
    </row>
    <row r="5" spans="1:14" x14ac:dyDescent="0.3">
      <c r="A5">
        <v>4</v>
      </c>
      <c r="B5">
        <v>40544</v>
      </c>
      <c r="C5">
        <v>0.125</v>
      </c>
      <c r="D5" t="s">
        <v>8</v>
      </c>
      <c r="E5" t="s">
        <v>9</v>
      </c>
      <c r="F5" t="s">
        <v>11</v>
      </c>
      <c r="G5" t="s">
        <v>18</v>
      </c>
      <c r="H5">
        <v>0.24</v>
      </c>
      <c r="I5">
        <v>0.28789999999999999</v>
      </c>
      <c r="J5">
        <v>0.75</v>
      </c>
      <c r="K5">
        <v>0</v>
      </c>
      <c r="L5">
        <v>3</v>
      </c>
      <c r="M5">
        <v>10</v>
      </c>
      <c r="N5">
        <v>13</v>
      </c>
    </row>
    <row r="6" spans="1:14" x14ac:dyDescent="0.3">
      <c r="A6">
        <v>5</v>
      </c>
      <c r="B6">
        <v>40544</v>
      </c>
      <c r="C6">
        <v>0.16666666666666674</v>
      </c>
      <c r="D6" t="s">
        <v>8</v>
      </c>
      <c r="E6" t="s">
        <v>9</v>
      </c>
      <c r="F6" t="s">
        <v>11</v>
      </c>
      <c r="G6" t="s">
        <v>18</v>
      </c>
      <c r="H6">
        <v>0.24</v>
      </c>
      <c r="I6">
        <v>0.28789999999999999</v>
      </c>
      <c r="J6">
        <v>0.75</v>
      </c>
      <c r="K6">
        <v>0</v>
      </c>
      <c r="L6">
        <v>0</v>
      </c>
      <c r="M6">
        <v>1</v>
      </c>
      <c r="N6">
        <v>1</v>
      </c>
    </row>
    <row r="7" spans="1:14" x14ac:dyDescent="0.3">
      <c r="A7">
        <v>6</v>
      </c>
      <c r="B7">
        <v>40544</v>
      </c>
      <c r="C7">
        <v>0.20833333333333326</v>
      </c>
      <c r="D7" t="s">
        <v>8</v>
      </c>
      <c r="E7" t="s">
        <v>9</v>
      </c>
      <c r="F7" t="s">
        <v>11</v>
      </c>
      <c r="G7" t="s">
        <v>19</v>
      </c>
      <c r="H7">
        <v>0.24</v>
      </c>
      <c r="I7">
        <v>0.2576</v>
      </c>
      <c r="J7">
        <v>0.75</v>
      </c>
      <c r="K7">
        <v>8.9599999999999999E-2</v>
      </c>
      <c r="L7">
        <v>0</v>
      </c>
      <c r="M7">
        <v>1</v>
      </c>
      <c r="N7">
        <v>1</v>
      </c>
    </row>
    <row r="8" spans="1:14" x14ac:dyDescent="0.3">
      <c r="A8">
        <v>7</v>
      </c>
      <c r="B8">
        <v>40544</v>
      </c>
      <c r="C8">
        <v>0.25</v>
      </c>
      <c r="D8" t="s">
        <v>8</v>
      </c>
      <c r="E8" t="s">
        <v>9</v>
      </c>
      <c r="F8" t="s">
        <v>11</v>
      </c>
      <c r="G8" t="s">
        <v>18</v>
      </c>
      <c r="H8">
        <v>0.22</v>
      </c>
      <c r="I8">
        <v>0.2727</v>
      </c>
      <c r="J8">
        <v>0.8</v>
      </c>
      <c r="K8">
        <v>0</v>
      </c>
      <c r="L8">
        <v>2</v>
      </c>
      <c r="M8">
        <v>0</v>
      </c>
      <c r="N8">
        <v>2</v>
      </c>
    </row>
    <row r="9" spans="1:14" x14ac:dyDescent="0.3">
      <c r="A9">
        <v>8</v>
      </c>
      <c r="B9">
        <v>40544</v>
      </c>
      <c r="C9">
        <v>0.29166666666666674</v>
      </c>
      <c r="D9" t="s">
        <v>8</v>
      </c>
      <c r="E9" t="s">
        <v>9</v>
      </c>
      <c r="F9" t="s">
        <v>11</v>
      </c>
      <c r="G9" t="s">
        <v>18</v>
      </c>
      <c r="H9">
        <v>0.2</v>
      </c>
      <c r="I9">
        <v>0.2576</v>
      </c>
      <c r="J9">
        <v>0.86</v>
      </c>
      <c r="K9">
        <v>0</v>
      </c>
      <c r="L9">
        <v>1</v>
      </c>
      <c r="M9">
        <v>2</v>
      </c>
      <c r="N9">
        <v>3</v>
      </c>
    </row>
    <row r="10" spans="1:14" x14ac:dyDescent="0.3">
      <c r="A10">
        <v>9</v>
      </c>
      <c r="B10">
        <v>40544</v>
      </c>
      <c r="C10">
        <v>0.33333333333333326</v>
      </c>
      <c r="D10" t="s">
        <v>8</v>
      </c>
      <c r="E10" t="s">
        <v>9</v>
      </c>
      <c r="F10" t="s">
        <v>11</v>
      </c>
      <c r="G10" t="s">
        <v>18</v>
      </c>
      <c r="H10">
        <v>0.24</v>
      </c>
      <c r="I10">
        <v>0.29047656249999987</v>
      </c>
      <c r="J10">
        <v>0.75</v>
      </c>
      <c r="K10">
        <v>0</v>
      </c>
      <c r="L10">
        <v>1</v>
      </c>
      <c r="M10">
        <v>7</v>
      </c>
      <c r="N10">
        <v>8</v>
      </c>
    </row>
    <row r="11" spans="1:14" x14ac:dyDescent="0.3">
      <c r="A11">
        <v>10</v>
      </c>
      <c r="B11">
        <v>40544</v>
      </c>
      <c r="C11">
        <v>0.375</v>
      </c>
      <c r="D11" t="s">
        <v>8</v>
      </c>
      <c r="E11" t="s">
        <v>9</v>
      </c>
      <c r="F11" t="s">
        <v>11</v>
      </c>
      <c r="G11" t="s">
        <v>18</v>
      </c>
      <c r="H11">
        <v>0.32</v>
      </c>
      <c r="I11">
        <v>0.34849999999999998</v>
      </c>
      <c r="J11">
        <v>0.76</v>
      </c>
      <c r="K11">
        <v>0</v>
      </c>
      <c r="L11">
        <v>8</v>
      </c>
      <c r="M11">
        <v>6</v>
      </c>
      <c r="N11">
        <v>14</v>
      </c>
    </row>
    <row r="12" spans="1:14" x14ac:dyDescent="0.3">
      <c r="A12">
        <v>11</v>
      </c>
      <c r="B12">
        <v>40544</v>
      </c>
      <c r="C12">
        <v>0.41666666666666674</v>
      </c>
      <c r="D12" t="s">
        <v>8</v>
      </c>
      <c r="E12" t="s">
        <v>9</v>
      </c>
      <c r="F12" t="s">
        <v>11</v>
      </c>
      <c r="G12" t="s">
        <v>18</v>
      </c>
      <c r="H12">
        <v>0.38</v>
      </c>
      <c r="I12">
        <v>0.39389999999999997</v>
      </c>
      <c r="J12">
        <v>0.76</v>
      </c>
      <c r="K12">
        <v>0.25369999999999998</v>
      </c>
      <c r="L12">
        <v>12</v>
      </c>
      <c r="M12">
        <v>24</v>
      </c>
      <c r="N12">
        <v>36</v>
      </c>
    </row>
    <row r="13" spans="1:14" x14ac:dyDescent="0.3">
      <c r="A13">
        <v>12</v>
      </c>
      <c r="B13">
        <v>40544</v>
      </c>
      <c r="C13">
        <v>0.45833333333333326</v>
      </c>
      <c r="D13" t="s">
        <v>8</v>
      </c>
      <c r="E13" t="s">
        <v>9</v>
      </c>
      <c r="F13" t="s">
        <v>11</v>
      </c>
      <c r="G13" t="s">
        <v>18</v>
      </c>
      <c r="H13">
        <v>0.36</v>
      </c>
      <c r="I13">
        <v>0.33329999999999999</v>
      </c>
      <c r="J13">
        <v>0.81</v>
      </c>
      <c r="K13">
        <v>0.28360000000000002</v>
      </c>
      <c r="L13">
        <v>26</v>
      </c>
      <c r="M13">
        <v>30</v>
      </c>
      <c r="N13">
        <v>56</v>
      </c>
    </row>
    <row r="14" spans="1:14" x14ac:dyDescent="0.3">
      <c r="A14">
        <v>13</v>
      </c>
      <c r="B14">
        <v>40544</v>
      </c>
      <c r="C14">
        <v>0.5</v>
      </c>
      <c r="D14" t="s">
        <v>8</v>
      </c>
      <c r="E14" t="s">
        <v>9</v>
      </c>
      <c r="F14" t="s">
        <v>11</v>
      </c>
      <c r="G14" t="s">
        <v>18</v>
      </c>
      <c r="H14">
        <v>0.42</v>
      </c>
      <c r="I14">
        <v>0.42420000000000002</v>
      </c>
      <c r="J14">
        <v>0.77</v>
      </c>
      <c r="K14">
        <v>0.28360000000000002</v>
      </c>
      <c r="L14">
        <v>29</v>
      </c>
      <c r="M14">
        <v>55</v>
      </c>
      <c r="N14">
        <v>84</v>
      </c>
    </row>
    <row r="15" spans="1:14" x14ac:dyDescent="0.3">
      <c r="A15">
        <v>14</v>
      </c>
      <c r="B15">
        <v>40544</v>
      </c>
      <c r="C15">
        <v>0.54166666666666674</v>
      </c>
      <c r="D15" t="s">
        <v>8</v>
      </c>
      <c r="E15" t="s">
        <v>9</v>
      </c>
      <c r="F15" t="s">
        <v>11</v>
      </c>
      <c r="G15" t="s">
        <v>19</v>
      </c>
      <c r="H15">
        <v>0.46</v>
      </c>
      <c r="I15">
        <v>0.45450000000000002</v>
      </c>
      <c r="J15">
        <v>0.72</v>
      </c>
      <c r="K15">
        <v>0.29849999999999999</v>
      </c>
      <c r="L15">
        <v>47</v>
      </c>
      <c r="M15">
        <v>47</v>
      </c>
      <c r="N15">
        <v>94</v>
      </c>
    </row>
    <row r="16" spans="1:14" x14ac:dyDescent="0.3">
      <c r="A16">
        <v>15</v>
      </c>
      <c r="B16">
        <v>40544</v>
      </c>
      <c r="C16">
        <v>0.58333333333333326</v>
      </c>
      <c r="D16" t="s">
        <v>8</v>
      </c>
      <c r="E16" t="s">
        <v>9</v>
      </c>
      <c r="F16" t="s">
        <v>11</v>
      </c>
      <c r="G16" t="s">
        <v>19</v>
      </c>
      <c r="H16">
        <v>0.46</v>
      </c>
      <c r="I16">
        <v>0.45450000000000002</v>
      </c>
      <c r="J16">
        <v>0.72</v>
      </c>
      <c r="K16">
        <v>0.28360000000000002</v>
      </c>
      <c r="L16">
        <v>35</v>
      </c>
      <c r="M16">
        <v>71</v>
      </c>
      <c r="N16">
        <v>106</v>
      </c>
    </row>
    <row r="17" spans="1:14" x14ac:dyDescent="0.3">
      <c r="A17">
        <v>16</v>
      </c>
      <c r="B17">
        <v>40544</v>
      </c>
      <c r="C17">
        <v>0.625</v>
      </c>
      <c r="D17" t="s">
        <v>8</v>
      </c>
      <c r="E17" t="s">
        <v>9</v>
      </c>
      <c r="F17" t="s">
        <v>11</v>
      </c>
      <c r="G17" t="s">
        <v>19</v>
      </c>
      <c r="H17">
        <v>0.44</v>
      </c>
      <c r="I17">
        <v>0.43940000000000001</v>
      </c>
      <c r="J17">
        <v>0.77</v>
      </c>
      <c r="K17">
        <v>0.29849999999999999</v>
      </c>
      <c r="L17">
        <v>40</v>
      </c>
      <c r="M17">
        <v>70</v>
      </c>
      <c r="N17">
        <v>110</v>
      </c>
    </row>
    <row r="18" spans="1:14" x14ac:dyDescent="0.3">
      <c r="A18">
        <v>17</v>
      </c>
      <c r="B18">
        <v>40544</v>
      </c>
      <c r="C18">
        <v>0.66666666666666674</v>
      </c>
      <c r="D18" t="s">
        <v>8</v>
      </c>
      <c r="E18" t="s">
        <v>9</v>
      </c>
      <c r="F18" t="s">
        <v>11</v>
      </c>
      <c r="G18" t="s">
        <v>19</v>
      </c>
      <c r="H18">
        <v>0.42</v>
      </c>
      <c r="I18">
        <v>0.42420000000000002</v>
      </c>
      <c r="J18">
        <v>0.82</v>
      </c>
      <c r="K18">
        <v>0.29849999999999999</v>
      </c>
      <c r="L18">
        <v>41</v>
      </c>
      <c r="M18">
        <v>52</v>
      </c>
      <c r="N18">
        <v>93</v>
      </c>
    </row>
    <row r="19" spans="1:14" x14ac:dyDescent="0.3">
      <c r="A19">
        <v>18</v>
      </c>
      <c r="B19">
        <v>40544</v>
      </c>
      <c r="C19">
        <v>0.70833333333333326</v>
      </c>
      <c r="D19" t="s">
        <v>8</v>
      </c>
      <c r="E19" t="s">
        <v>9</v>
      </c>
      <c r="F19" t="s">
        <v>11</v>
      </c>
      <c r="G19" t="s">
        <v>19</v>
      </c>
      <c r="H19">
        <v>0.44</v>
      </c>
      <c r="I19">
        <v>0.29047656249999987</v>
      </c>
      <c r="J19">
        <v>0.82</v>
      </c>
      <c r="K19">
        <v>0.28360000000000002</v>
      </c>
      <c r="L19">
        <v>15</v>
      </c>
      <c r="M19">
        <v>52</v>
      </c>
      <c r="N19">
        <v>67</v>
      </c>
    </row>
    <row r="20" spans="1:14" x14ac:dyDescent="0.3">
      <c r="A20">
        <v>19</v>
      </c>
      <c r="B20">
        <v>40544</v>
      </c>
      <c r="C20">
        <v>0.75</v>
      </c>
      <c r="D20" t="s">
        <v>8</v>
      </c>
      <c r="E20" t="s">
        <v>9</v>
      </c>
      <c r="F20" t="s">
        <v>11</v>
      </c>
      <c r="G20" t="s">
        <v>20</v>
      </c>
      <c r="H20">
        <v>0.42</v>
      </c>
      <c r="I20">
        <v>0.42420000000000002</v>
      </c>
      <c r="J20">
        <v>0.88</v>
      </c>
      <c r="K20">
        <v>0.25369999999999998</v>
      </c>
      <c r="L20">
        <v>9</v>
      </c>
      <c r="M20">
        <v>26</v>
      </c>
      <c r="N20">
        <v>35</v>
      </c>
    </row>
    <row r="21" spans="1:14" x14ac:dyDescent="0.3">
      <c r="A21">
        <v>20</v>
      </c>
      <c r="B21">
        <v>40544</v>
      </c>
      <c r="C21">
        <v>0.79166666666666674</v>
      </c>
      <c r="D21" t="s">
        <v>8</v>
      </c>
      <c r="E21" t="s">
        <v>9</v>
      </c>
      <c r="F21" t="s">
        <v>11</v>
      </c>
      <c r="G21" t="s">
        <v>20</v>
      </c>
      <c r="H21">
        <v>0.42</v>
      </c>
      <c r="I21">
        <v>0.42420000000000002</v>
      </c>
      <c r="J21">
        <v>0.88</v>
      </c>
      <c r="K21">
        <v>0.25369999999999998</v>
      </c>
      <c r="L21">
        <v>6</v>
      </c>
      <c r="M21">
        <v>31</v>
      </c>
      <c r="N21">
        <v>37</v>
      </c>
    </row>
    <row r="22" spans="1:14" x14ac:dyDescent="0.3">
      <c r="A22">
        <v>21</v>
      </c>
      <c r="B22">
        <v>40544</v>
      </c>
      <c r="C22">
        <v>0.83333333333333326</v>
      </c>
      <c r="D22" t="s">
        <v>8</v>
      </c>
      <c r="E22" t="s">
        <v>9</v>
      </c>
      <c r="F22" t="s">
        <v>11</v>
      </c>
      <c r="G22" t="s">
        <v>19</v>
      </c>
      <c r="H22">
        <v>0.4</v>
      </c>
      <c r="I22">
        <v>0.40910000000000002</v>
      </c>
      <c r="J22">
        <v>0.87</v>
      </c>
      <c r="K22">
        <v>0.25369999999999998</v>
      </c>
      <c r="L22">
        <v>11</v>
      </c>
      <c r="M22">
        <v>25</v>
      </c>
      <c r="N22">
        <v>36</v>
      </c>
    </row>
    <row r="23" spans="1:14" x14ac:dyDescent="0.3">
      <c r="A23">
        <v>22</v>
      </c>
      <c r="B23">
        <v>40544</v>
      </c>
      <c r="C23">
        <v>0.875</v>
      </c>
      <c r="D23" t="s">
        <v>8</v>
      </c>
      <c r="E23" t="s">
        <v>9</v>
      </c>
      <c r="F23" t="s">
        <v>11</v>
      </c>
      <c r="G23" t="s">
        <v>19</v>
      </c>
      <c r="H23">
        <v>0.4</v>
      </c>
      <c r="I23">
        <v>0.40910000000000002</v>
      </c>
      <c r="J23">
        <v>0.87</v>
      </c>
      <c r="K23">
        <v>0.19400000000000001</v>
      </c>
      <c r="L23">
        <v>3</v>
      </c>
      <c r="M23">
        <v>31</v>
      </c>
      <c r="N23">
        <v>34</v>
      </c>
    </row>
    <row r="24" spans="1:14" x14ac:dyDescent="0.3">
      <c r="A24">
        <v>23</v>
      </c>
      <c r="B24">
        <v>40544</v>
      </c>
      <c r="C24">
        <v>0.91666666666666674</v>
      </c>
      <c r="D24" t="s">
        <v>8</v>
      </c>
      <c r="E24" t="s">
        <v>9</v>
      </c>
      <c r="F24" t="s">
        <v>11</v>
      </c>
      <c r="G24" t="s">
        <v>19</v>
      </c>
      <c r="H24">
        <v>0.4</v>
      </c>
      <c r="I24">
        <v>0.40910000000000002</v>
      </c>
      <c r="J24">
        <v>0.94</v>
      </c>
      <c r="K24">
        <v>0.22389999999999999</v>
      </c>
      <c r="L24">
        <v>11</v>
      </c>
      <c r="M24">
        <v>17</v>
      </c>
      <c r="N24">
        <v>28</v>
      </c>
    </row>
    <row r="25" spans="1:14" x14ac:dyDescent="0.3">
      <c r="A25">
        <v>24</v>
      </c>
      <c r="B25">
        <v>40544</v>
      </c>
      <c r="C25">
        <v>0.95833333333333326</v>
      </c>
      <c r="D25" t="s">
        <v>8</v>
      </c>
      <c r="E25" t="s">
        <v>9</v>
      </c>
      <c r="F25" t="s">
        <v>11</v>
      </c>
      <c r="G25" t="s">
        <v>19</v>
      </c>
      <c r="H25">
        <v>0.46</v>
      </c>
      <c r="I25">
        <v>0.29047656249999987</v>
      </c>
      <c r="J25">
        <v>0.88</v>
      </c>
      <c r="K25">
        <v>0.29849999999999999</v>
      </c>
      <c r="L25">
        <v>15</v>
      </c>
      <c r="M25">
        <v>24</v>
      </c>
      <c r="N25">
        <v>39</v>
      </c>
    </row>
    <row r="26" spans="1:14" x14ac:dyDescent="0.3">
      <c r="A26">
        <v>25</v>
      </c>
      <c r="B26">
        <v>40545</v>
      </c>
      <c r="C26">
        <v>0</v>
      </c>
      <c r="D26" t="s">
        <v>8</v>
      </c>
      <c r="E26" t="s">
        <v>9</v>
      </c>
      <c r="F26" t="s">
        <v>12</v>
      </c>
      <c r="G26" t="s">
        <v>19</v>
      </c>
      <c r="H26">
        <v>0.46</v>
      </c>
      <c r="I26">
        <v>0.45450000000000002</v>
      </c>
      <c r="J26">
        <v>0.88</v>
      </c>
      <c r="K26">
        <v>0.29849999999999999</v>
      </c>
      <c r="L26">
        <v>4</v>
      </c>
      <c r="M26">
        <v>13</v>
      </c>
      <c r="N26">
        <v>17</v>
      </c>
    </row>
    <row r="27" spans="1:14" x14ac:dyDescent="0.3">
      <c r="A27">
        <v>26</v>
      </c>
      <c r="B27">
        <v>40545</v>
      </c>
      <c r="C27">
        <v>4.1666666666666741E-2</v>
      </c>
      <c r="D27" t="s">
        <v>8</v>
      </c>
      <c r="E27" t="s">
        <v>9</v>
      </c>
      <c r="F27" t="s">
        <v>12</v>
      </c>
      <c r="G27" t="s">
        <v>19</v>
      </c>
      <c r="H27">
        <v>0.44</v>
      </c>
      <c r="I27">
        <v>0.43940000000000001</v>
      </c>
      <c r="J27">
        <v>0.94</v>
      </c>
      <c r="K27">
        <v>0.25369999999999998</v>
      </c>
      <c r="L27">
        <v>1</v>
      </c>
      <c r="M27">
        <v>16</v>
      </c>
      <c r="N27">
        <v>17</v>
      </c>
    </row>
    <row r="28" spans="1:14" x14ac:dyDescent="0.3">
      <c r="A28">
        <v>27</v>
      </c>
      <c r="B28">
        <v>40545</v>
      </c>
      <c r="C28">
        <v>8.3333333333333259E-2</v>
      </c>
      <c r="D28" t="s">
        <v>8</v>
      </c>
      <c r="E28" t="s">
        <v>9</v>
      </c>
      <c r="F28" t="s">
        <v>12</v>
      </c>
      <c r="G28" t="s">
        <v>19</v>
      </c>
      <c r="H28">
        <v>0.42</v>
      </c>
      <c r="I28">
        <v>0.42420000000000002</v>
      </c>
      <c r="J28">
        <v>1</v>
      </c>
      <c r="K28">
        <v>0.28360000000000002</v>
      </c>
      <c r="L28">
        <v>1</v>
      </c>
      <c r="M28">
        <v>8</v>
      </c>
      <c r="N28">
        <v>9</v>
      </c>
    </row>
    <row r="29" spans="1:14" x14ac:dyDescent="0.3">
      <c r="A29">
        <v>28</v>
      </c>
      <c r="B29">
        <v>40545</v>
      </c>
      <c r="C29">
        <v>0.125</v>
      </c>
      <c r="D29" t="s">
        <v>8</v>
      </c>
      <c r="E29" t="s">
        <v>9</v>
      </c>
      <c r="F29" t="s">
        <v>12</v>
      </c>
      <c r="G29" t="s">
        <v>19</v>
      </c>
      <c r="H29">
        <v>0.46</v>
      </c>
      <c r="I29">
        <v>0.45450000000000002</v>
      </c>
      <c r="J29">
        <v>0.94</v>
      </c>
      <c r="K29">
        <v>0.19400000000000001</v>
      </c>
      <c r="L29">
        <v>2</v>
      </c>
      <c r="M29">
        <v>4</v>
      </c>
      <c r="N29">
        <v>6</v>
      </c>
    </row>
    <row r="30" spans="1:14" x14ac:dyDescent="0.3">
      <c r="A30">
        <v>29</v>
      </c>
      <c r="B30">
        <v>40545</v>
      </c>
      <c r="C30">
        <v>0.16666666666666674</v>
      </c>
      <c r="D30" t="s">
        <v>8</v>
      </c>
      <c r="E30" t="s">
        <v>9</v>
      </c>
      <c r="F30" t="s">
        <v>12</v>
      </c>
      <c r="G30" t="s">
        <v>19</v>
      </c>
      <c r="H30">
        <v>0.46</v>
      </c>
      <c r="I30">
        <v>0.29047656249999987</v>
      </c>
      <c r="J30">
        <v>0.94</v>
      </c>
      <c r="K30">
        <v>0.19400000000000001</v>
      </c>
      <c r="L30">
        <v>2</v>
      </c>
      <c r="M30">
        <v>1</v>
      </c>
      <c r="N30">
        <v>3</v>
      </c>
    </row>
    <row r="31" spans="1:14" x14ac:dyDescent="0.3">
      <c r="A31">
        <v>30</v>
      </c>
      <c r="B31">
        <v>40545</v>
      </c>
      <c r="C31">
        <v>0.25</v>
      </c>
      <c r="D31" t="s">
        <v>8</v>
      </c>
      <c r="E31" t="s">
        <v>9</v>
      </c>
      <c r="F31" t="s">
        <v>12</v>
      </c>
      <c r="G31" t="s">
        <v>20</v>
      </c>
      <c r="H31">
        <v>0.42</v>
      </c>
      <c r="I31">
        <v>0.42420000000000002</v>
      </c>
      <c r="J31">
        <v>0.77</v>
      </c>
      <c r="K31">
        <v>0.29849999999999999</v>
      </c>
      <c r="L31">
        <v>0</v>
      </c>
      <c r="M31">
        <v>2</v>
      </c>
      <c r="N31">
        <v>2</v>
      </c>
    </row>
    <row r="32" spans="1:14" x14ac:dyDescent="0.3">
      <c r="A32">
        <v>31</v>
      </c>
      <c r="B32">
        <v>40545</v>
      </c>
      <c r="C32">
        <v>0.29166666666666674</v>
      </c>
      <c r="D32" t="s">
        <v>8</v>
      </c>
      <c r="E32" t="s">
        <v>9</v>
      </c>
      <c r="F32" t="s">
        <v>12</v>
      </c>
      <c r="G32" t="s">
        <v>19</v>
      </c>
      <c r="H32">
        <v>0.4</v>
      </c>
      <c r="I32">
        <v>0.40910000000000002</v>
      </c>
      <c r="J32">
        <v>0.76</v>
      </c>
      <c r="K32">
        <v>0.19400000000000001</v>
      </c>
      <c r="L32">
        <v>0</v>
      </c>
      <c r="M32">
        <v>1</v>
      </c>
      <c r="N32">
        <v>1</v>
      </c>
    </row>
    <row r="33" spans="1:14" x14ac:dyDescent="0.3">
      <c r="A33">
        <v>32</v>
      </c>
      <c r="B33">
        <v>40545</v>
      </c>
      <c r="C33">
        <v>0.33333333333333326</v>
      </c>
      <c r="D33" t="s">
        <v>8</v>
      </c>
      <c r="E33" t="s">
        <v>9</v>
      </c>
      <c r="F33" t="s">
        <v>12</v>
      </c>
      <c r="G33" t="s">
        <v>20</v>
      </c>
      <c r="H33">
        <v>0.4</v>
      </c>
      <c r="I33">
        <v>0.40910000000000002</v>
      </c>
      <c r="J33">
        <v>0.71</v>
      </c>
      <c r="K33">
        <v>0.22389999999999999</v>
      </c>
      <c r="L33">
        <v>0</v>
      </c>
      <c r="M33">
        <v>8</v>
      </c>
      <c r="N33">
        <v>8</v>
      </c>
    </row>
    <row r="34" spans="1:14" x14ac:dyDescent="0.3">
      <c r="A34">
        <v>33</v>
      </c>
      <c r="B34">
        <v>40545</v>
      </c>
      <c r="C34">
        <v>0.375</v>
      </c>
      <c r="D34" t="s">
        <v>8</v>
      </c>
      <c r="E34" t="s">
        <v>9</v>
      </c>
      <c r="F34" t="s">
        <v>12</v>
      </c>
      <c r="G34" t="s">
        <v>19</v>
      </c>
      <c r="H34">
        <v>0.38</v>
      </c>
      <c r="I34">
        <v>0.29047656249999987</v>
      </c>
      <c r="J34">
        <v>0.76</v>
      </c>
      <c r="K34">
        <v>0.22389999999999999</v>
      </c>
      <c r="L34">
        <v>1</v>
      </c>
      <c r="M34">
        <v>19</v>
      </c>
      <c r="N34">
        <v>20</v>
      </c>
    </row>
    <row r="35" spans="1:14" x14ac:dyDescent="0.3">
      <c r="A35">
        <v>34</v>
      </c>
      <c r="B35">
        <v>40545</v>
      </c>
      <c r="C35">
        <v>0.41666666666666674</v>
      </c>
      <c r="D35" t="s">
        <v>8</v>
      </c>
      <c r="E35" t="s">
        <v>9</v>
      </c>
      <c r="F35" t="s">
        <v>12</v>
      </c>
      <c r="G35" t="s">
        <v>19</v>
      </c>
      <c r="H35">
        <v>0.36</v>
      </c>
      <c r="I35">
        <v>0.34849999999999998</v>
      </c>
      <c r="J35">
        <v>0.81</v>
      </c>
      <c r="K35">
        <v>0.22389999999999999</v>
      </c>
      <c r="L35">
        <v>7</v>
      </c>
      <c r="M35">
        <v>46</v>
      </c>
      <c r="N35">
        <v>53</v>
      </c>
    </row>
    <row r="36" spans="1:14" x14ac:dyDescent="0.3">
      <c r="A36">
        <v>35</v>
      </c>
      <c r="B36">
        <v>40545</v>
      </c>
      <c r="C36">
        <v>0.45833333333333326</v>
      </c>
      <c r="D36" t="s">
        <v>8</v>
      </c>
      <c r="E36" t="s">
        <v>9</v>
      </c>
      <c r="F36" t="s">
        <v>12</v>
      </c>
      <c r="G36" t="s">
        <v>19</v>
      </c>
      <c r="H36">
        <v>0.36</v>
      </c>
      <c r="I36">
        <v>0.33329999999999999</v>
      </c>
      <c r="J36">
        <v>0.71</v>
      </c>
      <c r="K36">
        <v>0.25369999999999998</v>
      </c>
      <c r="L36">
        <v>16</v>
      </c>
      <c r="M36">
        <v>54</v>
      </c>
      <c r="N36">
        <v>70</v>
      </c>
    </row>
    <row r="37" spans="1:14" x14ac:dyDescent="0.3">
      <c r="A37">
        <v>36</v>
      </c>
      <c r="B37">
        <v>40545</v>
      </c>
      <c r="C37">
        <v>0.5</v>
      </c>
      <c r="D37" t="s">
        <v>8</v>
      </c>
      <c r="E37" t="s">
        <v>9</v>
      </c>
      <c r="F37" t="s">
        <v>12</v>
      </c>
      <c r="G37" t="s">
        <v>19</v>
      </c>
      <c r="H37">
        <v>0.36</v>
      </c>
      <c r="I37">
        <v>0.33329999999999999</v>
      </c>
      <c r="J37">
        <v>0.66</v>
      </c>
      <c r="K37">
        <v>0.29849999999999999</v>
      </c>
      <c r="L37">
        <v>20</v>
      </c>
      <c r="M37">
        <v>73</v>
      </c>
      <c r="N37">
        <v>93</v>
      </c>
    </row>
    <row r="38" spans="1:14" x14ac:dyDescent="0.3">
      <c r="A38">
        <v>37</v>
      </c>
      <c r="B38">
        <v>40545</v>
      </c>
      <c r="C38">
        <v>0.54166666666666674</v>
      </c>
      <c r="D38" t="s">
        <v>8</v>
      </c>
      <c r="E38" t="s">
        <v>9</v>
      </c>
      <c r="F38" t="s">
        <v>12</v>
      </c>
      <c r="G38" t="s">
        <v>19</v>
      </c>
      <c r="H38">
        <v>0.36</v>
      </c>
      <c r="I38">
        <v>0.34849999999999998</v>
      </c>
      <c r="J38">
        <v>0.66</v>
      </c>
      <c r="K38">
        <v>0.1343</v>
      </c>
      <c r="L38">
        <v>11</v>
      </c>
      <c r="M38">
        <v>64</v>
      </c>
      <c r="N38">
        <v>75</v>
      </c>
    </row>
    <row r="39" spans="1:14" x14ac:dyDescent="0.3">
      <c r="A39">
        <v>38</v>
      </c>
      <c r="B39">
        <v>40545</v>
      </c>
      <c r="C39">
        <v>0.58333333333333326</v>
      </c>
      <c r="D39" t="s">
        <v>8</v>
      </c>
      <c r="E39" t="s">
        <v>9</v>
      </c>
      <c r="F39" t="s">
        <v>12</v>
      </c>
      <c r="G39" t="s">
        <v>20</v>
      </c>
      <c r="H39">
        <v>0.36</v>
      </c>
      <c r="I39">
        <v>0.29047656249999987</v>
      </c>
      <c r="J39">
        <v>0.76</v>
      </c>
      <c r="K39">
        <v>0.19400000000000001</v>
      </c>
      <c r="L39">
        <v>4</v>
      </c>
      <c r="M39">
        <v>55</v>
      </c>
      <c r="N39">
        <v>59</v>
      </c>
    </row>
    <row r="40" spans="1:14" x14ac:dyDescent="0.3">
      <c r="A40">
        <v>39</v>
      </c>
      <c r="B40">
        <v>40545</v>
      </c>
      <c r="C40">
        <v>0.625</v>
      </c>
      <c r="D40" t="s">
        <v>8</v>
      </c>
      <c r="E40" t="s">
        <v>9</v>
      </c>
      <c r="F40" t="s">
        <v>12</v>
      </c>
      <c r="G40" t="s">
        <v>20</v>
      </c>
      <c r="H40">
        <v>0.34</v>
      </c>
      <c r="I40">
        <v>0.33329999999999999</v>
      </c>
      <c r="J40">
        <v>0.81</v>
      </c>
      <c r="K40">
        <v>0.16420000000000001</v>
      </c>
      <c r="L40">
        <v>19</v>
      </c>
      <c r="M40">
        <v>55</v>
      </c>
      <c r="N40">
        <v>74</v>
      </c>
    </row>
    <row r="41" spans="1:14" x14ac:dyDescent="0.3">
      <c r="A41">
        <v>40</v>
      </c>
      <c r="B41">
        <v>40545</v>
      </c>
      <c r="C41">
        <v>0.66666666666666674</v>
      </c>
      <c r="D41" t="s">
        <v>8</v>
      </c>
      <c r="E41" t="s">
        <v>9</v>
      </c>
      <c r="F41" t="s">
        <v>12</v>
      </c>
      <c r="G41" t="s">
        <v>20</v>
      </c>
      <c r="H41">
        <v>0.34</v>
      </c>
      <c r="I41">
        <v>0.33329999999999999</v>
      </c>
      <c r="J41">
        <v>0.71</v>
      </c>
      <c r="K41">
        <v>0.16420000000000001</v>
      </c>
      <c r="L41">
        <v>9</v>
      </c>
      <c r="M41">
        <v>67</v>
      </c>
      <c r="N41">
        <v>76</v>
      </c>
    </row>
    <row r="42" spans="1:14" x14ac:dyDescent="0.3">
      <c r="A42">
        <v>41</v>
      </c>
      <c r="B42">
        <v>40545</v>
      </c>
      <c r="C42">
        <v>0.70833333333333326</v>
      </c>
      <c r="D42" t="s">
        <v>8</v>
      </c>
      <c r="E42" t="s">
        <v>9</v>
      </c>
      <c r="F42" t="s">
        <v>12</v>
      </c>
      <c r="G42" t="s">
        <v>18</v>
      </c>
      <c r="H42">
        <v>0.34</v>
      </c>
      <c r="I42">
        <v>0.33329999999999999</v>
      </c>
      <c r="J42">
        <v>0.56999999999999995</v>
      </c>
      <c r="K42">
        <v>0.19400000000000001</v>
      </c>
      <c r="L42">
        <v>7</v>
      </c>
      <c r="M42">
        <v>58</v>
      </c>
      <c r="N42">
        <v>65</v>
      </c>
    </row>
    <row r="43" spans="1:14" x14ac:dyDescent="0.3">
      <c r="A43">
        <v>42</v>
      </c>
      <c r="B43">
        <v>40545</v>
      </c>
      <c r="C43">
        <v>0.75</v>
      </c>
      <c r="D43" t="s">
        <v>8</v>
      </c>
      <c r="E43" t="s">
        <v>9</v>
      </c>
      <c r="F43" t="s">
        <v>12</v>
      </c>
      <c r="G43" t="s">
        <v>19</v>
      </c>
      <c r="H43">
        <v>0.36</v>
      </c>
      <c r="I43">
        <v>0.33329999999999999</v>
      </c>
      <c r="J43">
        <v>0.46</v>
      </c>
      <c r="K43">
        <v>0.32840000000000003</v>
      </c>
      <c r="L43">
        <v>10</v>
      </c>
      <c r="M43">
        <v>43</v>
      </c>
      <c r="N43">
        <v>53</v>
      </c>
    </row>
    <row r="44" spans="1:14" x14ac:dyDescent="0.3">
      <c r="A44">
        <v>43</v>
      </c>
      <c r="B44">
        <v>40545</v>
      </c>
      <c r="C44">
        <v>0.79166666666666674</v>
      </c>
      <c r="D44" t="s">
        <v>8</v>
      </c>
      <c r="E44" t="s">
        <v>9</v>
      </c>
      <c r="F44" t="s">
        <v>12</v>
      </c>
      <c r="G44" t="s">
        <v>18</v>
      </c>
      <c r="H44">
        <v>0.32</v>
      </c>
      <c r="I44">
        <v>0.28789999999999999</v>
      </c>
      <c r="J44">
        <v>0.42</v>
      </c>
      <c r="K44">
        <v>0.44779999999999998</v>
      </c>
      <c r="L44">
        <v>1</v>
      </c>
      <c r="M44">
        <v>29</v>
      </c>
      <c r="N44">
        <v>30</v>
      </c>
    </row>
    <row r="45" spans="1:14" x14ac:dyDescent="0.3">
      <c r="A45">
        <v>44</v>
      </c>
      <c r="B45">
        <v>40545</v>
      </c>
      <c r="C45">
        <v>0.83333333333333326</v>
      </c>
      <c r="D45" t="s">
        <v>8</v>
      </c>
      <c r="E45" t="s">
        <v>9</v>
      </c>
      <c r="F45" t="s">
        <v>12</v>
      </c>
      <c r="G45" t="s">
        <v>18</v>
      </c>
      <c r="H45">
        <v>0.3</v>
      </c>
      <c r="I45">
        <v>0.29047656249999987</v>
      </c>
      <c r="J45">
        <v>0.39</v>
      </c>
      <c r="K45">
        <v>0.35820000000000002</v>
      </c>
      <c r="L45">
        <v>5</v>
      </c>
      <c r="M45">
        <v>17</v>
      </c>
      <c r="N45">
        <v>22</v>
      </c>
    </row>
    <row r="46" spans="1:14" x14ac:dyDescent="0.3">
      <c r="A46">
        <v>45</v>
      </c>
      <c r="B46">
        <v>40545</v>
      </c>
      <c r="C46">
        <v>0.875</v>
      </c>
      <c r="D46" t="s">
        <v>8</v>
      </c>
      <c r="E46" t="s">
        <v>9</v>
      </c>
      <c r="F46" t="s">
        <v>12</v>
      </c>
      <c r="G46" t="s">
        <v>18</v>
      </c>
      <c r="H46">
        <v>0.26</v>
      </c>
      <c r="I46">
        <v>0.2273</v>
      </c>
      <c r="J46">
        <v>0.44</v>
      </c>
      <c r="K46">
        <v>0.32840000000000003</v>
      </c>
      <c r="L46">
        <v>11</v>
      </c>
      <c r="M46">
        <v>20</v>
      </c>
      <c r="N46">
        <v>31</v>
      </c>
    </row>
    <row r="47" spans="1:14" x14ac:dyDescent="0.3">
      <c r="A47">
        <v>46</v>
      </c>
      <c r="B47">
        <v>40545</v>
      </c>
      <c r="C47">
        <v>0.91666666666666674</v>
      </c>
      <c r="D47" t="s">
        <v>8</v>
      </c>
      <c r="E47" t="s">
        <v>9</v>
      </c>
      <c r="F47" t="s">
        <v>12</v>
      </c>
      <c r="G47" t="s">
        <v>18</v>
      </c>
      <c r="H47">
        <v>0.24</v>
      </c>
      <c r="I47">
        <v>0.21210000000000001</v>
      </c>
      <c r="J47">
        <v>0.44</v>
      </c>
      <c r="K47">
        <v>0.29849999999999999</v>
      </c>
      <c r="L47">
        <v>0</v>
      </c>
      <c r="M47">
        <v>9</v>
      </c>
      <c r="N47">
        <v>9</v>
      </c>
    </row>
    <row r="48" spans="1:14" x14ac:dyDescent="0.3">
      <c r="A48">
        <v>47</v>
      </c>
      <c r="B48">
        <v>40545</v>
      </c>
      <c r="C48">
        <v>0.95833333333333326</v>
      </c>
      <c r="D48" t="s">
        <v>8</v>
      </c>
      <c r="E48" t="s">
        <v>9</v>
      </c>
      <c r="F48" t="s">
        <v>12</v>
      </c>
      <c r="G48" t="s">
        <v>18</v>
      </c>
      <c r="H48">
        <v>0.22</v>
      </c>
      <c r="I48">
        <v>0.2273</v>
      </c>
      <c r="J48">
        <v>0.47</v>
      </c>
      <c r="K48">
        <v>0.16420000000000001</v>
      </c>
      <c r="L48">
        <v>0</v>
      </c>
      <c r="M48">
        <v>8</v>
      </c>
      <c r="N48">
        <v>8</v>
      </c>
    </row>
    <row r="49" spans="1:14" x14ac:dyDescent="0.3">
      <c r="A49">
        <v>48</v>
      </c>
      <c r="B49">
        <v>40546</v>
      </c>
      <c r="C49">
        <v>0</v>
      </c>
      <c r="D49" t="s">
        <v>8</v>
      </c>
      <c r="E49" t="s">
        <v>9</v>
      </c>
      <c r="F49" t="s">
        <v>13</v>
      </c>
      <c r="G49" t="s">
        <v>18</v>
      </c>
      <c r="H49">
        <v>0.22</v>
      </c>
      <c r="I49">
        <v>0.19700000000000001</v>
      </c>
      <c r="J49">
        <v>0.44</v>
      </c>
      <c r="K49">
        <v>0.35820000000000002</v>
      </c>
      <c r="L49">
        <v>0</v>
      </c>
      <c r="M49">
        <v>5</v>
      </c>
      <c r="N49">
        <v>5</v>
      </c>
    </row>
    <row r="50" spans="1:14" x14ac:dyDescent="0.3">
      <c r="A50">
        <v>49</v>
      </c>
      <c r="B50">
        <v>40546</v>
      </c>
      <c r="C50">
        <v>4.1666666666666741E-2</v>
      </c>
      <c r="D50" t="s">
        <v>8</v>
      </c>
      <c r="E50" t="s">
        <v>9</v>
      </c>
      <c r="F50" t="s">
        <v>13</v>
      </c>
      <c r="G50" t="s">
        <v>18</v>
      </c>
      <c r="H50">
        <v>0.2</v>
      </c>
      <c r="I50">
        <v>0.29047656249999987</v>
      </c>
      <c r="J50">
        <v>0.44</v>
      </c>
      <c r="K50">
        <v>0.41789999999999999</v>
      </c>
      <c r="L50">
        <v>0</v>
      </c>
      <c r="M50">
        <v>2</v>
      </c>
      <c r="N50">
        <v>2</v>
      </c>
    </row>
    <row r="51" spans="1:14" x14ac:dyDescent="0.3">
      <c r="A51">
        <v>50</v>
      </c>
      <c r="B51">
        <v>40546</v>
      </c>
      <c r="C51">
        <v>0.16666666666666674</v>
      </c>
      <c r="D51" t="s">
        <v>8</v>
      </c>
      <c r="E51" t="s">
        <v>9</v>
      </c>
      <c r="F51" t="s">
        <v>13</v>
      </c>
      <c r="G51" t="s">
        <v>18</v>
      </c>
      <c r="H51">
        <v>0.16</v>
      </c>
      <c r="I51">
        <v>0.13639999999999999</v>
      </c>
      <c r="J51">
        <v>0.47</v>
      </c>
      <c r="K51">
        <v>0.3881</v>
      </c>
      <c r="L51">
        <v>0</v>
      </c>
      <c r="M51">
        <v>1</v>
      </c>
      <c r="N51">
        <v>1</v>
      </c>
    </row>
    <row r="52" spans="1:14" x14ac:dyDescent="0.3">
      <c r="A52">
        <v>51</v>
      </c>
      <c r="B52">
        <v>40546</v>
      </c>
      <c r="C52">
        <v>0.20833333333333326</v>
      </c>
      <c r="D52" t="s">
        <v>8</v>
      </c>
      <c r="E52" t="s">
        <v>9</v>
      </c>
      <c r="F52" t="s">
        <v>13</v>
      </c>
      <c r="G52" t="s">
        <v>18</v>
      </c>
      <c r="H52">
        <v>0.16</v>
      </c>
      <c r="I52">
        <v>0.13639999999999999</v>
      </c>
      <c r="J52">
        <v>0.47</v>
      </c>
      <c r="K52">
        <v>0.28360000000000002</v>
      </c>
      <c r="L52">
        <v>0</v>
      </c>
      <c r="M52">
        <v>3</v>
      </c>
      <c r="N52">
        <v>3</v>
      </c>
    </row>
    <row r="53" spans="1:14" x14ac:dyDescent="0.3">
      <c r="A53">
        <v>52</v>
      </c>
      <c r="B53">
        <v>40546</v>
      </c>
      <c r="C53">
        <v>0.25</v>
      </c>
      <c r="D53" t="s">
        <v>8</v>
      </c>
      <c r="E53" t="s">
        <v>9</v>
      </c>
      <c r="F53" t="s">
        <v>13</v>
      </c>
      <c r="G53" t="s">
        <v>18</v>
      </c>
      <c r="H53">
        <v>0.14000000000000001</v>
      </c>
      <c r="I53">
        <v>0.1061</v>
      </c>
      <c r="J53">
        <v>0.5</v>
      </c>
      <c r="K53">
        <v>0.3881</v>
      </c>
      <c r="L53">
        <v>0</v>
      </c>
      <c r="M53">
        <v>30</v>
      </c>
      <c r="N53">
        <v>30</v>
      </c>
    </row>
    <row r="54" spans="1:14" x14ac:dyDescent="0.3">
      <c r="A54">
        <v>53</v>
      </c>
      <c r="B54">
        <v>40546</v>
      </c>
      <c r="C54">
        <v>0.29166666666666674</v>
      </c>
      <c r="D54" t="s">
        <v>8</v>
      </c>
      <c r="E54" t="s">
        <v>9</v>
      </c>
      <c r="F54" t="s">
        <v>13</v>
      </c>
      <c r="G54" t="s">
        <v>18</v>
      </c>
      <c r="H54">
        <v>0.14000000000000001</v>
      </c>
      <c r="I54">
        <v>0.13639999999999999</v>
      </c>
      <c r="J54">
        <v>0.5</v>
      </c>
      <c r="K54">
        <v>0.19400000000000001</v>
      </c>
      <c r="L54">
        <v>1</v>
      </c>
      <c r="M54">
        <v>63</v>
      </c>
      <c r="N54">
        <v>64</v>
      </c>
    </row>
    <row r="55" spans="1:14" x14ac:dyDescent="0.3">
      <c r="A55">
        <v>54</v>
      </c>
      <c r="B55">
        <v>40546</v>
      </c>
      <c r="C55">
        <v>0.33333333333333326</v>
      </c>
      <c r="D55" t="s">
        <v>8</v>
      </c>
      <c r="E55" t="s">
        <v>9</v>
      </c>
      <c r="F55" t="s">
        <v>13</v>
      </c>
      <c r="G55" t="s">
        <v>18</v>
      </c>
      <c r="H55">
        <v>0.14000000000000001</v>
      </c>
      <c r="I55">
        <v>0.1212</v>
      </c>
      <c r="J55">
        <v>0.5</v>
      </c>
      <c r="K55">
        <v>0.28360000000000002</v>
      </c>
      <c r="L55">
        <v>1</v>
      </c>
      <c r="M55">
        <v>153</v>
      </c>
      <c r="N55">
        <v>154</v>
      </c>
    </row>
    <row r="56" spans="1:14" x14ac:dyDescent="0.3">
      <c r="A56">
        <v>55</v>
      </c>
      <c r="B56">
        <v>40546</v>
      </c>
      <c r="C56">
        <v>0.375</v>
      </c>
      <c r="D56" t="s">
        <v>8</v>
      </c>
      <c r="E56" t="s">
        <v>9</v>
      </c>
      <c r="F56" t="s">
        <v>13</v>
      </c>
      <c r="G56" t="s">
        <v>18</v>
      </c>
      <c r="H56">
        <v>0.16</v>
      </c>
      <c r="I56">
        <v>0.13639999999999999</v>
      </c>
      <c r="J56">
        <v>0.43</v>
      </c>
      <c r="K56">
        <v>0.3881</v>
      </c>
      <c r="L56">
        <v>7</v>
      </c>
      <c r="M56">
        <v>81</v>
      </c>
      <c r="N56">
        <v>88</v>
      </c>
    </row>
    <row r="57" spans="1:14" x14ac:dyDescent="0.3">
      <c r="A57">
        <v>56</v>
      </c>
      <c r="B57">
        <v>40546</v>
      </c>
      <c r="C57">
        <v>0.41666666666666674</v>
      </c>
      <c r="D57" t="s">
        <v>8</v>
      </c>
      <c r="E57" t="s">
        <v>9</v>
      </c>
      <c r="F57" t="s">
        <v>13</v>
      </c>
      <c r="G57" t="s">
        <v>18</v>
      </c>
      <c r="H57">
        <v>0.18</v>
      </c>
      <c r="I57">
        <v>0.16669999999999999</v>
      </c>
      <c r="J57">
        <v>0.43</v>
      </c>
      <c r="K57">
        <v>0.25369999999999998</v>
      </c>
      <c r="L57">
        <v>11</v>
      </c>
      <c r="M57">
        <v>33</v>
      </c>
      <c r="N57">
        <v>44</v>
      </c>
    </row>
    <row r="58" spans="1:14" x14ac:dyDescent="0.3">
      <c r="A58">
        <v>57</v>
      </c>
      <c r="B58">
        <v>40546</v>
      </c>
      <c r="C58">
        <v>0.45833333333333326</v>
      </c>
      <c r="D58" t="s">
        <v>8</v>
      </c>
      <c r="E58" t="s">
        <v>9</v>
      </c>
      <c r="F58" t="s">
        <v>13</v>
      </c>
      <c r="G58" t="s">
        <v>18</v>
      </c>
      <c r="H58">
        <v>0.2</v>
      </c>
      <c r="I58">
        <v>0.18179999999999999</v>
      </c>
      <c r="J58">
        <v>0.4</v>
      </c>
      <c r="K58">
        <v>0.32840000000000003</v>
      </c>
      <c r="L58">
        <v>10</v>
      </c>
      <c r="M58">
        <v>41</v>
      </c>
      <c r="N58">
        <v>51</v>
      </c>
    </row>
    <row r="59" spans="1:14" x14ac:dyDescent="0.3">
      <c r="A59">
        <v>58</v>
      </c>
      <c r="B59">
        <v>40546</v>
      </c>
      <c r="C59">
        <v>0.5</v>
      </c>
      <c r="D59" t="s">
        <v>8</v>
      </c>
      <c r="E59" t="s">
        <v>9</v>
      </c>
      <c r="F59" t="s">
        <v>13</v>
      </c>
      <c r="G59" t="s">
        <v>18</v>
      </c>
      <c r="H59">
        <v>0.22</v>
      </c>
      <c r="I59">
        <v>0.21210000000000001</v>
      </c>
      <c r="J59">
        <v>0.35</v>
      </c>
      <c r="K59">
        <v>0.29849999999999999</v>
      </c>
      <c r="L59">
        <v>13</v>
      </c>
      <c r="M59">
        <v>48</v>
      </c>
      <c r="N59">
        <v>61</v>
      </c>
    </row>
    <row r="60" spans="1:14" x14ac:dyDescent="0.3">
      <c r="A60">
        <v>59</v>
      </c>
      <c r="B60">
        <v>40546</v>
      </c>
      <c r="C60">
        <v>0.54166666666666674</v>
      </c>
      <c r="D60" t="s">
        <v>8</v>
      </c>
      <c r="E60" t="s">
        <v>9</v>
      </c>
      <c r="F60" t="s">
        <v>13</v>
      </c>
      <c r="G60" t="s">
        <v>18</v>
      </c>
      <c r="H60">
        <v>0.24</v>
      </c>
      <c r="I60">
        <v>0.29047656249999987</v>
      </c>
      <c r="J60">
        <v>0.35</v>
      </c>
      <c r="K60">
        <v>0.28360000000000002</v>
      </c>
      <c r="L60">
        <v>8</v>
      </c>
      <c r="M60">
        <v>53</v>
      </c>
      <c r="N60">
        <v>61</v>
      </c>
    </row>
    <row r="61" spans="1:14" x14ac:dyDescent="0.3">
      <c r="A61">
        <v>60</v>
      </c>
      <c r="B61">
        <v>40546</v>
      </c>
      <c r="C61">
        <v>0.58333333333333326</v>
      </c>
      <c r="D61" t="s">
        <v>8</v>
      </c>
      <c r="E61" t="s">
        <v>9</v>
      </c>
      <c r="F61" t="s">
        <v>13</v>
      </c>
      <c r="G61" t="s">
        <v>18</v>
      </c>
      <c r="H61">
        <v>0.26</v>
      </c>
      <c r="I61">
        <v>0.2424</v>
      </c>
      <c r="J61">
        <v>0.3</v>
      </c>
      <c r="K61">
        <v>0.28360000000000002</v>
      </c>
      <c r="L61">
        <v>11</v>
      </c>
      <c r="M61">
        <v>66</v>
      </c>
      <c r="N61">
        <v>77</v>
      </c>
    </row>
    <row r="62" spans="1:14" x14ac:dyDescent="0.3">
      <c r="A62">
        <v>61</v>
      </c>
      <c r="B62">
        <v>40546</v>
      </c>
      <c r="C62">
        <v>0.625</v>
      </c>
      <c r="D62" t="s">
        <v>8</v>
      </c>
      <c r="E62" t="s">
        <v>9</v>
      </c>
      <c r="F62" t="s">
        <v>13</v>
      </c>
      <c r="G62" t="s">
        <v>18</v>
      </c>
      <c r="H62">
        <v>0.26</v>
      </c>
      <c r="I62">
        <v>0.2424</v>
      </c>
      <c r="J62">
        <v>0.3</v>
      </c>
      <c r="K62">
        <v>0.25369999999999998</v>
      </c>
      <c r="L62">
        <v>14</v>
      </c>
      <c r="M62">
        <v>58</v>
      </c>
      <c r="N62">
        <v>72</v>
      </c>
    </row>
    <row r="63" spans="1:14" x14ac:dyDescent="0.3">
      <c r="A63">
        <v>62</v>
      </c>
      <c r="B63">
        <v>40546</v>
      </c>
      <c r="C63">
        <v>0.66666666666666674</v>
      </c>
      <c r="D63" t="s">
        <v>8</v>
      </c>
      <c r="E63" t="s">
        <v>9</v>
      </c>
      <c r="F63" t="s">
        <v>13</v>
      </c>
      <c r="G63" t="s">
        <v>18</v>
      </c>
      <c r="H63">
        <v>0.26</v>
      </c>
      <c r="I63">
        <v>0.2424</v>
      </c>
      <c r="J63">
        <v>0.3</v>
      </c>
      <c r="K63">
        <v>0.25369999999999998</v>
      </c>
      <c r="L63">
        <v>9</v>
      </c>
      <c r="M63">
        <v>67</v>
      </c>
      <c r="N63">
        <v>76</v>
      </c>
    </row>
    <row r="64" spans="1:14" x14ac:dyDescent="0.3">
      <c r="A64">
        <v>63</v>
      </c>
      <c r="B64">
        <v>40546</v>
      </c>
      <c r="C64">
        <v>0.70833333333333326</v>
      </c>
      <c r="D64" t="s">
        <v>8</v>
      </c>
      <c r="E64" t="s">
        <v>9</v>
      </c>
      <c r="F64" t="s">
        <v>13</v>
      </c>
      <c r="G64" t="s">
        <v>18</v>
      </c>
      <c r="H64">
        <v>0.24</v>
      </c>
      <c r="I64">
        <v>0.2273</v>
      </c>
      <c r="J64">
        <v>0.3</v>
      </c>
      <c r="K64">
        <v>0.22389999999999999</v>
      </c>
      <c r="L64">
        <v>11</v>
      </c>
      <c r="M64">
        <v>146</v>
      </c>
      <c r="N64">
        <v>157</v>
      </c>
    </row>
    <row r="65" spans="1:14" x14ac:dyDescent="0.3">
      <c r="A65">
        <v>64</v>
      </c>
      <c r="B65">
        <v>40546</v>
      </c>
      <c r="C65">
        <v>0.75</v>
      </c>
      <c r="D65" t="s">
        <v>8</v>
      </c>
      <c r="E65" t="s">
        <v>9</v>
      </c>
      <c r="F65" t="s">
        <v>13</v>
      </c>
      <c r="G65" t="s">
        <v>18</v>
      </c>
      <c r="H65">
        <v>0.24</v>
      </c>
      <c r="I65">
        <v>0.2576</v>
      </c>
      <c r="J65">
        <v>0.32</v>
      </c>
      <c r="K65">
        <v>0.1045</v>
      </c>
      <c r="L65">
        <v>9</v>
      </c>
      <c r="M65">
        <v>148</v>
      </c>
      <c r="N65">
        <v>157</v>
      </c>
    </row>
    <row r="66" spans="1:14" x14ac:dyDescent="0.3">
      <c r="A66">
        <v>65</v>
      </c>
      <c r="B66">
        <v>40546</v>
      </c>
      <c r="C66">
        <v>0.79166666666666674</v>
      </c>
      <c r="D66" t="s">
        <v>8</v>
      </c>
      <c r="E66" t="s">
        <v>9</v>
      </c>
      <c r="F66" t="s">
        <v>13</v>
      </c>
      <c r="G66" t="s">
        <v>18</v>
      </c>
      <c r="H66">
        <v>0.2</v>
      </c>
      <c r="I66">
        <v>0.2576</v>
      </c>
      <c r="J66">
        <v>0.47</v>
      </c>
      <c r="K66">
        <v>0</v>
      </c>
      <c r="L66">
        <v>8</v>
      </c>
      <c r="M66">
        <v>102</v>
      </c>
      <c r="N66">
        <v>110</v>
      </c>
    </row>
    <row r="67" spans="1:14" x14ac:dyDescent="0.3">
      <c r="A67">
        <v>66</v>
      </c>
      <c r="B67">
        <v>40546</v>
      </c>
      <c r="C67">
        <v>0.83333333333333326</v>
      </c>
      <c r="D67" t="s">
        <v>8</v>
      </c>
      <c r="E67" t="s">
        <v>9</v>
      </c>
      <c r="F67" t="s">
        <v>13</v>
      </c>
      <c r="G67" t="s">
        <v>18</v>
      </c>
      <c r="H67">
        <v>0.2</v>
      </c>
      <c r="I67">
        <v>0.29047656249999987</v>
      </c>
      <c r="J67">
        <v>0.47</v>
      </c>
      <c r="K67">
        <v>0.1045</v>
      </c>
      <c r="L67">
        <v>3</v>
      </c>
      <c r="M67">
        <v>49</v>
      </c>
      <c r="N67">
        <v>52</v>
      </c>
    </row>
    <row r="68" spans="1:14" x14ac:dyDescent="0.3">
      <c r="A68">
        <v>67</v>
      </c>
      <c r="B68">
        <v>40546</v>
      </c>
      <c r="C68">
        <v>0.875</v>
      </c>
      <c r="D68" t="s">
        <v>8</v>
      </c>
      <c r="E68" t="s">
        <v>9</v>
      </c>
      <c r="F68" t="s">
        <v>13</v>
      </c>
      <c r="G68" t="s">
        <v>18</v>
      </c>
      <c r="H68">
        <v>0.18</v>
      </c>
      <c r="I68">
        <v>0.19700000000000001</v>
      </c>
      <c r="J68">
        <v>0.64</v>
      </c>
      <c r="K68">
        <v>0.1343</v>
      </c>
      <c r="L68">
        <v>3</v>
      </c>
      <c r="M68">
        <v>49</v>
      </c>
      <c r="N68">
        <v>52</v>
      </c>
    </row>
    <row r="69" spans="1:14" x14ac:dyDescent="0.3">
      <c r="A69">
        <v>68</v>
      </c>
      <c r="B69">
        <v>40546</v>
      </c>
      <c r="C69">
        <v>0.91666666666666674</v>
      </c>
      <c r="D69" t="s">
        <v>8</v>
      </c>
      <c r="E69" t="s">
        <v>9</v>
      </c>
      <c r="F69" t="s">
        <v>13</v>
      </c>
      <c r="G69" t="s">
        <v>18</v>
      </c>
      <c r="H69">
        <v>0.14000000000000001</v>
      </c>
      <c r="I69">
        <v>0.1515</v>
      </c>
      <c r="J69">
        <v>0.69</v>
      </c>
      <c r="K69">
        <v>0.1343</v>
      </c>
      <c r="L69">
        <v>0</v>
      </c>
      <c r="M69">
        <v>20</v>
      </c>
      <c r="N69">
        <v>20</v>
      </c>
    </row>
    <row r="70" spans="1:14" x14ac:dyDescent="0.3">
      <c r="A70">
        <v>69</v>
      </c>
      <c r="B70">
        <v>40546</v>
      </c>
      <c r="C70">
        <v>0.95833333333333326</v>
      </c>
      <c r="D70" t="s">
        <v>8</v>
      </c>
      <c r="E70" t="s">
        <v>9</v>
      </c>
      <c r="F70" t="s">
        <v>13</v>
      </c>
      <c r="G70" t="s">
        <v>18</v>
      </c>
      <c r="H70">
        <v>0.18</v>
      </c>
      <c r="I70">
        <v>0.21210000000000001</v>
      </c>
      <c r="J70">
        <v>0.55000000000000004</v>
      </c>
      <c r="K70">
        <v>0.1045</v>
      </c>
      <c r="L70">
        <v>1</v>
      </c>
      <c r="M70">
        <v>11</v>
      </c>
      <c r="N70">
        <v>12</v>
      </c>
    </row>
    <row r="71" spans="1:14" x14ac:dyDescent="0.3">
      <c r="A71">
        <v>70</v>
      </c>
      <c r="B71">
        <v>40547</v>
      </c>
      <c r="C71">
        <v>0</v>
      </c>
      <c r="D71" t="s">
        <v>8</v>
      </c>
      <c r="E71" t="s">
        <v>9</v>
      </c>
      <c r="F71" t="s">
        <v>14</v>
      </c>
      <c r="G71" t="s">
        <v>18</v>
      </c>
      <c r="H71">
        <v>0.16</v>
      </c>
      <c r="I71">
        <v>0.29047656249999987</v>
      </c>
      <c r="J71">
        <v>0.55000000000000004</v>
      </c>
      <c r="K71">
        <v>0.1045</v>
      </c>
      <c r="L71">
        <v>0</v>
      </c>
      <c r="M71">
        <v>5</v>
      </c>
      <c r="N71">
        <v>5</v>
      </c>
    </row>
    <row r="72" spans="1:14" x14ac:dyDescent="0.3">
      <c r="A72">
        <v>71</v>
      </c>
      <c r="B72">
        <v>40547</v>
      </c>
      <c r="C72">
        <v>4.1666666666666741E-2</v>
      </c>
      <c r="D72" t="s">
        <v>8</v>
      </c>
      <c r="E72" t="s">
        <v>9</v>
      </c>
      <c r="F72" t="s">
        <v>14</v>
      </c>
      <c r="G72" t="s">
        <v>18</v>
      </c>
      <c r="H72">
        <v>0.16</v>
      </c>
      <c r="I72">
        <v>0.18179999999999999</v>
      </c>
      <c r="J72">
        <v>0.59</v>
      </c>
      <c r="K72">
        <v>0.1045</v>
      </c>
      <c r="L72">
        <v>0</v>
      </c>
      <c r="M72">
        <v>2</v>
      </c>
      <c r="N72">
        <v>2</v>
      </c>
    </row>
    <row r="73" spans="1:14" x14ac:dyDescent="0.3">
      <c r="A73">
        <v>72</v>
      </c>
      <c r="B73">
        <v>40547</v>
      </c>
      <c r="C73">
        <v>8.3333333333333259E-2</v>
      </c>
      <c r="D73" t="s">
        <v>8</v>
      </c>
      <c r="E73" t="s">
        <v>9</v>
      </c>
      <c r="F73" t="s">
        <v>14</v>
      </c>
      <c r="G73" t="s">
        <v>18</v>
      </c>
      <c r="H73">
        <v>0.14000000000000001</v>
      </c>
      <c r="I73">
        <v>0.1515</v>
      </c>
      <c r="J73">
        <v>0.63</v>
      </c>
      <c r="K73">
        <v>0.1343</v>
      </c>
      <c r="L73">
        <v>0</v>
      </c>
      <c r="M73">
        <v>1</v>
      </c>
      <c r="N73">
        <v>1</v>
      </c>
    </row>
    <row r="74" spans="1:14" x14ac:dyDescent="0.3">
      <c r="A74">
        <v>73</v>
      </c>
      <c r="B74">
        <v>40547</v>
      </c>
      <c r="C74">
        <v>0.16666666666666674</v>
      </c>
      <c r="D74" t="s">
        <v>8</v>
      </c>
      <c r="E74" t="s">
        <v>9</v>
      </c>
      <c r="F74" t="s">
        <v>14</v>
      </c>
      <c r="G74" t="s">
        <v>18</v>
      </c>
      <c r="H74">
        <v>0.14000000000000001</v>
      </c>
      <c r="I74">
        <v>0.18179999999999999</v>
      </c>
      <c r="J74">
        <v>0.63</v>
      </c>
      <c r="K74">
        <v>8.9599999999999999E-2</v>
      </c>
      <c r="L74">
        <v>0</v>
      </c>
      <c r="M74">
        <v>2</v>
      </c>
      <c r="N74">
        <v>2</v>
      </c>
    </row>
    <row r="75" spans="1:14" x14ac:dyDescent="0.3">
      <c r="A75">
        <v>74</v>
      </c>
      <c r="B75">
        <v>40547</v>
      </c>
      <c r="C75">
        <v>0.20833333333333326</v>
      </c>
      <c r="D75" t="s">
        <v>8</v>
      </c>
      <c r="E75" t="s">
        <v>9</v>
      </c>
      <c r="F75" t="s">
        <v>14</v>
      </c>
      <c r="G75" t="s">
        <v>18</v>
      </c>
      <c r="H75">
        <v>0.12</v>
      </c>
      <c r="I75">
        <v>0.1515</v>
      </c>
      <c r="J75">
        <v>0.68</v>
      </c>
      <c r="K75">
        <v>0.1045</v>
      </c>
      <c r="L75">
        <v>0</v>
      </c>
      <c r="M75">
        <v>4</v>
      </c>
      <c r="N75">
        <v>4</v>
      </c>
    </row>
    <row r="76" spans="1:14" x14ac:dyDescent="0.3">
      <c r="A76">
        <v>75</v>
      </c>
      <c r="B76">
        <v>40547</v>
      </c>
      <c r="C76">
        <v>0.25</v>
      </c>
      <c r="D76" t="s">
        <v>8</v>
      </c>
      <c r="E76" t="s">
        <v>9</v>
      </c>
      <c r="F76" t="s">
        <v>14</v>
      </c>
      <c r="G76" t="s">
        <v>18</v>
      </c>
      <c r="H76">
        <v>0.12</v>
      </c>
      <c r="I76">
        <v>0.1515</v>
      </c>
      <c r="J76">
        <v>0.74</v>
      </c>
      <c r="K76">
        <v>0.1045</v>
      </c>
      <c r="L76">
        <v>0</v>
      </c>
      <c r="M76">
        <v>36</v>
      </c>
      <c r="N76">
        <v>36</v>
      </c>
    </row>
    <row r="77" spans="1:14" x14ac:dyDescent="0.3">
      <c r="A77">
        <v>76</v>
      </c>
      <c r="B77">
        <v>40547</v>
      </c>
      <c r="C77">
        <v>0.29166666666666674</v>
      </c>
      <c r="D77" t="s">
        <v>8</v>
      </c>
      <c r="E77" t="s">
        <v>9</v>
      </c>
      <c r="F77" t="s">
        <v>14</v>
      </c>
      <c r="G77" t="s">
        <v>18</v>
      </c>
      <c r="H77">
        <v>0.12</v>
      </c>
      <c r="I77">
        <v>0.1515</v>
      </c>
      <c r="J77">
        <v>0.74</v>
      </c>
      <c r="K77">
        <v>0.1343</v>
      </c>
      <c r="L77">
        <v>2</v>
      </c>
      <c r="M77">
        <v>92</v>
      </c>
      <c r="N77">
        <v>94</v>
      </c>
    </row>
    <row r="78" spans="1:14" x14ac:dyDescent="0.3">
      <c r="A78">
        <v>77</v>
      </c>
      <c r="B78">
        <v>40547</v>
      </c>
      <c r="C78">
        <v>0.33333333333333326</v>
      </c>
      <c r="D78" t="s">
        <v>8</v>
      </c>
      <c r="E78" t="s">
        <v>9</v>
      </c>
      <c r="F78" t="s">
        <v>14</v>
      </c>
      <c r="G78" t="s">
        <v>18</v>
      </c>
      <c r="H78">
        <v>0.14000000000000001</v>
      </c>
      <c r="I78">
        <v>0.1515</v>
      </c>
      <c r="J78">
        <v>0.69</v>
      </c>
      <c r="K78">
        <v>0.16420000000000001</v>
      </c>
      <c r="L78">
        <v>2</v>
      </c>
      <c r="M78">
        <v>177</v>
      </c>
      <c r="N78">
        <v>179</v>
      </c>
    </row>
    <row r="79" spans="1:14" x14ac:dyDescent="0.3">
      <c r="A79">
        <v>78</v>
      </c>
      <c r="B79">
        <v>40547</v>
      </c>
      <c r="C79">
        <v>0.375</v>
      </c>
      <c r="D79" t="s">
        <v>8</v>
      </c>
      <c r="E79" t="s">
        <v>9</v>
      </c>
      <c r="F79" t="s">
        <v>14</v>
      </c>
      <c r="G79" t="s">
        <v>18</v>
      </c>
      <c r="H79">
        <v>0.16</v>
      </c>
      <c r="I79">
        <v>0.1515</v>
      </c>
      <c r="J79">
        <v>0.64</v>
      </c>
      <c r="K79">
        <v>0.22389999999999999</v>
      </c>
      <c r="L79">
        <v>2</v>
      </c>
      <c r="M79">
        <v>98</v>
      </c>
      <c r="N79">
        <v>100</v>
      </c>
    </row>
    <row r="80" spans="1:14" x14ac:dyDescent="0.3">
      <c r="A80">
        <v>79</v>
      </c>
      <c r="B80">
        <v>40547</v>
      </c>
      <c r="C80">
        <v>0.41666666666666674</v>
      </c>
      <c r="D80" t="s">
        <v>8</v>
      </c>
      <c r="E80" t="s">
        <v>9</v>
      </c>
      <c r="F80" t="s">
        <v>14</v>
      </c>
      <c r="G80" t="s">
        <v>19</v>
      </c>
      <c r="H80">
        <v>0.16</v>
      </c>
      <c r="I80">
        <v>0.13639999999999999</v>
      </c>
      <c r="J80">
        <v>0.69</v>
      </c>
      <c r="K80">
        <v>0.32840000000000003</v>
      </c>
      <c r="L80">
        <v>5</v>
      </c>
      <c r="M80">
        <v>37</v>
      </c>
      <c r="N80">
        <v>42</v>
      </c>
    </row>
    <row r="81" spans="1:14" x14ac:dyDescent="0.3">
      <c r="A81">
        <v>80</v>
      </c>
      <c r="B81">
        <v>40547</v>
      </c>
      <c r="C81">
        <v>0.45833333333333326</v>
      </c>
      <c r="D81" t="s">
        <v>8</v>
      </c>
      <c r="E81" t="s">
        <v>9</v>
      </c>
      <c r="F81" t="s">
        <v>14</v>
      </c>
      <c r="G81" t="s">
        <v>18</v>
      </c>
      <c r="H81">
        <v>0.22</v>
      </c>
      <c r="I81">
        <v>0.21210000000000001</v>
      </c>
      <c r="J81">
        <v>0.51</v>
      </c>
      <c r="K81">
        <v>0.29849999999999999</v>
      </c>
      <c r="L81">
        <v>7</v>
      </c>
      <c r="M81">
        <v>50</v>
      </c>
      <c r="N81">
        <v>57</v>
      </c>
    </row>
    <row r="82" spans="1:14" x14ac:dyDescent="0.3">
      <c r="A82">
        <v>81</v>
      </c>
      <c r="B82">
        <v>40547</v>
      </c>
      <c r="C82">
        <v>0.5</v>
      </c>
      <c r="D82" t="s">
        <v>8</v>
      </c>
      <c r="E82" t="s">
        <v>9</v>
      </c>
      <c r="F82" t="s">
        <v>14</v>
      </c>
      <c r="G82" t="s">
        <v>18</v>
      </c>
      <c r="H82">
        <v>0.22</v>
      </c>
      <c r="I82">
        <v>0.2273</v>
      </c>
      <c r="J82">
        <v>0.51</v>
      </c>
      <c r="K82">
        <v>0.16420000000000001</v>
      </c>
      <c r="L82">
        <v>12</v>
      </c>
      <c r="M82">
        <v>66</v>
      </c>
      <c r="N82">
        <v>78</v>
      </c>
    </row>
    <row r="83" spans="1:14" x14ac:dyDescent="0.3">
      <c r="A83">
        <v>82</v>
      </c>
      <c r="B83">
        <v>40547</v>
      </c>
      <c r="C83">
        <v>0.54166666666666674</v>
      </c>
      <c r="D83" t="s">
        <v>8</v>
      </c>
      <c r="E83" t="s">
        <v>9</v>
      </c>
      <c r="F83" t="s">
        <v>14</v>
      </c>
      <c r="G83" t="s">
        <v>18</v>
      </c>
      <c r="H83">
        <v>0.24</v>
      </c>
      <c r="I83">
        <v>0.2273</v>
      </c>
      <c r="J83">
        <v>0.56000000000000005</v>
      </c>
      <c r="K83">
        <v>0.19400000000000001</v>
      </c>
      <c r="L83">
        <v>18</v>
      </c>
      <c r="M83">
        <v>79</v>
      </c>
      <c r="N83">
        <v>97</v>
      </c>
    </row>
    <row r="84" spans="1:14" x14ac:dyDescent="0.3">
      <c r="A84">
        <v>83</v>
      </c>
      <c r="B84">
        <v>40547</v>
      </c>
      <c r="C84">
        <v>0.58333333333333326</v>
      </c>
      <c r="D84" t="s">
        <v>8</v>
      </c>
      <c r="E84" t="s">
        <v>9</v>
      </c>
      <c r="F84" t="s">
        <v>14</v>
      </c>
      <c r="G84" t="s">
        <v>18</v>
      </c>
      <c r="H84">
        <v>0.26</v>
      </c>
      <c r="I84">
        <v>0.2576</v>
      </c>
      <c r="J84">
        <v>0.52</v>
      </c>
      <c r="K84">
        <v>0.22389999999999999</v>
      </c>
      <c r="L84">
        <v>9</v>
      </c>
      <c r="M84">
        <v>54</v>
      </c>
      <c r="N84">
        <v>63</v>
      </c>
    </row>
    <row r="85" spans="1:14" x14ac:dyDescent="0.3">
      <c r="A85">
        <v>84</v>
      </c>
      <c r="B85">
        <v>40547</v>
      </c>
      <c r="C85">
        <v>0.625</v>
      </c>
      <c r="D85" t="s">
        <v>8</v>
      </c>
      <c r="E85" t="s">
        <v>9</v>
      </c>
      <c r="F85" t="s">
        <v>14</v>
      </c>
      <c r="G85" t="s">
        <v>18</v>
      </c>
      <c r="H85">
        <v>0.28000000000000003</v>
      </c>
      <c r="I85">
        <v>0.2727</v>
      </c>
      <c r="J85">
        <v>0.52</v>
      </c>
      <c r="K85">
        <v>0.25369999999999998</v>
      </c>
      <c r="L85">
        <v>17</v>
      </c>
      <c r="M85">
        <v>48</v>
      </c>
      <c r="N85">
        <v>65</v>
      </c>
    </row>
    <row r="86" spans="1:14" x14ac:dyDescent="0.3">
      <c r="A86">
        <v>85</v>
      </c>
      <c r="B86">
        <v>40547</v>
      </c>
      <c r="C86">
        <v>0.66666666666666674</v>
      </c>
      <c r="D86" t="s">
        <v>8</v>
      </c>
      <c r="E86" t="s">
        <v>9</v>
      </c>
      <c r="F86" t="s">
        <v>14</v>
      </c>
      <c r="G86" t="s">
        <v>18</v>
      </c>
      <c r="H86">
        <v>0.3</v>
      </c>
      <c r="I86">
        <v>0.28789999999999999</v>
      </c>
      <c r="J86">
        <v>0.49</v>
      </c>
      <c r="K86">
        <v>0.25369999999999998</v>
      </c>
      <c r="L86">
        <v>15</v>
      </c>
      <c r="M86">
        <v>68</v>
      </c>
      <c r="N86">
        <v>83</v>
      </c>
    </row>
    <row r="87" spans="1:14" x14ac:dyDescent="0.3">
      <c r="A87">
        <v>86</v>
      </c>
      <c r="B87">
        <v>40547</v>
      </c>
      <c r="C87">
        <v>0.70833333333333326</v>
      </c>
      <c r="D87" t="s">
        <v>8</v>
      </c>
      <c r="E87" t="s">
        <v>9</v>
      </c>
      <c r="F87" t="s">
        <v>14</v>
      </c>
      <c r="G87" t="s">
        <v>18</v>
      </c>
      <c r="H87">
        <v>0.28000000000000003</v>
      </c>
      <c r="I87">
        <v>0.2727</v>
      </c>
      <c r="J87">
        <v>0.48</v>
      </c>
      <c r="K87">
        <v>0.22389999999999999</v>
      </c>
      <c r="L87">
        <v>10</v>
      </c>
      <c r="M87">
        <v>202</v>
      </c>
      <c r="N87">
        <v>212</v>
      </c>
    </row>
    <row r="88" spans="1:14" x14ac:dyDescent="0.3">
      <c r="A88">
        <v>87</v>
      </c>
      <c r="B88">
        <v>40547</v>
      </c>
      <c r="C88">
        <v>0.75</v>
      </c>
      <c r="D88" t="s">
        <v>8</v>
      </c>
      <c r="E88" t="s">
        <v>9</v>
      </c>
      <c r="F88" t="s">
        <v>14</v>
      </c>
      <c r="G88" t="s">
        <v>18</v>
      </c>
      <c r="H88">
        <v>0.26</v>
      </c>
      <c r="I88">
        <v>0.2576</v>
      </c>
      <c r="J88">
        <v>0.48</v>
      </c>
      <c r="K88">
        <v>0.19400000000000001</v>
      </c>
      <c r="L88">
        <v>3</v>
      </c>
      <c r="M88">
        <v>179</v>
      </c>
      <c r="N88">
        <v>182</v>
      </c>
    </row>
    <row r="89" spans="1:14" x14ac:dyDescent="0.3">
      <c r="A89">
        <v>88</v>
      </c>
      <c r="B89">
        <v>40547</v>
      </c>
      <c r="C89">
        <v>0.79166666666666674</v>
      </c>
      <c r="D89" t="s">
        <v>8</v>
      </c>
      <c r="E89" t="s">
        <v>9</v>
      </c>
      <c r="F89" t="s">
        <v>14</v>
      </c>
      <c r="G89" t="s">
        <v>18</v>
      </c>
      <c r="H89">
        <v>0.24</v>
      </c>
      <c r="I89">
        <v>0.2576</v>
      </c>
      <c r="J89">
        <v>0.48</v>
      </c>
      <c r="K89">
        <v>0.1045</v>
      </c>
      <c r="L89">
        <v>2</v>
      </c>
      <c r="M89">
        <v>110</v>
      </c>
      <c r="N89">
        <v>112</v>
      </c>
    </row>
    <row r="90" spans="1:14" x14ac:dyDescent="0.3">
      <c r="A90">
        <v>89</v>
      </c>
      <c r="B90">
        <v>40547</v>
      </c>
      <c r="C90">
        <v>0.83333333333333326</v>
      </c>
      <c r="D90" t="s">
        <v>8</v>
      </c>
      <c r="E90" t="s">
        <v>9</v>
      </c>
      <c r="F90" t="s">
        <v>14</v>
      </c>
      <c r="G90" t="s">
        <v>18</v>
      </c>
      <c r="H90">
        <v>0.24</v>
      </c>
      <c r="I90">
        <v>0.2576</v>
      </c>
      <c r="J90">
        <v>0.48</v>
      </c>
      <c r="K90">
        <v>0.1045</v>
      </c>
      <c r="L90">
        <v>1</v>
      </c>
      <c r="M90">
        <v>53</v>
      </c>
      <c r="N90">
        <v>54</v>
      </c>
    </row>
    <row r="91" spans="1:14" x14ac:dyDescent="0.3">
      <c r="A91">
        <v>90</v>
      </c>
      <c r="B91">
        <v>40547</v>
      </c>
      <c r="C91">
        <v>0.875</v>
      </c>
      <c r="D91" t="s">
        <v>8</v>
      </c>
      <c r="E91" t="s">
        <v>9</v>
      </c>
      <c r="F91" t="s">
        <v>14</v>
      </c>
      <c r="G91" t="s">
        <v>18</v>
      </c>
      <c r="H91">
        <v>0.22</v>
      </c>
      <c r="I91">
        <v>0.2727</v>
      </c>
      <c r="J91">
        <v>0.64</v>
      </c>
      <c r="K91">
        <v>0</v>
      </c>
      <c r="L91">
        <v>0</v>
      </c>
      <c r="M91">
        <v>48</v>
      </c>
      <c r="N91">
        <v>48</v>
      </c>
    </row>
    <row r="92" spans="1:14" x14ac:dyDescent="0.3">
      <c r="A92">
        <v>91</v>
      </c>
      <c r="B92">
        <v>40547</v>
      </c>
      <c r="C92">
        <v>0.91666666666666674</v>
      </c>
      <c r="D92" t="s">
        <v>8</v>
      </c>
      <c r="E92" t="s">
        <v>9</v>
      </c>
      <c r="F92" t="s">
        <v>14</v>
      </c>
      <c r="G92" t="s">
        <v>18</v>
      </c>
      <c r="H92">
        <v>0.22</v>
      </c>
      <c r="I92">
        <v>0.2576</v>
      </c>
      <c r="J92">
        <v>0.64</v>
      </c>
      <c r="K92">
        <v>8.9599999999999999E-2</v>
      </c>
      <c r="L92">
        <v>1</v>
      </c>
      <c r="M92">
        <v>34</v>
      </c>
      <c r="N92">
        <v>35</v>
      </c>
    </row>
    <row r="93" spans="1:14" x14ac:dyDescent="0.3">
      <c r="A93">
        <v>92</v>
      </c>
      <c r="B93">
        <v>40547</v>
      </c>
      <c r="C93">
        <v>0.95833333333333326</v>
      </c>
      <c r="D93" t="s">
        <v>8</v>
      </c>
      <c r="E93" t="s">
        <v>9</v>
      </c>
      <c r="F93" t="s">
        <v>14</v>
      </c>
      <c r="G93" t="s">
        <v>18</v>
      </c>
      <c r="H93">
        <v>0.2</v>
      </c>
      <c r="I93">
        <v>0.2273</v>
      </c>
      <c r="J93">
        <v>0.69</v>
      </c>
      <c r="K93">
        <v>8.9599999999999999E-2</v>
      </c>
      <c r="L93">
        <v>2</v>
      </c>
      <c r="M93">
        <v>9</v>
      </c>
      <c r="N93">
        <v>11</v>
      </c>
    </row>
    <row r="94" spans="1:14" x14ac:dyDescent="0.3">
      <c r="A94">
        <v>93</v>
      </c>
      <c r="B94">
        <v>40548</v>
      </c>
      <c r="C94">
        <v>0</v>
      </c>
      <c r="D94" t="s">
        <v>8</v>
      </c>
      <c r="E94" t="s">
        <v>9</v>
      </c>
      <c r="F94" t="s">
        <v>15</v>
      </c>
      <c r="G94" t="s">
        <v>18</v>
      </c>
      <c r="H94">
        <v>0.2</v>
      </c>
      <c r="I94">
        <v>0.2576</v>
      </c>
      <c r="J94">
        <v>0.64</v>
      </c>
      <c r="K94">
        <v>0</v>
      </c>
      <c r="L94">
        <v>0</v>
      </c>
      <c r="M94">
        <v>6</v>
      </c>
      <c r="N94">
        <v>6</v>
      </c>
    </row>
    <row r="95" spans="1:14" x14ac:dyDescent="0.3">
      <c r="A95">
        <v>94</v>
      </c>
      <c r="B95">
        <v>40548</v>
      </c>
      <c r="C95">
        <v>4.1666666666666741E-2</v>
      </c>
      <c r="D95" t="s">
        <v>8</v>
      </c>
      <c r="E95" t="s">
        <v>9</v>
      </c>
      <c r="F95" t="s">
        <v>15</v>
      </c>
      <c r="G95" t="s">
        <v>18</v>
      </c>
      <c r="H95">
        <v>0.16</v>
      </c>
      <c r="I95">
        <v>0.19700000000000001</v>
      </c>
      <c r="J95">
        <v>0.74</v>
      </c>
      <c r="K95">
        <v>8.9599999999999999E-2</v>
      </c>
      <c r="L95">
        <v>0</v>
      </c>
      <c r="M95">
        <v>6</v>
      </c>
      <c r="N95">
        <v>6</v>
      </c>
    </row>
    <row r="96" spans="1:14" x14ac:dyDescent="0.3">
      <c r="A96">
        <v>95</v>
      </c>
      <c r="B96">
        <v>40548</v>
      </c>
      <c r="C96">
        <v>8.3333333333333259E-2</v>
      </c>
      <c r="D96" t="s">
        <v>8</v>
      </c>
      <c r="E96" t="s">
        <v>9</v>
      </c>
      <c r="F96" t="s">
        <v>15</v>
      </c>
      <c r="G96" t="s">
        <v>18</v>
      </c>
      <c r="H96">
        <v>0.16</v>
      </c>
      <c r="I96">
        <v>0.19700000000000001</v>
      </c>
      <c r="J96">
        <v>0.74</v>
      </c>
      <c r="K96">
        <v>8.9599999999999999E-2</v>
      </c>
      <c r="L96">
        <v>0</v>
      </c>
      <c r="M96">
        <v>2</v>
      </c>
      <c r="N96">
        <v>2</v>
      </c>
    </row>
    <row r="97" spans="1:14" x14ac:dyDescent="0.3">
      <c r="A97">
        <v>96</v>
      </c>
      <c r="B97">
        <v>40548</v>
      </c>
      <c r="C97">
        <v>0.16666666666666674</v>
      </c>
      <c r="D97" t="s">
        <v>8</v>
      </c>
      <c r="E97" t="s">
        <v>9</v>
      </c>
      <c r="F97" t="s">
        <v>15</v>
      </c>
      <c r="G97" t="s">
        <v>18</v>
      </c>
      <c r="H97">
        <v>0.24</v>
      </c>
      <c r="I97">
        <v>0.2273</v>
      </c>
      <c r="J97">
        <v>0.48</v>
      </c>
      <c r="K97">
        <v>0.22389999999999999</v>
      </c>
      <c r="L97">
        <v>0</v>
      </c>
      <c r="M97">
        <v>2</v>
      </c>
      <c r="N97">
        <v>2</v>
      </c>
    </row>
    <row r="98" spans="1:14" x14ac:dyDescent="0.3">
      <c r="A98">
        <v>97</v>
      </c>
      <c r="B98">
        <v>40548</v>
      </c>
      <c r="C98">
        <v>0.20833333333333326</v>
      </c>
      <c r="D98" t="s">
        <v>8</v>
      </c>
      <c r="E98" t="s">
        <v>9</v>
      </c>
      <c r="F98" t="s">
        <v>15</v>
      </c>
      <c r="G98" t="s">
        <v>18</v>
      </c>
      <c r="H98">
        <v>0.22</v>
      </c>
      <c r="I98">
        <v>0.2273</v>
      </c>
      <c r="J98">
        <v>0.47</v>
      </c>
      <c r="K98">
        <v>0.16420000000000001</v>
      </c>
      <c r="L98">
        <v>0</v>
      </c>
      <c r="M98">
        <v>3</v>
      </c>
      <c r="N98">
        <v>3</v>
      </c>
    </row>
    <row r="99" spans="1:14" x14ac:dyDescent="0.3">
      <c r="A99">
        <v>98</v>
      </c>
      <c r="B99">
        <v>40548</v>
      </c>
      <c r="C99">
        <v>0.25</v>
      </c>
      <c r="D99" t="s">
        <v>8</v>
      </c>
      <c r="E99" t="s">
        <v>9</v>
      </c>
      <c r="F99" t="s">
        <v>15</v>
      </c>
      <c r="G99" t="s">
        <v>18</v>
      </c>
      <c r="H99">
        <v>0.2</v>
      </c>
      <c r="I99">
        <v>0.19700000000000001</v>
      </c>
      <c r="J99">
        <v>0.47</v>
      </c>
      <c r="K99">
        <v>0.22389999999999999</v>
      </c>
      <c r="L99">
        <v>0</v>
      </c>
      <c r="M99">
        <v>33</v>
      </c>
      <c r="N99">
        <v>33</v>
      </c>
    </row>
    <row r="100" spans="1:14" x14ac:dyDescent="0.3">
      <c r="A100">
        <v>99</v>
      </c>
      <c r="B100">
        <v>40548</v>
      </c>
      <c r="C100">
        <v>0.29166666666666674</v>
      </c>
      <c r="D100" t="s">
        <v>8</v>
      </c>
      <c r="E100" t="s">
        <v>9</v>
      </c>
      <c r="F100" t="s">
        <v>15</v>
      </c>
      <c r="G100" t="s">
        <v>18</v>
      </c>
      <c r="H100">
        <v>0.18</v>
      </c>
      <c r="I100">
        <v>0.18179999999999999</v>
      </c>
      <c r="J100">
        <v>0.43</v>
      </c>
      <c r="K100">
        <v>0.19400000000000001</v>
      </c>
      <c r="L100">
        <v>1</v>
      </c>
      <c r="M100">
        <v>87</v>
      </c>
      <c r="N100">
        <v>88</v>
      </c>
    </row>
    <row r="101" spans="1:14" x14ac:dyDescent="0.3">
      <c r="A101">
        <v>100</v>
      </c>
      <c r="B101">
        <v>40548</v>
      </c>
      <c r="C101">
        <v>0.33333333333333326</v>
      </c>
      <c r="D101" t="s">
        <v>8</v>
      </c>
      <c r="E101" t="s">
        <v>9</v>
      </c>
      <c r="F101" t="s">
        <v>15</v>
      </c>
      <c r="G101" t="s">
        <v>18</v>
      </c>
      <c r="H101">
        <v>0.2</v>
      </c>
      <c r="I101">
        <v>0.18179999999999999</v>
      </c>
      <c r="J101">
        <v>0.4</v>
      </c>
      <c r="K101">
        <v>0.29849999999999999</v>
      </c>
      <c r="L101">
        <v>3</v>
      </c>
      <c r="M101">
        <v>192</v>
      </c>
      <c r="N101">
        <v>195</v>
      </c>
    </row>
    <row r="102" spans="1:14" x14ac:dyDescent="0.3">
      <c r="A102">
        <v>101</v>
      </c>
      <c r="B102">
        <v>40548</v>
      </c>
      <c r="C102">
        <v>0.375</v>
      </c>
      <c r="D102" t="s">
        <v>8</v>
      </c>
      <c r="E102" t="s">
        <v>9</v>
      </c>
      <c r="F102" t="s">
        <v>15</v>
      </c>
      <c r="G102" t="s">
        <v>18</v>
      </c>
      <c r="H102">
        <v>0.22</v>
      </c>
      <c r="I102">
        <v>0.19700000000000001</v>
      </c>
      <c r="J102">
        <v>0.37</v>
      </c>
      <c r="K102">
        <v>0.32840000000000003</v>
      </c>
      <c r="L102">
        <v>6</v>
      </c>
      <c r="M102">
        <v>109</v>
      </c>
      <c r="N102">
        <v>115</v>
      </c>
    </row>
    <row r="103" spans="1:14" x14ac:dyDescent="0.3">
      <c r="A103">
        <v>102</v>
      </c>
      <c r="B103">
        <v>40548</v>
      </c>
      <c r="C103">
        <v>0.41666666666666674</v>
      </c>
      <c r="D103" t="s">
        <v>8</v>
      </c>
      <c r="E103" t="s">
        <v>9</v>
      </c>
      <c r="F103" t="s">
        <v>15</v>
      </c>
      <c r="G103" t="s">
        <v>18</v>
      </c>
      <c r="H103">
        <v>0.22</v>
      </c>
      <c r="I103">
        <v>0.19700000000000001</v>
      </c>
      <c r="J103">
        <v>0.37</v>
      </c>
      <c r="K103">
        <v>0.32840000000000003</v>
      </c>
      <c r="L103">
        <v>4</v>
      </c>
      <c r="M103">
        <v>53</v>
      </c>
      <c r="N103">
        <v>57</v>
      </c>
    </row>
    <row r="104" spans="1:14" x14ac:dyDescent="0.3">
      <c r="A104">
        <v>103</v>
      </c>
      <c r="B104">
        <v>40548</v>
      </c>
      <c r="C104">
        <v>0.45833333333333326</v>
      </c>
      <c r="D104" t="s">
        <v>8</v>
      </c>
      <c r="E104" t="s">
        <v>9</v>
      </c>
      <c r="F104" t="s">
        <v>15</v>
      </c>
      <c r="G104" t="s">
        <v>18</v>
      </c>
      <c r="H104">
        <v>0.26</v>
      </c>
      <c r="I104">
        <v>0.2273</v>
      </c>
      <c r="J104">
        <v>0.33</v>
      </c>
      <c r="K104">
        <v>0.32840000000000003</v>
      </c>
      <c r="L104">
        <v>12</v>
      </c>
      <c r="M104">
        <v>34</v>
      </c>
      <c r="N104">
        <v>46</v>
      </c>
    </row>
    <row r="105" spans="1:14" x14ac:dyDescent="0.3">
      <c r="A105">
        <v>104</v>
      </c>
      <c r="B105">
        <v>40548</v>
      </c>
      <c r="C105">
        <v>0.5</v>
      </c>
      <c r="D105" t="s">
        <v>8</v>
      </c>
      <c r="E105" t="s">
        <v>9</v>
      </c>
      <c r="F105" t="s">
        <v>15</v>
      </c>
      <c r="G105" t="s">
        <v>18</v>
      </c>
      <c r="H105">
        <v>0.26</v>
      </c>
      <c r="I105">
        <v>0.2273</v>
      </c>
      <c r="J105">
        <v>0.33</v>
      </c>
      <c r="K105">
        <v>0.32840000000000003</v>
      </c>
      <c r="L105">
        <v>5</v>
      </c>
      <c r="M105">
        <v>74</v>
      </c>
      <c r="N105">
        <v>79</v>
      </c>
    </row>
    <row r="106" spans="1:14" x14ac:dyDescent="0.3">
      <c r="A106">
        <v>105</v>
      </c>
      <c r="B106">
        <v>40548</v>
      </c>
      <c r="C106">
        <v>0.54166666666666674</v>
      </c>
      <c r="D106" t="s">
        <v>8</v>
      </c>
      <c r="E106" t="s">
        <v>9</v>
      </c>
      <c r="F106" t="s">
        <v>15</v>
      </c>
      <c r="G106" t="s">
        <v>18</v>
      </c>
      <c r="H106">
        <v>0.28000000000000003</v>
      </c>
      <c r="I106">
        <v>0.2576</v>
      </c>
      <c r="J106">
        <v>0.3</v>
      </c>
      <c r="K106">
        <v>0.29849999999999999</v>
      </c>
      <c r="L106">
        <v>6</v>
      </c>
      <c r="M106">
        <v>65</v>
      </c>
      <c r="N106">
        <v>71</v>
      </c>
    </row>
    <row r="107" spans="1:14" x14ac:dyDescent="0.3">
      <c r="A107">
        <v>106</v>
      </c>
      <c r="B107">
        <v>40548</v>
      </c>
      <c r="C107">
        <v>0.58333333333333326</v>
      </c>
      <c r="D107" t="s">
        <v>8</v>
      </c>
      <c r="E107" t="s">
        <v>9</v>
      </c>
      <c r="F107" t="s">
        <v>15</v>
      </c>
      <c r="G107" t="s">
        <v>18</v>
      </c>
      <c r="H107">
        <v>0.3</v>
      </c>
      <c r="I107">
        <v>0.28789999999999999</v>
      </c>
      <c r="J107">
        <v>0.28000000000000003</v>
      </c>
      <c r="K107">
        <v>0.19400000000000001</v>
      </c>
      <c r="L107">
        <v>10</v>
      </c>
      <c r="M107">
        <v>52</v>
      </c>
      <c r="N107">
        <v>62</v>
      </c>
    </row>
    <row r="108" spans="1:14" x14ac:dyDescent="0.3">
      <c r="A108">
        <v>107</v>
      </c>
      <c r="B108">
        <v>40548</v>
      </c>
      <c r="C108">
        <v>0.625</v>
      </c>
      <c r="D108" t="s">
        <v>8</v>
      </c>
      <c r="E108" t="s">
        <v>9</v>
      </c>
      <c r="F108" t="s">
        <v>15</v>
      </c>
      <c r="G108" t="s">
        <v>18</v>
      </c>
      <c r="H108">
        <v>0.3</v>
      </c>
      <c r="I108">
        <v>0.28789999999999999</v>
      </c>
      <c r="J108">
        <v>0.28000000000000003</v>
      </c>
      <c r="K108">
        <v>0.19400000000000001</v>
      </c>
      <c r="L108">
        <v>7</v>
      </c>
      <c r="M108">
        <v>55</v>
      </c>
      <c r="N108">
        <v>62</v>
      </c>
    </row>
    <row r="109" spans="1:14" x14ac:dyDescent="0.3">
      <c r="A109">
        <v>108</v>
      </c>
      <c r="B109">
        <v>40548</v>
      </c>
      <c r="C109">
        <v>0.66666666666666674</v>
      </c>
      <c r="D109" t="s">
        <v>8</v>
      </c>
      <c r="E109" t="s">
        <v>9</v>
      </c>
      <c r="F109" t="s">
        <v>15</v>
      </c>
      <c r="G109" t="s">
        <v>18</v>
      </c>
      <c r="H109">
        <v>0.3</v>
      </c>
      <c r="I109">
        <v>0.31819999999999998</v>
      </c>
      <c r="J109">
        <v>0.28000000000000003</v>
      </c>
      <c r="K109">
        <v>8.9599999999999999E-2</v>
      </c>
      <c r="L109">
        <v>4</v>
      </c>
      <c r="M109">
        <v>85</v>
      </c>
      <c r="N109">
        <v>89</v>
      </c>
    </row>
    <row r="110" spans="1:14" x14ac:dyDescent="0.3">
      <c r="A110">
        <v>109</v>
      </c>
      <c r="B110">
        <v>40548</v>
      </c>
      <c r="C110">
        <v>0.70833333333333326</v>
      </c>
      <c r="D110" t="s">
        <v>8</v>
      </c>
      <c r="E110" t="s">
        <v>9</v>
      </c>
      <c r="F110" t="s">
        <v>15</v>
      </c>
      <c r="G110" t="s">
        <v>18</v>
      </c>
      <c r="H110">
        <v>0.24</v>
      </c>
      <c r="I110">
        <v>0.2273</v>
      </c>
      <c r="J110">
        <v>0.38</v>
      </c>
      <c r="K110">
        <v>0.19400000000000001</v>
      </c>
      <c r="L110">
        <v>4</v>
      </c>
      <c r="M110">
        <v>186</v>
      </c>
      <c r="N110">
        <v>190</v>
      </c>
    </row>
    <row r="111" spans="1:14" x14ac:dyDescent="0.3">
      <c r="A111">
        <v>110</v>
      </c>
      <c r="B111">
        <v>40548</v>
      </c>
      <c r="C111">
        <v>0.75</v>
      </c>
      <c r="D111" t="s">
        <v>8</v>
      </c>
      <c r="E111" t="s">
        <v>9</v>
      </c>
      <c r="F111" t="s">
        <v>15</v>
      </c>
      <c r="G111" t="s">
        <v>18</v>
      </c>
      <c r="H111">
        <v>0.24</v>
      </c>
      <c r="I111">
        <v>0.2424</v>
      </c>
      <c r="J111">
        <v>0.38</v>
      </c>
      <c r="K111">
        <v>0.1343</v>
      </c>
      <c r="L111">
        <v>3</v>
      </c>
      <c r="M111">
        <v>166</v>
      </c>
      <c r="N111">
        <v>169</v>
      </c>
    </row>
    <row r="112" spans="1:14" x14ac:dyDescent="0.3">
      <c r="A112">
        <v>111</v>
      </c>
      <c r="B112">
        <v>40548</v>
      </c>
      <c r="C112">
        <v>0.79166666666666674</v>
      </c>
      <c r="D112" t="s">
        <v>8</v>
      </c>
      <c r="E112" t="s">
        <v>9</v>
      </c>
      <c r="F112" t="s">
        <v>15</v>
      </c>
      <c r="G112" t="s">
        <v>18</v>
      </c>
      <c r="H112">
        <v>0.24</v>
      </c>
      <c r="I112">
        <v>0.2576</v>
      </c>
      <c r="J112">
        <v>0.38</v>
      </c>
      <c r="K112">
        <v>0.1045</v>
      </c>
      <c r="L112">
        <v>5</v>
      </c>
      <c r="M112">
        <v>127</v>
      </c>
      <c r="N112">
        <v>132</v>
      </c>
    </row>
    <row r="113" spans="1:14" x14ac:dyDescent="0.3">
      <c r="A113">
        <v>112</v>
      </c>
      <c r="B113">
        <v>40548</v>
      </c>
      <c r="C113">
        <v>0.83333333333333326</v>
      </c>
      <c r="D113" t="s">
        <v>8</v>
      </c>
      <c r="E113" t="s">
        <v>9</v>
      </c>
      <c r="F113" t="s">
        <v>15</v>
      </c>
      <c r="G113" t="s">
        <v>18</v>
      </c>
      <c r="H113">
        <v>0.22</v>
      </c>
      <c r="I113">
        <v>0.2273</v>
      </c>
      <c r="J113">
        <v>0.47</v>
      </c>
      <c r="K113">
        <v>0.16420000000000001</v>
      </c>
      <c r="L113">
        <v>7</v>
      </c>
      <c r="M113">
        <v>82</v>
      </c>
      <c r="N113">
        <v>89</v>
      </c>
    </row>
    <row r="114" spans="1:14" x14ac:dyDescent="0.3">
      <c r="A114">
        <v>113</v>
      </c>
      <c r="B114">
        <v>40548</v>
      </c>
      <c r="C114">
        <v>0.875</v>
      </c>
      <c r="D114" t="s">
        <v>8</v>
      </c>
      <c r="E114" t="s">
        <v>9</v>
      </c>
      <c r="F114" t="s">
        <v>15</v>
      </c>
      <c r="G114" t="s">
        <v>18</v>
      </c>
      <c r="H114">
        <v>0.2</v>
      </c>
      <c r="I114">
        <v>0.19700000000000001</v>
      </c>
      <c r="J114">
        <v>0.51</v>
      </c>
      <c r="K114">
        <v>0.19400000000000001</v>
      </c>
      <c r="L114">
        <v>3</v>
      </c>
      <c r="M114">
        <v>40</v>
      </c>
      <c r="N114">
        <v>43</v>
      </c>
    </row>
    <row r="115" spans="1:14" x14ac:dyDescent="0.3">
      <c r="A115">
        <v>114</v>
      </c>
      <c r="B115">
        <v>40548</v>
      </c>
      <c r="C115">
        <v>0.91666666666666674</v>
      </c>
      <c r="D115" t="s">
        <v>8</v>
      </c>
      <c r="E115" t="s">
        <v>9</v>
      </c>
      <c r="F115" t="s">
        <v>15</v>
      </c>
      <c r="G115" t="s">
        <v>18</v>
      </c>
      <c r="H115">
        <v>0.18</v>
      </c>
      <c r="I115">
        <v>0.19700000000000001</v>
      </c>
      <c r="J115">
        <v>0.55000000000000004</v>
      </c>
      <c r="K115">
        <v>0.1343</v>
      </c>
      <c r="L115">
        <v>1</v>
      </c>
      <c r="M115">
        <v>41</v>
      </c>
      <c r="N115">
        <v>42</v>
      </c>
    </row>
    <row r="116" spans="1:14" x14ac:dyDescent="0.3">
      <c r="A116">
        <v>115</v>
      </c>
      <c r="B116">
        <v>40548</v>
      </c>
      <c r="C116">
        <v>0.95833333333333326</v>
      </c>
      <c r="D116" t="s">
        <v>8</v>
      </c>
      <c r="E116" t="s">
        <v>9</v>
      </c>
      <c r="F116" t="s">
        <v>15</v>
      </c>
      <c r="G116" t="s">
        <v>18</v>
      </c>
      <c r="H116">
        <v>0.2</v>
      </c>
      <c r="I116">
        <v>0.2576</v>
      </c>
      <c r="J116">
        <v>0.47</v>
      </c>
      <c r="K116">
        <v>0</v>
      </c>
      <c r="L116">
        <v>1</v>
      </c>
      <c r="M116">
        <v>18</v>
      </c>
      <c r="N116">
        <v>19</v>
      </c>
    </row>
    <row r="117" spans="1:14" x14ac:dyDescent="0.3">
      <c r="A117">
        <v>116</v>
      </c>
      <c r="B117">
        <v>40549</v>
      </c>
      <c r="C117">
        <v>0</v>
      </c>
      <c r="D117" t="s">
        <v>8</v>
      </c>
      <c r="E117" t="s">
        <v>9</v>
      </c>
      <c r="F117" t="s">
        <v>16</v>
      </c>
      <c r="G117" t="s">
        <v>18</v>
      </c>
      <c r="H117">
        <v>0.18</v>
      </c>
      <c r="I117">
        <v>0.2424</v>
      </c>
      <c r="J117">
        <v>0.55000000000000004</v>
      </c>
      <c r="K117">
        <v>0</v>
      </c>
      <c r="L117">
        <v>0</v>
      </c>
      <c r="M117">
        <v>11</v>
      </c>
      <c r="N117">
        <v>11</v>
      </c>
    </row>
    <row r="118" spans="1:14" x14ac:dyDescent="0.3">
      <c r="A118">
        <v>117</v>
      </c>
      <c r="B118">
        <v>40549</v>
      </c>
      <c r="C118">
        <v>4.1666666666666741E-2</v>
      </c>
      <c r="D118" t="s">
        <v>8</v>
      </c>
      <c r="E118" t="s">
        <v>9</v>
      </c>
      <c r="F118" t="s">
        <v>16</v>
      </c>
      <c r="G118" t="s">
        <v>18</v>
      </c>
      <c r="H118">
        <v>0.16</v>
      </c>
      <c r="I118">
        <v>0.2273</v>
      </c>
      <c r="J118">
        <v>0.64</v>
      </c>
      <c r="K118">
        <v>0</v>
      </c>
      <c r="L118">
        <v>0</v>
      </c>
      <c r="M118">
        <v>4</v>
      </c>
      <c r="N118">
        <v>4</v>
      </c>
    </row>
    <row r="119" spans="1:14" x14ac:dyDescent="0.3">
      <c r="A119">
        <v>118</v>
      </c>
      <c r="B119">
        <v>40549</v>
      </c>
      <c r="C119">
        <v>8.3333333333333259E-2</v>
      </c>
      <c r="D119" t="s">
        <v>8</v>
      </c>
      <c r="E119" t="s">
        <v>9</v>
      </c>
      <c r="F119" t="s">
        <v>16</v>
      </c>
      <c r="G119" t="s">
        <v>18</v>
      </c>
      <c r="H119">
        <v>0.16</v>
      </c>
      <c r="I119">
        <v>0.2273</v>
      </c>
      <c r="J119">
        <v>0.64</v>
      </c>
      <c r="K119">
        <v>0</v>
      </c>
      <c r="L119">
        <v>0</v>
      </c>
      <c r="M119">
        <v>2</v>
      </c>
      <c r="N119">
        <v>2</v>
      </c>
    </row>
    <row r="120" spans="1:14" x14ac:dyDescent="0.3">
      <c r="A120">
        <v>119</v>
      </c>
      <c r="B120">
        <v>40549</v>
      </c>
      <c r="C120">
        <v>0.16666666666666674</v>
      </c>
      <c r="D120" t="s">
        <v>8</v>
      </c>
      <c r="E120" t="s">
        <v>9</v>
      </c>
      <c r="F120" t="s">
        <v>16</v>
      </c>
      <c r="G120" t="s">
        <v>19</v>
      </c>
      <c r="H120">
        <v>0.16</v>
      </c>
      <c r="I120">
        <v>0.19700000000000001</v>
      </c>
      <c r="J120">
        <v>0.64</v>
      </c>
      <c r="K120">
        <v>8.9599999999999999E-2</v>
      </c>
      <c r="L120">
        <v>0</v>
      </c>
      <c r="M120">
        <v>1</v>
      </c>
      <c r="N120">
        <v>1</v>
      </c>
    </row>
    <row r="121" spans="1:14" x14ac:dyDescent="0.3">
      <c r="A121">
        <v>120</v>
      </c>
      <c r="B121">
        <v>40549</v>
      </c>
      <c r="C121">
        <v>0.20833333333333326</v>
      </c>
      <c r="D121" t="s">
        <v>8</v>
      </c>
      <c r="E121" t="s">
        <v>9</v>
      </c>
      <c r="F121" t="s">
        <v>16</v>
      </c>
      <c r="G121" t="s">
        <v>19</v>
      </c>
      <c r="H121">
        <v>0.14000000000000001</v>
      </c>
      <c r="I121">
        <v>0.18179999999999999</v>
      </c>
      <c r="J121">
        <v>0.69</v>
      </c>
      <c r="K121">
        <v>8.9599999999999999E-2</v>
      </c>
      <c r="L121">
        <v>0</v>
      </c>
      <c r="M121">
        <v>4</v>
      </c>
      <c r="N121">
        <v>4</v>
      </c>
    </row>
    <row r="122" spans="1:14" x14ac:dyDescent="0.3">
      <c r="A122">
        <v>121</v>
      </c>
      <c r="B122">
        <v>40549</v>
      </c>
      <c r="C122">
        <v>0.25</v>
      </c>
      <c r="D122" t="s">
        <v>8</v>
      </c>
      <c r="E122" t="s">
        <v>9</v>
      </c>
      <c r="F122" t="s">
        <v>16</v>
      </c>
      <c r="G122" t="s">
        <v>19</v>
      </c>
      <c r="H122">
        <v>0.14000000000000001</v>
      </c>
      <c r="I122">
        <v>0.16669999999999999</v>
      </c>
      <c r="J122">
        <v>0.63</v>
      </c>
      <c r="K122">
        <v>0.1045</v>
      </c>
      <c r="L122">
        <v>0</v>
      </c>
      <c r="M122">
        <v>36</v>
      </c>
      <c r="N122">
        <v>36</v>
      </c>
    </row>
    <row r="123" spans="1:14" x14ac:dyDescent="0.3">
      <c r="A123">
        <v>122</v>
      </c>
      <c r="B123">
        <v>40549</v>
      </c>
      <c r="C123">
        <v>0.29166666666666674</v>
      </c>
      <c r="D123" t="s">
        <v>8</v>
      </c>
      <c r="E123" t="s">
        <v>9</v>
      </c>
      <c r="F123" t="s">
        <v>16</v>
      </c>
      <c r="G123" t="s">
        <v>19</v>
      </c>
      <c r="H123">
        <v>0.16</v>
      </c>
      <c r="I123">
        <v>0.2273</v>
      </c>
      <c r="J123">
        <v>0.59</v>
      </c>
      <c r="K123">
        <v>0</v>
      </c>
      <c r="L123">
        <v>0</v>
      </c>
      <c r="M123">
        <v>95</v>
      </c>
      <c r="N123">
        <v>95</v>
      </c>
    </row>
    <row r="124" spans="1:14" x14ac:dyDescent="0.3">
      <c r="A124">
        <v>123</v>
      </c>
      <c r="B124">
        <v>40549</v>
      </c>
      <c r="C124">
        <v>0.33333333333333326</v>
      </c>
      <c r="D124" t="s">
        <v>8</v>
      </c>
      <c r="E124" t="s">
        <v>9</v>
      </c>
      <c r="F124" t="s">
        <v>16</v>
      </c>
      <c r="G124" t="s">
        <v>18</v>
      </c>
      <c r="H124">
        <v>0.16</v>
      </c>
      <c r="I124">
        <v>0.2273</v>
      </c>
      <c r="J124">
        <v>0.59</v>
      </c>
      <c r="K124">
        <v>0</v>
      </c>
      <c r="L124">
        <v>3</v>
      </c>
      <c r="M124">
        <v>216</v>
      </c>
      <c r="N124">
        <v>219</v>
      </c>
    </row>
    <row r="125" spans="1:14" x14ac:dyDescent="0.3">
      <c r="A125">
        <v>124</v>
      </c>
      <c r="B125">
        <v>40549</v>
      </c>
      <c r="C125">
        <v>0.375</v>
      </c>
      <c r="D125" t="s">
        <v>8</v>
      </c>
      <c r="E125" t="s">
        <v>9</v>
      </c>
      <c r="F125" t="s">
        <v>16</v>
      </c>
      <c r="G125" t="s">
        <v>19</v>
      </c>
      <c r="H125">
        <v>0.18</v>
      </c>
      <c r="I125">
        <v>0.2424</v>
      </c>
      <c r="J125">
        <v>0.51</v>
      </c>
      <c r="K125">
        <v>0</v>
      </c>
      <c r="L125">
        <v>6</v>
      </c>
      <c r="M125">
        <v>116</v>
      </c>
      <c r="N125">
        <v>122</v>
      </c>
    </row>
    <row r="126" spans="1:14" x14ac:dyDescent="0.3">
      <c r="A126">
        <v>125</v>
      </c>
      <c r="B126">
        <v>40549</v>
      </c>
      <c r="C126">
        <v>0.41666666666666674</v>
      </c>
      <c r="D126" t="s">
        <v>8</v>
      </c>
      <c r="E126" t="s">
        <v>9</v>
      </c>
      <c r="F126" t="s">
        <v>16</v>
      </c>
      <c r="G126" t="s">
        <v>18</v>
      </c>
      <c r="H126">
        <v>0.2</v>
      </c>
      <c r="I126">
        <v>0.2576</v>
      </c>
      <c r="J126">
        <v>0.47</v>
      </c>
      <c r="K126">
        <v>0</v>
      </c>
      <c r="L126">
        <v>3</v>
      </c>
      <c r="M126">
        <v>42</v>
      </c>
      <c r="N126">
        <v>45</v>
      </c>
    </row>
    <row r="127" spans="1:14" x14ac:dyDescent="0.3">
      <c r="A127">
        <v>126</v>
      </c>
      <c r="B127">
        <v>40549</v>
      </c>
      <c r="C127">
        <v>0.45833333333333326</v>
      </c>
      <c r="D127" t="s">
        <v>8</v>
      </c>
      <c r="E127" t="s">
        <v>9</v>
      </c>
      <c r="F127" t="s">
        <v>16</v>
      </c>
      <c r="G127" t="s">
        <v>18</v>
      </c>
      <c r="H127">
        <v>0.22</v>
      </c>
      <c r="I127">
        <v>0.2576</v>
      </c>
      <c r="J127">
        <v>0.44</v>
      </c>
      <c r="K127">
        <v>8.9599999999999999E-2</v>
      </c>
      <c r="L127">
        <v>2</v>
      </c>
      <c r="M127">
        <v>57</v>
      </c>
      <c r="N127">
        <v>59</v>
      </c>
    </row>
    <row r="128" spans="1:14" x14ac:dyDescent="0.3">
      <c r="A128">
        <v>127</v>
      </c>
      <c r="B128">
        <v>40549</v>
      </c>
      <c r="C128">
        <v>0.5</v>
      </c>
      <c r="D128" t="s">
        <v>8</v>
      </c>
      <c r="E128" t="s">
        <v>9</v>
      </c>
      <c r="F128" t="s">
        <v>16</v>
      </c>
      <c r="G128" t="s">
        <v>18</v>
      </c>
      <c r="H128">
        <v>0.26</v>
      </c>
      <c r="I128">
        <v>0.28789999999999999</v>
      </c>
      <c r="J128">
        <v>0.35</v>
      </c>
      <c r="K128">
        <v>0</v>
      </c>
      <c r="L128">
        <v>6</v>
      </c>
      <c r="M128">
        <v>78</v>
      </c>
      <c r="N128">
        <v>84</v>
      </c>
    </row>
    <row r="129" spans="1:14" x14ac:dyDescent="0.3">
      <c r="A129">
        <v>128</v>
      </c>
      <c r="B129">
        <v>40549</v>
      </c>
      <c r="C129">
        <v>0.54166666666666674</v>
      </c>
      <c r="D129" t="s">
        <v>8</v>
      </c>
      <c r="E129" t="s">
        <v>9</v>
      </c>
      <c r="F129" t="s">
        <v>16</v>
      </c>
      <c r="G129" t="s">
        <v>18</v>
      </c>
      <c r="H129">
        <v>0.26</v>
      </c>
      <c r="I129">
        <v>0.2727</v>
      </c>
      <c r="J129">
        <v>0.35</v>
      </c>
      <c r="K129">
        <v>0.1045</v>
      </c>
      <c r="L129">
        <v>12</v>
      </c>
      <c r="M129">
        <v>55</v>
      </c>
      <c r="N129">
        <v>67</v>
      </c>
    </row>
    <row r="130" spans="1:14" x14ac:dyDescent="0.3">
      <c r="A130">
        <v>129</v>
      </c>
      <c r="B130">
        <v>40549</v>
      </c>
      <c r="C130">
        <v>0.58333333333333326</v>
      </c>
      <c r="D130" t="s">
        <v>8</v>
      </c>
      <c r="E130" t="s">
        <v>9</v>
      </c>
      <c r="F130" t="s">
        <v>16</v>
      </c>
      <c r="G130" t="s">
        <v>18</v>
      </c>
      <c r="H130">
        <v>0.28000000000000003</v>
      </c>
      <c r="I130">
        <v>0.2727</v>
      </c>
      <c r="J130">
        <v>0.36</v>
      </c>
      <c r="K130">
        <v>0.16420000000000001</v>
      </c>
      <c r="L130">
        <v>11</v>
      </c>
      <c r="M130">
        <v>59</v>
      </c>
      <c r="N130">
        <v>70</v>
      </c>
    </row>
    <row r="131" spans="1:14" x14ac:dyDescent="0.3">
      <c r="A131">
        <v>130</v>
      </c>
      <c r="B131">
        <v>40549</v>
      </c>
      <c r="C131">
        <v>0.625</v>
      </c>
      <c r="D131" t="s">
        <v>8</v>
      </c>
      <c r="E131" t="s">
        <v>9</v>
      </c>
      <c r="F131" t="s">
        <v>16</v>
      </c>
      <c r="G131" t="s">
        <v>18</v>
      </c>
      <c r="H131">
        <v>0.28000000000000003</v>
      </c>
      <c r="I131">
        <v>0.2727</v>
      </c>
      <c r="J131">
        <v>0.36</v>
      </c>
      <c r="K131">
        <v>0</v>
      </c>
      <c r="L131">
        <v>8</v>
      </c>
      <c r="M131">
        <v>54</v>
      </c>
      <c r="N131">
        <v>62</v>
      </c>
    </row>
    <row r="132" spans="1:14" x14ac:dyDescent="0.3">
      <c r="A132">
        <v>131</v>
      </c>
      <c r="B132">
        <v>40549</v>
      </c>
      <c r="C132">
        <v>0.66666666666666674</v>
      </c>
      <c r="D132" t="s">
        <v>8</v>
      </c>
      <c r="E132" t="s">
        <v>9</v>
      </c>
      <c r="F132" t="s">
        <v>16</v>
      </c>
      <c r="G132" t="s">
        <v>18</v>
      </c>
      <c r="H132">
        <v>0.26</v>
      </c>
      <c r="I132">
        <v>0.2576</v>
      </c>
      <c r="J132">
        <v>0.38</v>
      </c>
      <c r="K132">
        <v>0.16420000000000001</v>
      </c>
      <c r="L132">
        <v>12</v>
      </c>
      <c r="M132">
        <v>74</v>
      </c>
      <c r="N132">
        <v>86</v>
      </c>
    </row>
    <row r="133" spans="1:14" x14ac:dyDescent="0.3">
      <c r="A133">
        <v>132</v>
      </c>
      <c r="B133">
        <v>40549</v>
      </c>
      <c r="C133">
        <v>0.70833333333333326</v>
      </c>
      <c r="D133" t="s">
        <v>8</v>
      </c>
      <c r="E133" t="s">
        <v>9</v>
      </c>
      <c r="F133" t="s">
        <v>16</v>
      </c>
      <c r="G133" t="s">
        <v>18</v>
      </c>
      <c r="H133">
        <v>0.22</v>
      </c>
      <c r="I133">
        <v>0.2273</v>
      </c>
      <c r="J133">
        <v>0.51</v>
      </c>
      <c r="K133">
        <v>0.16420000000000001</v>
      </c>
      <c r="L133">
        <v>9</v>
      </c>
      <c r="M133">
        <v>163</v>
      </c>
      <c r="N133">
        <v>172</v>
      </c>
    </row>
    <row r="134" spans="1:14" x14ac:dyDescent="0.3">
      <c r="A134">
        <v>133</v>
      </c>
      <c r="B134">
        <v>40549</v>
      </c>
      <c r="C134">
        <v>0.75</v>
      </c>
      <c r="D134" t="s">
        <v>8</v>
      </c>
      <c r="E134" t="s">
        <v>9</v>
      </c>
      <c r="F134" t="s">
        <v>16</v>
      </c>
      <c r="G134" t="s">
        <v>18</v>
      </c>
      <c r="H134">
        <v>0.22</v>
      </c>
      <c r="I134">
        <v>0.2273</v>
      </c>
      <c r="J134">
        <v>0.51</v>
      </c>
      <c r="K134">
        <v>0.1343</v>
      </c>
      <c r="L134">
        <v>5</v>
      </c>
      <c r="M134">
        <v>158</v>
      </c>
      <c r="N134">
        <v>163</v>
      </c>
    </row>
    <row r="135" spans="1:14" x14ac:dyDescent="0.3">
      <c r="A135">
        <v>134</v>
      </c>
      <c r="B135">
        <v>40549</v>
      </c>
      <c r="C135">
        <v>0.79166666666666674</v>
      </c>
      <c r="D135" t="s">
        <v>8</v>
      </c>
      <c r="E135" t="s">
        <v>9</v>
      </c>
      <c r="F135" t="s">
        <v>16</v>
      </c>
      <c r="G135" t="s">
        <v>18</v>
      </c>
      <c r="H135">
        <v>0.22</v>
      </c>
      <c r="I135">
        <v>0.2576</v>
      </c>
      <c r="J135">
        <v>0.55000000000000004</v>
      </c>
      <c r="K135">
        <v>8.9599999999999999E-2</v>
      </c>
      <c r="L135">
        <v>3</v>
      </c>
      <c r="M135">
        <v>109</v>
      </c>
      <c r="N135">
        <v>112</v>
      </c>
    </row>
    <row r="136" spans="1:14" x14ac:dyDescent="0.3">
      <c r="A136">
        <v>135</v>
      </c>
      <c r="B136">
        <v>40549</v>
      </c>
      <c r="C136">
        <v>0.83333333333333326</v>
      </c>
      <c r="D136" t="s">
        <v>8</v>
      </c>
      <c r="E136" t="s">
        <v>9</v>
      </c>
      <c r="F136" t="s">
        <v>16</v>
      </c>
      <c r="G136" t="s">
        <v>18</v>
      </c>
      <c r="H136">
        <v>0.2</v>
      </c>
      <c r="I136">
        <v>0.21210000000000001</v>
      </c>
      <c r="J136">
        <v>0.51</v>
      </c>
      <c r="K136">
        <v>0.16420000000000001</v>
      </c>
      <c r="L136">
        <v>3</v>
      </c>
      <c r="M136">
        <v>66</v>
      </c>
      <c r="N136">
        <v>69</v>
      </c>
    </row>
    <row r="137" spans="1:14" x14ac:dyDescent="0.3">
      <c r="A137">
        <v>136</v>
      </c>
      <c r="B137">
        <v>40549</v>
      </c>
      <c r="C137">
        <v>0.875</v>
      </c>
      <c r="D137" t="s">
        <v>8</v>
      </c>
      <c r="E137" t="s">
        <v>9</v>
      </c>
      <c r="F137" t="s">
        <v>16</v>
      </c>
      <c r="G137" t="s">
        <v>19</v>
      </c>
      <c r="H137">
        <v>0.22</v>
      </c>
      <c r="I137">
        <v>0.21210000000000001</v>
      </c>
      <c r="J137">
        <v>0.55000000000000004</v>
      </c>
      <c r="K137">
        <v>0.22389999999999999</v>
      </c>
      <c r="L137">
        <v>0</v>
      </c>
      <c r="M137">
        <v>48</v>
      </c>
      <c r="N137">
        <v>48</v>
      </c>
    </row>
    <row r="138" spans="1:14" x14ac:dyDescent="0.3">
      <c r="A138">
        <v>137</v>
      </c>
      <c r="B138">
        <v>40549</v>
      </c>
      <c r="C138">
        <v>0.91666666666666674</v>
      </c>
      <c r="D138" t="s">
        <v>8</v>
      </c>
      <c r="E138" t="s">
        <v>9</v>
      </c>
      <c r="F138" t="s">
        <v>16</v>
      </c>
      <c r="G138" t="s">
        <v>19</v>
      </c>
      <c r="H138">
        <v>0.22</v>
      </c>
      <c r="I138">
        <v>0.21210000000000001</v>
      </c>
      <c r="J138">
        <v>0.51</v>
      </c>
      <c r="K138">
        <v>0.28360000000000002</v>
      </c>
      <c r="L138">
        <v>1</v>
      </c>
      <c r="M138">
        <v>51</v>
      </c>
      <c r="N138">
        <v>52</v>
      </c>
    </row>
    <row r="139" spans="1:14" x14ac:dyDescent="0.3">
      <c r="A139">
        <v>138</v>
      </c>
      <c r="B139">
        <v>40549</v>
      </c>
      <c r="C139">
        <v>0.95833333333333326</v>
      </c>
      <c r="D139" t="s">
        <v>8</v>
      </c>
      <c r="E139" t="s">
        <v>9</v>
      </c>
      <c r="F139" t="s">
        <v>16</v>
      </c>
      <c r="G139" t="s">
        <v>19</v>
      </c>
      <c r="H139">
        <v>0.2</v>
      </c>
      <c r="I139">
        <v>0.19700000000000001</v>
      </c>
      <c r="J139">
        <v>0.59</v>
      </c>
      <c r="K139">
        <v>0.19400000000000001</v>
      </c>
      <c r="L139">
        <v>4</v>
      </c>
      <c r="M139">
        <v>19</v>
      </c>
      <c r="N139">
        <v>23</v>
      </c>
    </row>
    <row r="140" spans="1:14" x14ac:dyDescent="0.3">
      <c r="A140">
        <v>139</v>
      </c>
      <c r="B140">
        <v>40550</v>
      </c>
      <c r="C140">
        <v>0</v>
      </c>
      <c r="D140" t="s">
        <v>8</v>
      </c>
      <c r="E140" t="s">
        <v>9</v>
      </c>
      <c r="F140" t="s">
        <v>17</v>
      </c>
      <c r="G140" t="s">
        <v>19</v>
      </c>
      <c r="H140">
        <v>0.2</v>
      </c>
      <c r="I140">
        <v>0.19700000000000001</v>
      </c>
      <c r="J140">
        <v>0.64</v>
      </c>
      <c r="K140">
        <v>0.19400000000000001</v>
      </c>
      <c r="L140">
        <v>4</v>
      </c>
      <c r="M140">
        <v>13</v>
      </c>
      <c r="N140">
        <v>17</v>
      </c>
    </row>
    <row r="141" spans="1:14" x14ac:dyDescent="0.3">
      <c r="A141">
        <v>140</v>
      </c>
      <c r="B141">
        <v>40550</v>
      </c>
      <c r="C141">
        <v>4.1666666666666741E-2</v>
      </c>
      <c r="D141" t="s">
        <v>8</v>
      </c>
      <c r="E141" t="s">
        <v>9</v>
      </c>
      <c r="F141" t="s">
        <v>17</v>
      </c>
      <c r="G141" t="s">
        <v>19</v>
      </c>
      <c r="H141">
        <v>0.2</v>
      </c>
      <c r="I141">
        <v>0.19700000000000001</v>
      </c>
      <c r="J141">
        <v>0.69</v>
      </c>
      <c r="K141">
        <v>0.22389999999999999</v>
      </c>
      <c r="L141">
        <v>2</v>
      </c>
      <c r="M141">
        <v>5</v>
      </c>
      <c r="N141">
        <v>7</v>
      </c>
    </row>
    <row r="142" spans="1:14" x14ac:dyDescent="0.3">
      <c r="A142">
        <v>141</v>
      </c>
      <c r="B142">
        <v>40550</v>
      </c>
      <c r="C142">
        <v>8.3333333333333259E-2</v>
      </c>
      <c r="D142" t="s">
        <v>8</v>
      </c>
      <c r="E142" t="s">
        <v>9</v>
      </c>
      <c r="F142" t="s">
        <v>17</v>
      </c>
      <c r="G142" t="s">
        <v>19</v>
      </c>
      <c r="H142">
        <v>0.2</v>
      </c>
      <c r="I142">
        <v>0.19700000000000001</v>
      </c>
      <c r="J142">
        <v>0.69</v>
      </c>
      <c r="K142">
        <v>0.22389999999999999</v>
      </c>
      <c r="L142">
        <v>0</v>
      </c>
      <c r="M142">
        <v>1</v>
      </c>
      <c r="N142">
        <v>1</v>
      </c>
    </row>
    <row r="143" spans="1:14" x14ac:dyDescent="0.3">
      <c r="A143">
        <v>142</v>
      </c>
      <c r="B143">
        <v>40550</v>
      </c>
      <c r="C143">
        <v>0.16666666666666674</v>
      </c>
      <c r="D143" t="s">
        <v>8</v>
      </c>
      <c r="E143" t="s">
        <v>9</v>
      </c>
      <c r="F143" t="s">
        <v>17</v>
      </c>
      <c r="G143" t="s">
        <v>19</v>
      </c>
      <c r="H143">
        <v>0.2</v>
      </c>
      <c r="I143">
        <v>0.21210000000000001</v>
      </c>
      <c r="J143">
        <v>0.69</v>
      </c>
      <c r="K143">
        <v>0.1343</v>
      </c>
      <c r="L143">
        <v>0</v>
      </c>
      <c r="M143">
        <v>1</v>
      </c>
      <c r="N143">
        <v>1</v>
      </c>
    </row>
    <row r="144" spans="1:14" x14ac:dyDescent="0.3">
      <c r="A144">
        <v>143</v>
      </c>
      <c r="B144">
        <v>40550</v>
      </c>
      <c r="C144">
        <v>0.20833333333333326</v>
      </c>
      <c r="D144" t="s">
        <v>8</v>
      </c>
      <c r="E144" t="s">
        <v>9</v>
      </c>
      <c r="F144" t="s">
        <v>17</v>
      </c>
      <c r="G144" t="s">
        <v>20</v>
      </c>
      <c r="H144">
        <v>0.22</v>
      </c>
      <c r="I144">
        <v>0.2727</v>
      </c>
      <c r="J144">
        <v>0.55000000000000004</v>
      </c>
      <c r="K144">
        <v>0</v>
      </c>
      <c r="L144">
        <v>0</v>
      </c>
      <c r="M144">
        <v>5</v>
      </c>
      <c r="N144">
        <v>5</v>
      </c>
    </row>
    <row r="145" spans="1:14" x14ac:dyDescent="0.3">
      <c r="A145">
        <v>144</v>
      </c>
      <c r="B145">
        <v>40550</v>
      </c>
      <c r="C145">
        <v>0.25</v>
      </c>
      <c r="D145" t="s">
        <v>8</v>
      </c>
      <c r="E145" t="s">
        <v>9</v>
      </c>
      <c r="F145" t="s">
        <v>17</v>
      </c>
      <c r="G145" t="s">
        <v>19</v>
      </c>
      <c r="H145">
        <v>0.2</v>
      </c>
      <c r="I145">
        <v>0.2576</v>
      </c>
      <c r="J145">
        <v>0.69</v>
      </c>
      <c r="K145">
        <v>0</v>
      </c>
      <c r="L145">
        <v>8</v>
      </c>
      <c r="M145">
        <v>26</v>
      </c>
      <c r="N145">
        <v>34</v>
      </c>
    </row>
    <row r="146" spans="1:14" x14ac:dyDescent="0.3">
      <c r="A146">
        <v>145</v>
      </c>
      <c r="B146">
        <v>40550</v>
      </c>
      <c r="C146">
        <v>0.29166666666666674</v>
      </c>
      <c r="D146" t="s">
        <v>8</v>
      </c>
      <c r="E146" t="s">
        <v>9</v>
      </c>
      <c r="F146" t="s">
        <v>17</v>
      </c>
      <c r="G146" t="s">
        <v>18</v>
      </c>
      <c r="H146">
        <v>0.2</v>
      </c>
      <c r="I146">
        <v>0.21210000000000001</v>
      </c>
      <c r="J146">
        <v>0.69</v>
      </c>
      <c r="K146">
        <v>0.1343</v>
      </c>
      <c r="L146">
        <v>8</v>
      </c>
      <c r="M146">
        <v>76</v>
      </c>
      <c r="N146">
        <v>84</v>
      </c>
    </row>
    <row r="147" spans="1:14" x14ac:dyDescent="0.3">
      <c r="A147">
        <v>146</v>
      </c>
      <c r="B147">
        <v>40550</v>
      </c>
      <c r="C147">
        <v>0.33333333333333326</v>
      </c>
      <c r="D147" t="s">
        <v>8</v>
      </c>
      <c r="E147" t="s">
        <v>9</v>
      </c>
      <c r="F147" t="s">
        <v>17</v>
      </c>
      <c r="G147" t="s">
        <v>18</v>
      </c>
      <c r="H147">
        <v>0.2</v>
      </c>
      <c r="I147">
        <v>0.19700000000000001</v>
      </c>
      <c r="J147">
        <v>0.51</v>
      </c>
      <c r="K147">
        <v>0.25369999999999998</v>
      </c>
      <c r="L147">
        <v>20</v>
      </c>
      <c r="M147">
        <v>190</v>
      </c>
      <c r="N147">
        <v>210</v>
      </c>
    </row>
    <row r="148" spans="1:14" x14ac:dyDescent="0.3">
      <c r="A148">
        <v>147</v>
      </c>
      <c r="B148">
        <v>40550</v>
      </c>
      <c r="C148">
        <v>0.375</v>
      </c>
      <c r="D148" t="s">
        <v>8</v>
      </c>
      <c r="E148" t="s">
        <v>9</v>
      </c>
      <c r="F148" t="s">
        <v>17</v>
      </c>
      <c r="G148" t="s">
        <v>18</v>
      </c>
      <c r="H148">
        <v>0.2</v>
      </c>
      <c r="I148">
        <v>0.18179999999999999</v>
      </c>
      <c r="J148">
        <v>0.47</v>
      </c>
      <c r="K148">
        <v>0.29849999999999999</v>
      </c>
      <c r="L148">
        <v>9</v>
      </c>
      <c r="M148">
        <v>125</v>
      </c>
      <c r="N148">
        <v>134</v>
      </c>
    </row>
    <row r="149" spans="1:14" x14ac:dyDescent="0.3">
      <c r="A149">
        <v>148</v>
      </c>
      <c r="B149">
        <v>40550</v>
      </c>
      <c r="C149">
        <v>0.41666666666666674</v>
      </c>
      <c r="D149" t="s">
        <v>8</v>
      </c>
      <c r="E149" t="s">
        <v>9</v>
      </c>
      <c r="F149" t="s">
        <v>17</v>
      </c>
      <c r="G149" t="s">
        <v>18</v>
      </c>
      <c r="H149">
        <v>0.22</v>
      </c>
      <c r="I149">
        <v>0.19700000000000001</v>
      </c>
      <c r="J149">
        <v>0.37</v>
      </c>
      <c r="K149">
        <v>0.32840000000000003</v>
      </c>
      <c r="L149">
        <v>16</v>
      </c>
      <c r="M149">
        <v>47</v>
      </c>
      <c r="N149">
        <v>63</v>
      </c>
    </row>
    <row r="150" spans="1:14" x14ac:dyDescent="0.3">
      <c r="A150">
        <v>149</v>
      </c>
      <c r="B150">
        <v>40550</v>
      </c>
      <c r="C150">
        <v>0.45833333333333326</v>
      </c>
      <c r="D150" t="s">
        <v>8</v>
      </c>
      <c r="E150" t="s">
        <v>9</v>
      </c>
      <c r="F150" t="s">
        <v>17</v>
      </c>
      <c r="G150" t="s">
        <v>19</v>
      </c>
      <c r="H150">
        <v>0.2</v>
      </c>
      <c r="I150">
        <v>0.19700000000000001</v>
      </c>
      <c r="J150">
        <v>0.4</v>
      </c>
      <c r="K150">
        <v>0.22389999999999999</v>
      </c>
      <c r="L150">
        <v>19</v>
      </c>
      <c r="M150">
        <v>48</v>
      </c>
      <c r="N150">
        <v>67</v>
      </c>
    </row>
    <row r="151" spans="1:14" x14ac:dyDescent="0.3">
      <c r="A151">
        <v>150</v>
      </c>
      <c r="B151">
        <v>40550</v>
      </c>
      <c r="C151">
        <v>0.5</v>
      </c>
      <c r="D151" t="s">
        <v>8</v>
      </c>
      <c r="E151" t="s">
        <v>9</v>
      </c>
      <c r="F151" t="s">
        <v>17</v>
      </c>
      <c r="G151" t="s">
        <v>19</v>
      </c>
      <c r="H151">
        <v>0.2</v>
      </c>
      <c r="I151">
        <v>0.19700000000000001</v>
      </c>
      <c r="J151">
        <v>0.37</v>
      </c>
      <c r="K151">
        <v>0.25369999999999998</v>
      </c>
      <c r="L151">
        <v>9</v>
      </c>
      <c r="M151">
        <v>50</v>
      </c>
      <c r="N151">
        <v>59</v>
      </c>
    </row>
    <row r="152" spans="1:14" x14ac:dyDescent="0.3">
      <c r="A152">
        <v>151</v>
      </c>
      <c r="B152">
        <v>40550</v>
      </c>
      <c r="C152">
        <v>0.54166666666666674</v>
      </c>
      <c r="D152" t="s">
        <v>8</v>
      </c>
      <c r="E152" t="s">
        <v>9</v>
      </c>
      <c r="F152" t="s">
        <v>17</v>
      </c>
      <c r="G152" t="s">
        <v>19</v>
      </c>
      <c r="H152">
        <v>0.2</v>
      </c>
      <c r="I152">
        <v>0.18179999999999999</v>
      </c>
      <c r="J152">
        <v>0.37</v>
      </c>
      <c r="K152">
        <v>0.28360000000000002</v>
      </c>
      <c r="L152">
        <v>9</v>
      </c>
      <c r="M152">
        <v>64</v>
      </c>
      <c r="N152">
        <v>73</v>
      </c>
    </row>
    <row r="153" spans="1:14" x14ac:dyDescent="0.3">
      <c r="A153">
        <v>152</v>
      </c>
      <c r="B153">
        <v>40550</v>
      </c>
      <c r="C153">
        <v>0.58333333333333326</v>
      </c>
      <c r="D153" t="s">
        <v>8</v>
      </c>
      <c r="E153" t="s">
        <v>9</v>
      </c>
      <c r="F153" t="s">
        <v>17</v>
      </c>
      <c r="G153" t="s">
        <v>19</v>
      </c>
      <c r="H153">
        <v>0.2</v>
      </c>
      <c r="I153">
        <v>0.19700000000000001</v>
      </c>
      <c r="J153">
        <v>0.4</v>
      </c>
      <c r="K153">
        <v>0.25369999999999998</v>
      </c>
      <c r="L153">
        <v>7</v>
      </c>
      <c r="M153">
        <v>43</v>
      </c>
      <c r="N153">
        <v>50</v>
      </c>
    </row>
    <row r="154" spans="1:14" x14ac:dyDescent="0.3">
      <c r="A154">
        <v>153</v>
      </c>
      <c r="B154">
        <v>40550</v>
      </c>
      <c r="C154">
        <v>0.625</v>
      </c>
      <c r="D154" t="s">
        <v>8</v>
      </c>
      <c r="E154" t="s">
        <v>9</v>
      </c>
      <c r="F154" t="s">
        <v>17</v>
      </c>
      <c r="G154" t="s">
        <v>19</v>
      </c>
      <c r="H154">
        <v>0.2</v>
      </c>
      <c r="I154">
        <v>0.21210000000000001</v>
      </c>
      <c r="J154">
        <v>0.37</v>
      </c>
      <c r="K154">
        <v>0.16420000000000001</v>
      </c>
      <c r="L154">
        <v>9</v>
      </c>
      <c r="M154">
        <v>63</v>
      </c>
      <c r="N154">
        <v>72</v>
      </c>
    </row>
    <row r="155" spans="1:14" x14ac:dyDescent="0.3">
      <c r="A155">
        <v>154</v>
      </c>
      <c r="B155">
        <v>40550</v>
      </c>
      <c r="C155">
        <v>0.66666666666666674</v>
      </c>
      <c r="D155" t="s">
        <v>8</v>
      </c>
      <c r="E155" t="s">
        <v>9</v>
      </c>
      <c r="F155" t="s">
        <v>17</v>
      </c>
      <c r="G155" t="s">
        <v>19</v>
      </c>
      <c r="H155">
        <v>0.2</v>
      </c>
      <c r="I155">
        <v>0.21210000000000001</v>
      </c>
      <c r="J155">
        <v>0.37</v>
      </c>
      <c r="K155">
        <v>0.16420000000000001</v>
      </c>
      <c r="L155">
        <v>5</v>
      </c>
      <c r="M155">
        <v>82</v>
      </c>
      <c r="N155">
        <v>87</v>
      </c>
    </row>
    <row r="156" spans="1:14" x14ac:dyDescent="0.3">
      <c r="A156">
        <v>155</v>
      </c>
      <c r="B156">
        <v>40550</v>
      </c>
      <c r="C156">
        <v>0.70833333333333326</v>
      </c>
      <c r="D156" t="s">
        <v>8</v>
      </c>
      <c r="E156" t="s">
        <v>9</v>
      </c>
      <c r="F156" t="s">
        <v>17</v>
      </c>
      <c r="G156" t="s">
        <v>19</v>
      </c>
      <c r="H156">
        <v>0.2</v>
      </c>
      <c r="I156">
        <v>0.2576</v>
      </c>
      <c r="J156">
        <v>0.37</v>
      </c>
      <c r="K156">
        <v>0</v>
      </c>
      <c r="L156">
        <v>9</v>
      </c>
      <c r="M156">
        <v>178</v>
      </c>
      <c r="N156">
        <v>187</v>
      </c>
    </row>
    <row r="157" spans="1:14" x14ac:dyDescent="0.3">
      <c r="A157">
        <v>156</v>
      </c>
      <c r="B157">
        <v>40550</v>
      </c>
      <c r="C157">
        <v>0.75</v>
      </c>
      <c r="D157" t="s">
        <v>8</v>
      </c>
      <c r="E157" t="s">
        <v>9</v>
      </c>
      <c r="F157" t="s">
        <v>17</v>
      </c>
      <c r="G157" t="s">
        <v>18</v>
      </c>
      <c r="H157">
        <v>0.2</v>
      </c>
      <c r="I157">
        <v>0.2273</v>
      </c>
      <c r="J157">
        <v>0.4</v>
      </c>
      <c r="K157">
        <v>8.9599999999999999E-2</v>
      </c>
      <c r="L157">
        <v>7</v>
      </c>
      <c r="M157">
        <v>116</v>
      </c>
      <c r="N157">
        <v>123</v>
      </c>
    </row>
    <row r="158" spans="1:14" x14ac:dyDescent="0.3">
      <c r="A158">
        <v>157</v>
      </c>
      <c r="B158">
        <v>40550</v>
      </c>
      <c r="C158">
        <v>0.79166666666666674</v>
      </c>
      <c r="D158" t="s">
        <v>8</v>
      </c>
      <c r="E158" t="s">
        <v>9</v>
      </c>
      <c r="F158" t="s">
        <v>17</v>
      </c>
      <c r="G158" t="s">
        <v>18</v>
      </c>
      <c r="H158">
        <v>0.16</v>
      </c>
      <c r="I158">
        <v>0.19700000000000001</v>
      </c>
      <c r="J158">
        <v>0.55000000000000004</v>
      </c>
      <c r="K158">
        <v>8.9599999999999999E-2</v>
      </c>
      <c r="L158">
        <v>3</v>
      </c>
      <c r="M158">
        <v>92</v>
      </c>
      <c r="N158">
        <v>95</v>
      </c>
    </row>
    <row r="159" spans="1:14" x14ac:dyDescent="0.3">
      <c r="A159">
        <v>158</v>
      </c>
      <c r="B159">
        <v>40550</v>
      </c>
      <c r="C159">
        <v>0.83333333333333326</v>
      </c>
      <c r="D159" t="s">
        <v>8</v>
      </c>
      <c r="E159" t="s">
        <v>9</v>
      </c>
      <c r="F159" t="s">
        <v>17</v>
      </c>
      <c r="G159" t="s">
        <v>18</v>
      </c>
      <c r="H159">
        <v>0.18</v>
      </c>
      <c r="I159">
        <v>0.21210000000000001</v>
      </c>
      <c r="J159">
        <v>0.47</v>
      </c>
      <c r="K159">
        <v>0.1045</v>
      </c>
      <c r="L159">
        <v>1</v>
      </c>
      <c r="M159">
        <v>50</v>
      </c>
      <c r="N159">
        <v>51</v>
      </c>
    </row>
    <row r="160" spans="1:14" x14ac:dyDescent="0.3">
      <c r="A160">
        <v>159</v>
      </c>
      <c r="B160">
        <v>40550</v>
      </c>
      <c r="C160">
        <v>0.875</v>
      </c>
      <c r="D160" t="s">
        <v>8</v>
      </c>
      <c r="E160" t="s">
        <v>9</v>
      </c>
      <c r="F160" t="s">
        <v>17</v>
      </c>
      <c r="G160" t="s">
        <v>18</v>
      </c>
      <c r="H160">
        <v>0.18</v>
      </c>
      <c r="I160">
        <v>0.19700000000000001</v>
      </c>
      <c r="J160">
        <v>0.47</v>
      </c>
      <c r="K160">
        <v>0.1343</v>
      </c>
      <c r="L160">
        <v>0</v>
      </c>
      <c r="M160">
        <v>39</v>
      </c>
      <c r="N160">
        <v>39</v>
      </c>
    </row>
    <row r="161" spans="1:14" x14ac:dyDescent="0.3">
      <c r="A161">
        <v>160</v>
      </c>
      <c r="B161">
        <v>40550</v>
      </c>
      <c r="C161">
        <v>0.91666666666666674</v>
      </c>
      <c r="D161" t="s">
        <v>8</v>
      </c>
      <c r="E161" t="s">
        <v>9</v>
      </c>
      <c r="F161" t="s">
        <v>17</v>
      </c>
      <c r="G161" t="s">
        <v>19</v>
      </c>
      <c r="H161">
        <v>0.18</v>
      </c>
      <c r="I161">
        <v>0.19700000000000001</v>
      </c>
      <c r="J161">
        <v>0.43</v>
      </c>
      <c r="K161">
        <v>0.16420000000000001</v>
      </c>
      <c r="L161">
        <v>2</v>
      </c>
      <c r="M161">
        <v>34</v>
      </c>
      <c r="N161">
        <v>36</v>
      </c>
    </row>
    <row r="162" spans="1:14" x14ac:dyDescent="0.3">
      <c r="A162">
        <v>161</v>
      </c>
      <c r="B162">
        <v>40550</v>
      </c>
      <c r="C162">
        <v>0.95833333333333326</v>
      </c>
      <c r="D162" t="s">
        <v>8</v>
      </c>
      <c r="E162" t="s">
        <v>9</v>
      </c>
      <c r="F162" t="s">
        <v>17</v>
      </c>
      <c r="G162" t="s">
        <v>19</v>
      </c>
      <c r="H162">
        <v>0.18</v>
      </c>
      <c r="I162">
        <v>0.19700000000000001</v>
      </c>
      <c r="J162">
        <v>0.51</v>
      </c>
      <c r="K162">
        <v>0.16420000000000001</v>
      </c>
      <c r="L162">
        <v>1</v>
      </c>
      <c r="M162">
        <v>14</v>
      </c>
      <c r="N162">
        <v>15</v>
      </c>
    </row>
    <row r="163" spans="1:14" x14ac:dyDescent="0.3">
      <c r="A163">
        <v>162</v>
      </c>
      <c r="B163">
        <v>40551</v>
      </c>
      <c r="C163">
        <v>0</v>
      </c>
      <c r="D163" t="s">
        <v>8</v>
      </c>
      <c r="E163" t="s">
        <v>9</v>
      </c>
      <c r="F163" t="s">
        <v>11</v>
      </c>
      <c r="G163" t="s">
        <v>19</v>
      </c>
      <c r="H163">
        <v>0.18</v>
      </c>
      <c r="I163">
        <v>0.19700000000000001</v>
      </c>
      <c r="J163">
        <v>0.51</v>
      </c>
      <c r="K163">
        <v>0.16420000000000001</v>
      </c>
      <c r="L163">
        <v>1</v>
      </c>
      <c r="M163">
        <v>24</v>
      </c>
      <c r="N163">
        <v>25</v>
      </c>
    </row>
    <row r="164" spans="1:14" x14ac:dyDescent="0.3">
      <c r="A164">
        <v>163</v>
      </c>
      <c r="B164">
        <v>40551</v>
      </c>
      <c r="C164">
        <v>4.1666666666666741E-2</v>
      </c>
      <c r="D164" t="s">
        <v>8</v>
      </c>
      <c r="E164" t="s">
        <v>9</v>
      </c>
      <c r="F164" t="s">
        <v>11</v>
      </c>
      <c r="G164" t="s">
        <v>19</v>
      </c>
      <c r="H164">
        <v>0.18</v>
      </c>
      <c r="I164">
        <v>0.21210000000000001</v>
      </c>
      <c r="J164">
        <v>0.55000000000000004</v>
      </c>
      <c r="K164">
        <v>8.9599999999999999E-2</v>
      </c>
      <c r="L164">
        <v>1</v>
      </c>
      <c r="M164">
        <v>15</v>
      </c>
      <c r="N164">
        <v>16</v>
      </c>
    </row>
    <row r="165" spans="1:14" x14ac:dyDescent="0.3">
      <c r="A165">
        <v>164</v>
      </c>
      <c r="B165">
        <v>40551</v>
      </c>
      <c r="C165">
        <v>8.3333333333333259E-2</v>
      </c>
      <c r="D165" t="s">
        <v>8</v>
      </c>
      <c r="E165" t="s">
        <v>9</v>
      </c>
      <c r="F165" t="s">
        <v>11</v>
      </c>
      <c r="G165" t="s">
        <v>19</v>
      </c>
      <c r="H165">
        <v>0.18</v>
      </c>
      <c r="I165">
        <v>0.2424</v>
      </c>
      <c r="J165">
        <v>0.55000000000000004</v>
      </c>
      <c r="K165">
        <v>0</v>
      </c>
      <c r="L165">
        <v>3</v>
      </c>
      <c r="M165">
        <v>13</v>
      </c>
      <c r="N165">
        <v>16</v>
      </c>
    </row>
    <row r="166" spans="1:14" x14ac:dyDescent="0.3">
      <c r="A166">
        <v>165</v>
      </c>
      <c r="B166">
        <v>40551</v>
      </c>
      <c r="C166">
        <v>0.125</v>
      </c>
      <c r="D166" t="s">
        <v>8</v>
      </c>
      <c r="E166" t="s">
        <v>9</v>
      </c>
      <c r="F166" t="s">
        <v>11</v>
      </c>
      <c r="G166" t="s">
        <v>20</v>
      </c>
      <c r="H166">
        <v>0.18</v>
      </c>
      <c r="I166">
        <v>0.19700000000000001</v>
      </c>
      <c r="J166">
        <v>0.55000000000000004</v>
      </c>
      <c r="K166">
        <v>0.16420000000000001</v>
      </c>
      <c r="L166">
        <v>0</v>
      </c>
      <c r="M166">
        <v>7</v>
      </c>
      <c r="N166">
        <v>7</v>
      </c>
    </row>
    <row r="167" spans="1:14" x14ac:dyDescent="0.3">
      <c r="A167">
        <v>166</v>
      </c>
      <c r="B167">
        <v>40551</v>
      </c>
      <c r="C167">
        <v>0.16666666666666674</v>
      </c>
      <c r="D167" t="s">
        <v>8</v>
      </c>
      <c r="E167" t="s">
        <v>9</v>
      </c>
      <c r="F167" t="s">
        <v>11</v>
      </c>
      <c r="G167" t="s">
        <v>20</v>
      </c>
      <c r="H167">
        <v>0.18</v>
      </c>
      <c r="I167">
        <v>0.19700000000000001</v>
      </c>
      <c r="J167">
        <v>0.55000000000000004</v>
      </c>
      <c r="K167">
        <v>0.16420000000000001</v>
      </c>
      <c r="L167">
        <v>0</v>
      </c>
      <c r="M167">
        <v>1</v>
      </c>
      <c r="N167">
        <v>1</v>
      </c>
    </row>
    <row r="168" spans="1:14" x14ac:dyDescent="0.3">
      <c r="A168">
        <v>167</v>
      </c>
      <c r="B168">
        <v>40551</v>
      </c>
      <c r="C168">
        <v>0.20833333333333326</v>
      </c>
      <c r="D168" t="s">
        <v>8</v>
      </c>
      <c r="E168" t="s">
        <v>9</v>
      </c>
      <c r="F168" t="s">
        <v>11</v>
      </c>
      <c r="G168" t="s">
        <v>19</v>
      </c>
      <c r="H168">
        <v>0.16</v>
      </c>
      <c r="I168">
        <v>0.16669999999999999</v>
      </c>
      <c r="J168">
        <v>0.74</v>
      </c>
      <c r="K168">
        <v>0.16420000000000001</v>
      </c>
      <c r="L168">
        <v>0</v>
      </c>
      <c r="M168">
        <v>5</v>
      </c>
      <c r="N168">
        <v>5</v>
      </c>
    </row>
    <row r="169" spans="1:14" x14ac:dyDescent="0.3">
      <c r="A169">
        <v>168</v>
      </c>
      <c r="B169">
        <v>40551</v>
      </c>
      <c r="C169">
        <v>0.25</v>
      </c>
      <c r="D169" t="s">
        <v>8</v>
      </c>
      <c r="E169" t="s">
        <v>9</v>
      </c>
      <c r="F169" t="s">
        <v>11</v>
      </c>
      <c r="G169" t="s">
        <v>19</v>
      </c>
      <c r="H169">
        <v>0.16</v>
      </c>
      <c r="I169">
        <v>0.16669999999999999</v>
      </c>
      <c r="J169">
        <v>0.74</v>
      </c>
      <c r="K169">
        <v>0.16420000000000001</v>
      </c>
      <c r="L169">
        <v>0</v>
      </c>
      <c r="M169">
        <v>2</v>
      </c>
      <c r="N169">
        <v>2</v>
      </c>
    </row>
    <row r="170" spans="1:14" x14ac:dyDescent="0.3">
      <c r="A170">
        <v>169</v>
      </c>
      <c r="B170">
        <v>40551</v>
      </c>
      <c r="C170">
        <v>0.29166666666666674</v>
      </c>
      <c r="D170" t="s">
        <v>8</v>
      </c>
      <c r="E170" t="s">
        <v>9</v>
      </c>
      <c r="F170" t="s">
        <v>11</v>
      </c>
      <c r="G170" t="s">
        <v>19</v>
      </c>
      <c r="H170">
        <v>0.16</v>
      </c>
      <c r="I170">
        <v>0.18179999999999999</v>
      </c>
      <c r="J170">
        <v>0.74</v>
      </c>
      <c r="K170">
        <v>0.1045</v>
      </c>
      <c r="L170">
        <v>1</v>
      </c>
      <c r="M170">
        <v>8</v>
      </c>
      <c r="N170">
        <v>9</v>
      </c>
    </row>
    <row r="171" spans="1:14" x14ac:dyDescent="0.3">
      <c r="A171">
        <v>170</v>
      </c>
      <c r="B171">
        <v>40551</v>
      </c>
      <c r="C171">
        <v>0.33333333333333326</v>
      </c>
      <c r="D171" t="s">
        <v>8</v>
      </c>
      <c r="E171" t="s">
        <v>9</v>
      </c>
      <c r="F171" t="s">
        <v>11</v>
      </c>
      <c r="G171" t="s">
        <v>20</v>
      </c>
      <c r="H171">
        <v>0.16</v>
      </c>
      <c r="I171">
        <v>0.18179999999999999</v>
      </c>
      <c r="J171">
        <v>0.93</v>
      </c>
      <c r="K171">
        <v>0.1045</v>
      </c>
      <c r="L171">
        <v>0</v>
      </c>
      <c r="M171">
        <v>15</v>
      </c>
      <c r="N171">
        <v>15</v>
      </c>
    </row>
    <row r="172" spans="1:14" x14ac:dyDescent="0.3">
      <c r="A172">
        <v>171</v>
      </c>
      <c r="B172">
        <v>40551</v>
      </c>
      <c r="C172">
        <v>0.375</v>
      </c>
      <c r="D172" t="s">
        <v>8</v>
      </c>
      <c r="E172" t="s">
        <v>9</v>
      </c>
      <c r="F172" t="s">
        <v>11</v>
      </c>
      <c r="G172" t="s">
        <v>20</v>
      </c>
      <c r="H172">
        <v>0.16</v>
      </c>
      <c r="I172">
        <v>0.18179999999999999</v>
      </c>
      <c r="J172">
        <v>0.93</v>
      </c>
      <c r="K172">
        <v>0.1045</v>
      </c>
      <c r="L172">
        <v>0</v>
      </c>
      <c r="M172">
        <v>20</v>
      </c>
      <c r="N172">
        <v>20</v>
      </c>
    </row>
    <row r="173" spans="1:14" x14ac:dyDescent="0.3">
      <c r="A173">
        <v>172</v>
      </c>
      <c r="B173">
        <v>40551</v>
      </c>
      <c r="C173">
        <v>0.41666666666666674</v>
      </c>
      <c r="D173" t="s">
        <v>8</v>
      </c>
      <c r="E173" t="s">
        <v>9</v>
      </c>
      <c r="F173" t="s">
        <v>11</v>
      </c>
      <c r="G173" t="s">
        <v>19</v>
      </c>
      <c r="H173">
        <v>0.18</v>
      </c>
      <c r="I173">
        <v>0.19700000000000001</v>
      </c>
      <c r="J173">
        <v>0.8</v>
      </c>
      <c r="K173">
        <v>0.16420000000000001</v>
      </c>
      <c r="L173">
        <v>5</v>
      </c>
      <c r="M173">
        <v>56</v>
      </c>
      <c r="N173">
        <v>61</v>
      </c>
    </row>
    <row r="174" spans="1:14" x14ac:dyDescent="0.3">
      <c r="A174">
        <v>173</v>
      </c>
      <c r="B174">
        <v>40551</v>
      </c>
      <c r="C174">
        <v>0.45833333333333326</v>
      </c>
      <c r="D174" t="s">
        <v>8</v>
      </c>
      <c r="E174" t="s">
        <v>9</v>
      </c>
      <c r="F174" t="s">
        <v>11</v>
      </c>
      <c r="G174" t="s">
        <v>19</v>
      </c>
      <c r="H174">
        <v>0.2</v>
      </c>
      <c r="I174">
        <v>0.18179999999999999</v>
      </c>
      <c r="J174">
        <v>0.69</v>
      </c>
      <c r="K174">
        <v>0.3881</v>
      </c>
      <c r="L174">
        <v>2</v>
      </c>
      <c r="M174">
        <v>60</v>
      </c>
      <c r="N174">
        <v>62</v>
      </c>
    </row>
    <row r="175" spans="1:14" x14ac:dyDescent="0.3">
      <c r="A175">
        <v>174</v>
      </c>
      <c r="B175">
        <v>40551</v>
      </c>
      <c r="C175">
        <v>0.5</v>
      </c>
      <c r="D175" t="s">
        <v>8</v>
      </c>
      <c r="E175" t="s">
        <v>9</v>
      </c>
      <c r="F175" t="s">
        <v>11</v>
      </c>
      <c r="G175" t="s">
        <v>19</v>
      </c>
      <c r="H175">
        <v>0.2</v>
      </c>
      <c r="I175">
        <v>0.18179999999999999</v>
      </c>
      <c r="J175">
        <v>0.59</v>
      </c>
      <c r="K175">
        <v>0.35820000000000002</v>
      </c>
      <c r="L175">
        <v>8</v>
      </c>
      <c r="M175">
        <v>90</v>
      </c>
      <c r="N175">
        <v>98</v>
      </c>
    </row>
    <row r="176" spans="1:14" x14ac:dyDescent="0.3">
      <c r="A176">
        <v>175</v>
      </c>
      <c r="B176">
        <v>40551</v>
      </c>
      <c r="C176">
        <v>0.54166666666666674</v>
      </c>
      <c r="D176" t="s">
        <v>8</v>
      </c>
      <c r="E176" t="s">
        <v>9</v>
      </c>
      <c r="F176" t="s">
        <v>11</v>
      </c>
      <c r="G176" t="s">
        <v>18</v>
      </c>
      <c r="H176">
        <v>0.2</v>
      </c>
      <c r="I176">
        <v>0.18179999999999999</v>
      </c>
      <c r="J176">
        <v>0.44</v>
      </c>
      <c r="K176">
        <v>0.32840000000000003</v>
      </c>
      <c r="L176">
        <v>7</v>
      </c>
      <c r="M176">
        <v>95</v>
      </c>
      <c r="N176">
        <v>102</v>
      </c>
    </row>
    <row r="177" spans="1:14" x14ac:dyDescent="0.3">
      <c r="A177">
        <v>176</v>
      </c>
      <c r="B177">
        <v>40551</v>
      </c>
      <c r="C177">
        <v>0.58333333333333326</v>
      </c>
      <c r="D177" t="s">
        <v>8</v>
      </c>
      <c r="E177" t="s">
        <v>9</v>
      </c>
      <c r="F177" t="s">
        <v>11</v>
      </c>
      <c r="G177" t="s">
        <v>18</v>
      </c>
      <c r="H177">
        <v>0.2</v>
      </c>
      <c r="I177">
        <v>0.16669999999999999</v>
      </c>
      <c r="J177">
        <v>0.32</v>
      </c>
      <c r="K177">
        <v>0.49249999999999999</v>
      </c>
      <c r="L177">
        <v>12</v>
      </c>
      <c r="M177">
        <v>83</v>
      </c>
      <c r="N177">
        <v>95</v>
      </c>
    </row>
    <row r="178" spans="1:14" x14ac:dyDescent="0.3">
      <c r="A178">
        <v>177</v>
      </c>
      <c r="B178">
        <v>40551</v>
      </c>
      <c r="C178">
        <v>0.625</v>
      </c>
      <c r="D178" t="s">
        <v>8</v>
      </c>
      <c r="E178" t="s">
        <v>9</v>
      </c>
      <c r="F178" t="s">
        <v>11</v>
      </c>
      <c r="G178" t="s">
        <v>18</v>
      </c>
      <c r="H178">
        <v>0.2</v>
      </c>
      <c r="I178">
        <v>0.16669999999999999</v>
      </c>
      <c r="J178">
        <v>0.32</v>
      </c>
      <c r="K178">
        <v>0.44779999999999998</v>
      </c>
      <c r="L178">
        <v>5</v>
      </c>
      <c r="M178">
        <v>69</v>
      </c>
      <c r="N178">
        <v>74</v>
      </c>
    </row>
    <row r="179" spans="1:14" x14ac:dyDescent="0.3">
      <c r="A179">
        <v>178</v>
      </c>
      <c r="B179">
        <v>40551</v>
      </c>
      <c r="C179">
        <v>0.66666666666666674</v>
      </c>
      <c r="D179" t="s">
        <v>8</v>
      </c>
      <c r="E179" t="s">
        <v>9</v>
      </c>
      <c r="F179" t="s">
        <v>11</v>
      </c>
      <c r="G179" t="s">
        <v>18</v>
      </c>
      <c r="H179">
        <v>0.18</v>
      </c>
      <c r="I179">
        <v>0.13639999999999999</v>
      </c>
      <c r="J179">
        <v>0.28999999999999998</v>
      </c>
      <c r="K179">
        <v>0.44779999999999998</v>
      </c>
      <c r="L179">
        <v>8</v>
      </c>
      <c r="M179">
        <v>68</v>
      </c>
      <c r="N179">
        <v>76</v>
      </c>
    </row>
    <row r="180" spans="1:14" x14ac:dyDescent="0.3">
      <c r="A180">
        <v>179</v>
      </c>
      <c r="B180">
        <v>40551</v>
      </c>
      <c r="C180">
        <v>0.70833333333333326</v>
      </c>
      <c r="D180" t="s">
        <v>8</v>
      </c>
      <c r="E180" t="s">
        <v>9</v>
      </c>
      <c r="F180" t="s">
        <v>11</v>
      </c>
      <c r="G180" t="s">
        <v>18</v>
      </c>
      <c r="H180">
        <v>0.16</v>
      </c>
      <c r="I180">
        <v>0.1212</v>
      </c>
      <c r="J180">
        <v>0.37</v>
      </c>
      <c r="K180">
        <v>0.55220000000000002</v>
      </c>
      <c r="L180">
        <v>5</v>
      </c>
      <c r="M180">
        <v>64</v>
      </c>
      <c r="N180">
        <v>69</v>
      </c>
    </row>
    <row r="181" spans="1:14" x14ac:dyDescent="0.3">
      <c r="A181">
        <v>180</v>
      </c>
      <c r="B181">
        <v>40551</v>
      </c>
      <c r="C181">
        <v>0.75</v>
      </c>
      <c r="D181" t="s">
        <v>8</v>
      </c>
      <c r="E181" t="s">
        <v>9</v>
      </c>
      <c r="F181" t="s">
        <v>11</v>
      </c>
      <c r="G181" t="s">
        <v>18</v>
      </c>
      <c r="H181">
        <v>0.14000000000000001</v>
      </c>
      <c r="I181">
        <v>0.1212</v>
      </c>
      <c r="J181">
        <v>0.39</v>
      </c>
      <c r="K181">
        <v>0.29849999999999999</v>
      </c>
      <c r="L181">
        <v>3</v>
      </c>
      <c r="M181">
        <v>52</v>
      </c>
      <c r="N181">
        <v>55</v>
      </c>
    </row>
    <row r="182" spans="1:14" x14ac:dyDescent="0.3">
      <c r="A182">
        <v>181</v>
      </c>
      <c r="B182">
        <v>40551</v>
      </c>
      <c r="C182">
        <v>0.79166666666666674</v>
      </c>
      <c r="D182" t="s">
        <v>8</v>
      </c>
      <c r="E182" t="s">
        <v>9</v>
      </c>
      <c r="F182" t="s">
        <v>11</v>
      </c>
      <c r="G182" t="s">
        <v>18</v>
      </c>
      <c r="H182">
        <v>0.14000000000000001</v>
      </c>
      <c r="I182">
        <v>0.1212</v>
      </c>
      <c r="J182">
        <v>0.36</v>
      </c>
      <c r="K182">
        <v>0.25369999999999998</v>
      </c>
      <c r="L182">
        <v>4</v>
      </c>
      <c r="M182">
        <v>26</v>
      </c>
      <c r="N182">
        <v>30</v>
      </c>
    </row>
    <row r="183" spans="1:14" x14ac:dyDescent="0.3">
      <c r="A183">
        <v>182</v>
      </c>
      <c r="B183">
        <v>40551</v>
      </c>
      <c r="C183">
        <v>0.83333333333333326</v>
      </c>
      <c r="D183" t="s">
        <v>8</v>
      </c>
      <c r="E183" t="s">
        <v>9</v>
      </c>
      <c r="F183" t="s">
        <v>11</v>
      </c>
      <c r="G183" t="s">
        <v>18</v>
      </c>
      <c r="H183">
        <v>0.12</v>
      </c>
      <c r="I183">
        <v>0.1212</v>
      </c>
      <c r="J183">
        <v>0.36</v>
      </c>
      <c r="K183">
        <v>0.25369999999999998</v>
      </c>
      <c r="L183">
        <v>0</v>
      </c>
      <c r="M183">
        <v>28</v>
      </c>
      <c r="N183">
        <v>28</v>
      </c>
    </row>
    <row r="184" spans="1:14" x14ac:dyDescent="0.3">
      <c r="A184">
        <v>183</v>
      </c>
      <c r="B184">
        <v>40551</v>
      </c>
      <c r="C184">
        <v>0.875</v>
      </c>
      <c r="D184" t="s">
        <v>8</v>
      </c>
      <c r="E184" t="s">
        <v>9</v>
      </c>
      <c r="F184" t="s">
        <v>11</v>
      </c>
      <c r="G184" t="s">
        <v>18</v>
      </c>
      <c r="H184">
        <v>0.12</v>
      </c>
      <c r="I184">
        <v>0.1061</v>
      </c>
      <c r="J184">
        <v>0.39</v>
      </c>
      <c r="K184">
        <v>0.35820000000000002</v>
      </c>
      <c r="L184">
        <v>2</v>
      </c>
      <c r="M184">
        <v>35</v>
      </c>
      <c r="N184">
        <v>37</v>
      </c>
    </row>
    <row r="185" spans="1:14" x14ac:dyDescent="0.3">
      <c r="A185">
        <v>184</v>
      </c>
      <c r="B185">
        <v>40551</v>
      </c>
      <c r="C185">
        <v>0.91666666666666674</v>
      </c>
      <c r="D185" t="s">
        <v>8</v>
      </c>
      <c r="E185" t="s">
        <v>9</v>
      </c>
      <c r="F185" t="s">
        <v>11</v>
      </c>
      <c r="G185" t="s">
        <v>18</v>
      </c>
      <c r="H185">
        <v>0.12</v>
      </c>
      <c r="I185">
        <v>0.1061</v>
      </c>
      <c r="J185">
        <v>0.36</v>
      </c>
      <c r="K185">
        <v>0.3881</v>
      </c>
      <c r="L185">
        <v>1</v>
      </c>
      <c r="M185">
        <v>33</v>
      </c>
      <c r="N185">
        <v>34</v>
      </c>
    </row>
    <row r="186" spans="1:14" x14ac:dyDescent="0.3">
      <c r="A186">
        <v>185</v>
      </c>
      <c r="B186">
        <v>40551</v>
      </c>
      <c r="C186">
        <v>0.95833333333333326</v>
      </c>
      <c r="D186" t="s">
        <v>8</v>
      </c>
      <c r="E186" t="s">
        <v>9</v>
      </c>
      <c r="F186" t="s">
        <v>11</v>
      </c>
      <c r="G186" t="s">
        <v>18</v>
      </c>
      <c r="H186">
        <v>0.1</v>
      </c>
      <c r="I186">
        <v>6.0600000000000001E-2</v>
      </c>
      <c r="J186">
        <v>0.39</v>
      </c>
      <c r="K186">
        <v>0.44779999999999998</v>
      </c>
      <c r="L186">
        <v>0</v>
      </c>
      <c r="M186">
        <v>22</v>
      </c>
      <c r="N186">
        <v>22</v>
      </c>
    </row>
    <row r="187" spans="1:14" x14ac:dyDescent="0.3">
      <c r="A187">
        <v>186</v>
      </c>
      <c r="B187">
        <v>40552</v>
      </c>
      <c r="C187">
        <v>0</v>
      </c>
      <c r="D187" t="s">
        <v>8</v>
      </c>
      <c r="E187" t="s">
        <v>9</v>
      </c>
      <c r="F187" t="s">
        <v>12</v>
      </c>
      <c r="G187" t="s">
        <v>18</v>
      </c>
      <c r="H187">
        <v>0.1</v>
      </c>
      <c r="I187">
        <v>7.5800000000000006E-2</v>
      </c>
      <c r="J187">
        <v>0.42</v>
      </c>
      <c r="K187">
        <v>0.3881</v>
      </c>
      <c r="L187">
        <v>1</v>
      </c>
      <c r="M187">
        <v>24</v>
      </c>
      <c r="N187">
        <v>25</v>
      </c>
    </row>
    <row r="188" spans="1:14" x14ac:dyDescent="0.3">
      <c r="A188">
        <v>187</v>
      </c>
      <c r="B188">
        <v>40552</v>
      </c>
      <c r="C188">
        <v>4.1666666666666741E-2</v>
      </c>
      <c r="D188" t="s">
        <v>8</v>
      </c>
      <c r="E188" t="s">
        <v>9</v>
      </c>
      <c r="F188" t="s">
        <v>12</v>
      </c>
      <c r="G188" t="s">
        <v>18</v>
      </c>
      <c r="H188">
        <v>0.1</v>
      </c>
      <c r="I188">
        <v>6.0600000000000001E-2</v>
      </c>
      <c r="J188">
        <v>0.42</v>
      </c>
      <c r="K188">
        <v>0.4627</v>
      </c>
      <c r="L188">
        <v>0</v>
      </c>
      <c r="M188">
        <v>12</v>
      </c>
      <c r="N188">
        <v>12</v>
      </c>
    </row>
    <row r="189" spans="1:14" x14ac:dyDescent="0.3">
      <c r="A189">
        <v>188</v>
      </c>
      <c r="B189">
        <v>40552</v>
      </c>
      <c r="C189">
        <v>8.3333333333333259E-2</v>
      </c>
      <c r="D189" t="s">
        <v>8</v>
      </c>
      <c r="E189" t="s">
        <v>9</v>
      </c>
      <c r="F189" t="s">
        <v>12</v>
      </c>
      <c r="G189" t="s">
        <v>18</v>
      </c>
      <c r="H189">
        <v>0.1</v>
      </c>
      <c r="I189">
        <v>6.0600000000000001E-2</v>
      </c>
      <c r="J189">
        <v>0.46</v>
      </c>
      <c r="K189">
        <v>0.4627</v>
      </c>
      <c r="L189">
        <v>0</v>
      </c>
      <c r="M189">
        <v>11</v>
      </c>
      <c r="N189">
        <v>11</v>
      </c>
    </row>
    <row r="190" spans="1:14" x14ac:dyDescent="0.3">
      <c r="A190">
        <v>189</v>
      </c>
      <c r="B190">
        <v>40552</v>
      </c>
      <c r="C190">
        <v>0.125</v>
      </c>
      <c r="D190" t="s">
        <v>8</v>
      </c>
      <c r="E190" t="s">
        <v>9</v>
      </c>
      <c r="F190" t="s">
        <v>12</v>
      </c>
      <c r="G190" t="s">
        <v>18</v>
      </c>
      <c r="H190">
        <v>0.1</v>
      </c>
      <c r="I190">
        <v>7.5800000000000006E-2</v>
      </c>
      <c r="J190">
        <v>0.46</v>
      </c>
      <c r="K190">
        <v>0.41789999999999999</v>
      </c>
      <c r="L190">
        <v>0</v>
      </c>
      <c r="M190">
        <v>4</v>
      </c>
      <c r="N190">
        <v>4</v>
      </c>
    </row>
    <row r="191" spans="1:14" x14ac:dyDescent="0.3">
      <c r="A191">
        <v>190</v>
      </c>
      <c r="B191">
        <v>40552</v>
      </c>
      <c r="C191">
        <v>0.16666666666666674</v>
      </c>
      <c r="D191" t="s">
        <v>8</v>
      </c>
      <c r="E191" t="s">
        <v>9</v>
      </c>
      <c r="F191" t="s">
        <v>12</v>
      </c>
      <c r="G191" t="s">
        <v>18</v>
      </c>
      <c r="H191">
        <v>0.08</v>
      </c>
      <c r="I191">
        <v>9.0899999999999995E-2</v>
      </c>
      <c r="J191">
        <v>0.53</v>
      </c>
      <c r="K191">
        <v>0.19400000000000001</v>
      </c>
      <c r="L191">
        <v>0</v>
      </c>
      <c r="M191">
        <v>1</v>
      </c>
      <c r="N191">
        <v>1</v>
      </c>
    </row>
    <row r="192" spans="1:14" x14ac:dyDescent="0.3">
      <c r="A192">
        <v>191</v>
      </c>
      <c r="B192">
        <v>40552</v>
      </c>
      <c r="C192">
        <v>0.20833333333333326</v>
      </c>
      <c r="D192" t="s">
        <v>8</v>
      </c>
      <c r="E192" t="s">
        <v>9</v>
      </c>
      <c r="F192" t="s">
        <v>12</v>
      </c>
      <c r="G192" t="s">
        <v>18</v>
      </c>
      <c r="H192">
        <v>0.08</v>
      </c>
      <c r="I192">
        <v>9.0899999999999995E-2</v>
      </c>
      <c r="J192">
        <v>0.53</v>
      </c>
      <c r="K192">
        <v>0.19400000000000001</v>
      </c>
      <c r="L192">
        <v>0</v>
      </c>
      <c r="M192">
        <v>1</v>
      </c>
      <c r="N192">
        <v>1</v>
      </c>
    </row>
    <row r="193" spans="1:14" x14ac:dyDescent="0.3">
      <c r="A193">
        <v>192</v>
      </c>
      <c r="B193">
        <v>40552</v>
      </c>
      <c r="C193">
        <v>0.25</v>
      </c>
      <c r="D193" t="s">
        <v>8</v>
      </c>
      <c r="E193" t="s">
        <v>9</v>
      </c>
      <c r="F193" t="s">
        <v>12</v>
      </c>
      <c r="G193" t="s">
        <v>18</v>
      </c>
      <c r="H193">
        <v>0.1</v>
      </c>
      <c r="I193">
        <v>9.0899999999999995E-2</v>
      </c>
      <c r="J193">
        <v>0.49</v>
      </c>
      <c r="K193">
        <v>0.28360000000000002</v>
      </c>
      <c r="L193">
        <v>0</v>
      </c>
      <c r="M193">
        <v>1</v>
      </c>
      <c r="N193">
        <v>1</v>
      </c>
    </row>
    <row r="194" spans="1:14" x14ac:dyDescent="0.3">
      <c r="A194">
        <v>193</v>
      </c>
      <c r="B194">
        <v>40552</v>
      </c>
      <c r="C194">
        <v>0.29166666666666674</v>
      </c>
      <c r="D194" t="s">
        <v>8</v>
      </c>
      <c r="E194" t="s">
        <v>9</v>
      </c>
      <c r="F194" t="s">
        <v>12</v>
      </c>
      <c r="G194" t="s">
        <v>18</v>
      </c>
      <c r="H194">
        <v>0.08</v>
      </c>
      <c r="I194">
        <v>9.0899999999999995E-2</v>
      </c>
      <c r="J194">
        <v>0.53</v>
      </c>
      <c r="K194">
        <v>0.19400000000000001</v>
      </c>
      <c r="L194">
        <v>1</v>
      </c>
      <c r="M194">
        <v>5</v>
      </c>
      <c r="N194">
        <v>6</v>
      </c>
    </row>
    <row r="195" spans="1:14" x14ac:dyDescent="0.3">
      <c r="A195">
        <v>194</v>
      </c>
      <c r="B195">
        <v>40552</v>
      </c>
      <c r="C195">
        <v>0.33333333333333326</v>
      </c>
      <c r="D195" t="s">
        <v>8</v>
      </c>
      <c r="E195" t="s">
        <v>9</v>
      </c>
      <c r="F195" t="s">
        <v>12</v>
      </c>
      <c r="G195" t="s">
        <v>18</v>
      </c>
      <c r="H195">
        <v>0.1</v>
      </c>
      <c r="I195">
        <v>9.0899999999999995E-2</v>
      </c>
      <c r="J195">
        <v>0.49</v>
      </c>
      <c r="K195">
        <v>0.28360000000000002</v>
      </c>
      <c r="L195">
        <v>0</v>
      </c>
      <c r="M195">
        <v>10</v>
      </c>
      <c r="N195">
        <v>10</v>
      </c>
    </row>
    <row r="196" spans="1:14" x14ac:dyDescent="0.3">
      <c r="A196">
        <v>195</v>
      </c>
      <c r="B196">
        <v>40552</v>
      </c>
      <c r="C196">
        <v>0.375</v>
      </c>
      <c r="D196" t="s">
        <v>8</v>
      </c>
      <c r="E196" t="s">
        <v>9</v>
      </c>
      <c r="F196" t="s">
        <v>12</v>
      </c>
      <c r="G196" t="s">
        <v>18</v>
      </c>
      <c r="H196">
        <v>0.12</v>
      </c>
      <c r="I196">
        <v>7.5800000000000006E-2</v>
      </c>
      <c r="J196">
        <v>0.46</v>
      </c>
      <c r="K196">
        <v>0.52239999999999998</v>
      </c>
      <c r="L196">
        <v>0</v>
      </c>
      <c r="M196">
        <v>19</v>
      </c>
      <c r="N196">
        <v>19</v>
      </c>
    </row>
    <row r="197" spans="1:14" x14ac:dyDescent="0.3">
      <c r="A197">
        <v>196</v>
      </c>
      <c r="B197">
        <v>40552</v>
      </c>
      <c r="C197">
        <v>0.41666666666666674</v>
      </c>
      <c r="D197" t="s">
        <v>8</v>
      </c>
      <c r="E197" t="s">
        <v>9</v>
      </c>
      <c r="F197" t="s">
        <v>12</v>
      </c>
      <c r="G197" t="s">
        <v>18</v>
      </c>
      <c r="H197">
        <v>0.14000000000000001</v>
      </c>
      <c r="I197">
        <v>0.1061</v>
      </c>
      <c r="J197">
        <v>0.43</v>
      </c>
      <c r="K197">
        <v>0.3881</v>
      </c>
      <c r="L197">
        <v>0</v>
      </c>
      <c r="M197">
        <v>49</v>
      </c>
      <c r="N197">
        <v>49</v>
      </c>
    </row>
    <row r="198" spans="1:14" x14ac:dyDescent="0.3">
      <c r="A198">
        <v>197</v>
      </c>
      <c r="B198">
        <v>40552</v>
      </c>
      <c r="C198">
        <v>0.45833333333333326</v>
      </c>
      <c r="D198" t="s">
        <v>8</v>
      </c>
      <c r="E198" t="s">
        <v>9</v>
      </c>
      <c r="F198" t="s">
        <v>12</v>
      </c>
      <c r="G198" t="s">
        <v>18</v>
      </c>
      <c r="H198">
        <v>0.16</v>
      </c>
      <c r="I198">
        <v>0.1212</v>
      </c>
      <c r="J198">
        <v>0.4</v>
      </c>
      <c r="K198">
        <v>0.52239999999999998</v>
      </c>
      <c r="L198">
        <v>2</v>
      </c>
      <c r="M198">
        <v>47</v>
      </c>
      <c r="N198">
        <v>49</v>
      </c>
    </row>
    <row r="199" spans="1:14" x14ac:dyDescent="0.3">
      <c r="A199">
        <v>198</v>
      </c>
      <c r="B199">
        <v>40552</v>
      </c>
      <c r="C199">
        <v>0.5</v>
      </c>
      <c r="D199" t="s">
        <v>8</v>
      </c>
      <c r="E199" t="s">
        <v>9</v>
      </c>
      <c r="F199" t="s">
        <v>12</v>
      </c>
      <c r="G199" t="s">
        <v>18</v>
      </c>
      <c r="H199">
        <v>0.18</v>
      </c>
      <c r="I199">
        <v>0.13639999999999999</v>
      </c>
      <c r="J199">
        <v>0.37</v>
      </c>
      <c r="K199">
        <v>0.44779999999999998</v>
      </c>
      <c r="L199">
        <v>4</v>
      </c>
      <c r="M199">
        <v>79</v>
      </c>
      <c r="N199">
        <v>83</v>
      </c>
    </row>
    <row r="200" spans="1:14" x14ac:dyDescent="0.3">
      <c r="A200">
        <v>199</v>
      </c>
      <c r="B200">
        <v>40552</v>
      </c>
      <c r="C200">
        <v>0.54166666666666674</v>
      </c>
      <c r="D200" t="s">
        <v>8</v>
      </c>
      <c r="E200" t="s">
        <v>9</v>
      </c>
      <c r="F200" t="s">
        <v>12</v>
      </c>
      <c r="G200" t="s">
        <v>18</v>
      </c>
      <c r="H200">
        <v>0.2</v>
      </c>
      <c r="I200">
        <v>0.16669999999999999</v>
      </c>
      <c r="J200">
        <v>0.34</v>
      </c>
      <c r="K200">
        <v>0.44779999999999998</v>
      </c>
      <c r="L200">
        <v>6</v>
      </c>
      <c r="M200">
        <v>69</v>
      </c>
      <c r="N200">
        <v>75</v>
      </c>
    </row>
    <row r="201" spans="1:14" x14ac:dyDescent="0.3">
      <c r="A201">
        <v>200</v>
      </c>
      <c r="B201">
        <v>40552</v>
      </c>
      <c r="C201">
        <v>0.58333333333333326</v>
      </c>
      <c r="D201" t="s">
        <v>8</v>
      </c>
      <c r="E201" t="s">
        <v>9</v>
      </c>
      <c r="F201" t="s">
        <v>12</v>
      </c>
      <c r="G201" t="s">
        <v>18</v>
      </c>
      <c r="H201">
        <v>0.22</v>
      </c>
      <c r="I201">
        <v>0.18179999999999999</v>
      </c>
      <c r="J201">
        <v>0.32</v>
      </c>
      <c r="K201">
        <v>0.4627</v>
      </c>
      <c r="L201">
        <v>8</v>
      </c>
      <c r="M201">
        <v>64</v>
      </c>
      <c r="N201">
        <v>72</v>
      </c>
    </row>
    <row r="202" spans="1:14" x14ac:dyDescent="0.3">
      <c r="A202">
        <v>201</v>
      </c>
      <c r="B202">
        <v>40552</v>
      </c>
      <c r="C202">
        <v>0.625</v>
      </c>
      <c r="D202" t="s">
        <v>8</v>
      </c>
      <c r="E202" t="s">
        <v>9</v>
      </c>
      <c r="F202" t="s">
        <v>12</v>
      </c>
      <c r="G202" t="s">
        <v>18</v>
      </c>
      <c r="H202">
        <v>0.22</v>
      </c>
      <c r="I202">
        <v>0.19700000000000001</v>
      </c>
      <c r="J202">
        <v>0.35</v>
      </c>
      <c r="K202">
        <v>0.35820000000000002</v>
      </c>
      <c r="L202">
        <v>5</v>
      </c>
      <c r="M202">
        <v>77</v>
      </c>
      <c r="N202">
        <v>82</v>
      </c>
    </row>
    <row r="203" spans="1:14" x14ac:dyDescent="0.3">
      <c r="A203">
        <v>202</v>
      </c>
      <c r="B203">
        <v>40552</v>
      </c>
      <c r="C203">
        <v>0.66666666666666674</v>
      </c>
      <c r="D203" t="s">
        <v>8</v>
      </c>
      <c r="E203" t="s">
        <v>9</v>
      </c>
      <c r="F203" t="s">
        <v>12</v>
      </c>
      <c r="G203" t="s">
        <v>18</v>
      </c>
      <c r="H203">
        <v>0.2</v>
      </c>
      <c r="I203">
        <v>0.16669999999999999</v>
      </c>
      <c r="J203">
        <v>0.34</v>
      </c>
      <c r="K203">
        <v>0.44779999999999998</v>
      </c>
      <c r="L203">
        <v>13</v>
      </c>
      <c r="M203">
        <v>79</v>
      </c>
      <c r="N203">
        <v>92</v>
      </c>
    </row>
    <row r="204" spans="1:14" x14ac:dyDescent="0.3">
      <c r="A204">
        <v>203</v>
      </c>
      <c r="B204">
        <v>40552</v>
      </c>
      <c r="C204">
        <v>0.70833333333333326</v>
      </c>
      <c r="D204" t="s">
        <v>8</v>
      </c>
      <c r="E204" t="s">
        <v>9</v>
      </c>
      <c r="F204" t="s">
        <v>12</v>
      </c>
      <c r="G204" t="s">
        <v>18</v>
      </c>
      <c r="H204">
        <v>0.18</v>
      </c>
      <c r="I204">
        <v>0.1515</v>
      </c>
      <c r="J204">
        <v>0.37</v>
      </c>
      <c r="K204">
        <v>0.3881</v>
      </c>
      <c r="L204">
        <v>3</v>
      </c>
      <c r="M204">
        <v>59</v>
      </c>
      <c r="N204">
        <v>62</v>
      </c>
    </row>
    <row r="205" spans="1:14" x14ac:dyDescent="0.3">
      <c r="A205">
        <v>204</v>
      </c>
      <c r="B205">
        <v>40552</v>
      </c>
      <c r="C205">
        <v>0.75</v>
      </c>
      <c r="D205" t="s">
        <v>8</v>
      </c>
      <c r="E205" t="s">
        <v>9</v>
      </c>
      <c r="F205" t="s">
        <v>12</v>
      </c>
      <c r="G205" t="s">
        <v>18</v>
      </c>
      <c r="H205">
        <v>0.16</v>
      </c>
      <c r="I205">
        <v>0.13639999999999999</v>
      </c>
      <c r="J205">
        <v>0.4</v>
      </c>
      <c r="K205">
        <v>0.32840000000000003</v>
      </c>
      <c r="L205">
        <v>4</v>
      </c>
      <c r="M205">
        <v>44</v>
      </c>
      <c r="N205">
        <v>48</v>
      </c>
    </row>
    <row r="206" spans="1:14" x14ac:dyDescent="0.3">
      <c r="A206">
        <v>205</v>
      </c>
      <c r="B206">
        <v>40552</v>
      </c>
      <c r="C206">
        <v>0.79166666666666674</v>
      </c>
      <c r="D206" t="s">
        <v>8</v>
      </c>
      <c r="E206" t="s">
        <v>9</v>
      </c>
      <c r="F206" t="s">
        <v>12</v>
      </c>
      <c r="G206" t="s">
        <v>18</v>
      </c>
      <c r="H206">
        <v>0.16</v>
      </c>
      <c r="I206">
        <v>0.13639999999999999</v>
      </c>
      <c r="J206">
        <v>0.43</v>
      </c>
      <c r="K206">
        <v>0.32840000000000003</v>
      </c>
      <c r="L206">
        <v>1</v>
      </c>
      <c r="M206">
        <v>40</v>
      </c>
      <c r="N206">
        <v>41</v>
      </c>
    </row>
    <row r="207" spans="1:14" x14ac:dyDescent="0.3">
      <c r="A207">
        <v>206</v>
      </c>
      <c r="B207">
        <v>40552</v>
      </c>
      <c r="C207">
        <v>0.83333333333333326</v>
      </c>
      <c r="D207" t="s">
        <v>8</v>
      </c>
      <c r="E207" t="s">
        <v>9</v>
      </c>
      <c r="F207" t="s">
        <v>12</v>
      </c>
      <c r="G207" t="s">
        <v>18</v>
      </c>
      <c r="H207">
        <v>0.14000000000000001</v>
      </c>
      <c r="I207">
        <v>0.1212</v>
      </c>
      <c r="J207">
        <v>0.46</v>
      </c>
      <c r="K207">
        <v>0.25369999999999998</v>
      </c>
      <c r="L207">
        <v>0</v>
      </c>
      <c r="M207">
        <v>38</v>
      </c>
      <c r="N207">
        <v>38</v>
      </c>
    </row>
    <row r="208" spans="1:14" x14ac:dyDescent="0.3">
      <c r="A208">
        <v>207</v>
      </c>
      <c r="B208">
        <v>40552</v>
      </c>
      <c r="C208">
        <v>0.875</v>
      </c>
      <c r="D208" t="s">
        <v>8</v>
      </c>
      <c r="E208" t="s">
        <v>9</v>
      </c>
      <c r="F208" t="s">
        <v>12</v>
      </c>
      <c r="G208" t="s">
        <v>18</v>
      </c>
      <c r="H208">
        <v>0.14000000000000001</v>
      </c>
      <c r="I208">
        <v>0.1061</v>
      </c>
      <c r="J208">
        <v>0.46</v>
      </c>
      <c r="K208">
        <v>0.41789999999999999</v>
      </c>
      <c r="L208">
        <v>1</v>
      </c>
      <c r="M208">
        <v>19</v>
      </c>
      <c r="N208">
        <v>20</v>
      </c>
    </row>
    <row r="209" spans="1:14" x14ac:dyDescent="0.3">
      <c r="A209">
        <v>208</v>
      </c>
      <c r="B209">
        <v>40552</v>
      </c>
      <c r="C209">
        <v>0.91666666666666674</v>
      </c>
      <c r="D209" t="s">
        <v>8</v>
      </c>
      <c r="E209" t="s">
        <v>9</v>
      </c>
      <c r="F209" t="s">
        <v>12</v>
      </c>
      <c r="G209" t="s">
        <v>18</v>
      </c>
      <c r="H209">
        <v>0.14000000000000001</v>
      </c>
      <c r="I209">
        <v>0.1212</v>
      </c>
      <c r="J209">
        <v>0.46</v>
      </c>
      <c r="K209">
        <v>0.29849999999999999</v>
      </c>
      <c r="L209">
        <v>5</v>
      </c>
      <c r="M209">
        <v>10</v>
      </c>
      <c r="N209">
        <v>15</v>
      </c>
    </row>
    <row r="210" spans="1:14" x14ac:dyDescent="0.3">
      <c r="A210">
        <v>209</v>
      </c>
      <c r="B210">
        <v>40552</v>
      </c>
      <c r="C210">
        <v>0.95833333333333326</v>
      </c>
      <c r="D210" t="s">
        <v>8</v>
      </c>
      <c r="E210" t="s">
        <v>9</v>
      </c>
      <c r="F210" t="s">
        <v>12</v>
      </c>
      <c r="G210" t="s">
        <v>18</v>
      </c>
      <c r="H210">
        <v>0.12</v>
      </c>
      <c r="I210">
        <v>0.13639999999999999</v>
      </c>
      <c r="J210">
        <v>0.5</v>
      </c>
      <c r="K210">
        <v>0.19400000000000001</v>
      </c>
      <c r="L210">
        <v>0</v>
      </c>
      <c r="M210">
        <v>6</v>
      </c>
      <c r="N210">
        <v>6</v>
      </c>
    </row>
    <row r="211" spans="1:14" x14ac:dyDescent="0.3">
      <c r="A211">
        <v>210</v>
      </c>
      <c r="B211">
        <v>40553</v>
      </c>
      <c r="C211">
        <v>0</v>
      </c>
      <c r="D211" t="s">
        <v>8</v>
      </c>
      <c r="E211" t="s">
        <v>9</v>
      </c>
      <c r="F211" t="s">
        <v>13</v>
      </c>
      <c r="G211" t="s">
        <v>18</v>
      </c>
      <c r="H211">
        <v>0.12</v>
      </c>
      <c r="I211">
        <v>0.1212</v>
      </c>
      <c r="J211">
        <v>0.5</v>
      </c>
      <c r="K211">
        <v>0.28360000000000002</v>
      </c>
      <c r="L211">
        <v>2</v>
      </c>
      <c r="M211">
        <v>3</v>
      </c>
      <c r="N211">
        <v>5</v>
      </c>
    </row>
    <row r="212" spans="1:14" x14ac:dyDescent="0.3">
      <c r="A212">
        <v>211</v>
      </c>
      <c r="B212">
        <v>40553</v>
      </c>
      <c r="C212">
        <v>4.1666666666666741E-2</v>
      </c>
      <c r="D212" t="s">
        <v>8</v>
      </c>
      <c r="E212" t="s">
        <v>9</v>
      </c>
      <c r="F212" t="s">
        <v>13</v>
      </c>
      <c r="G212" t="s">
        <v>18</v>
      </c>
      <c r="H212">
        <v>0.12</v>
      </c>
      <c r="I212">
        <v>0.1212</v>
      </c>
      <c r="J212">
        <v>0.5</v>
      </c>
      <c r="K212">
        <v>0.28360000000000002</v>
      </c>
      <c r="L212">
        <v>1</v>
      </c>
      <c r="M212">
        <v>0</v>
      </c>
      <c r="N212">
        <v>1</v>
      </c>
    </row>
    <row r="213" spans="1:14" x14ac:dyDescent="0.3">
      <c r="A213">
        <v>212</v>
      </c>
      <c r="B213">
        <v>40553</v>
      </c>
      <c r="C213">
        <v>8.3333333333333259E-2</v>
      </c>
      <c r="D213" t="s">
        <v>8</v>
      </c>
      <c r="E213" t="s">
        <v>9</v>
      </c>
      <c r="F213" t="s">
        <v>13</v>
      </c>
      <c r="G213" t="s">
        <v>18</v>
      </c>
      <c r="H213">
        <v>0.12</v>
      </c>
      <c r="I213">
        <v>0.1212</v>
      </c>
      <c r="J213">
        <v>0.5</v>
      </c>
      <c r="K213">
        <v>0.22389999999999999</v>
      </c>
      <c r="L213">
        <v>0</v>
      </c>
      <c r="M213">
        <v>3</v>
      </c>
      <c r="N213">
        <v>3</v>
      </c>
    </row>
    <row r="214" spans="1:14" x14ac:dyDescent="0.3">
      <c r="A214">
        <v>213</v>
      </c>
      <c r="B214">
        <v>40553</v>
      </c>
      <c r="C214">
        <v>0.125</v>
      </c>
      <c r="D214" t="s">
        <v>8</v>
      </c>
      <c r="E214" t="s">
        <v>9</v>
      </c>
      <c r="F214" t="s">
        <v>13</v>
      </c>
      <c r="G214" t="s">
        <v>18</v>
      </c>
      <c r="H214">
        <v>0.12</v>
      </c>
      <c r="I214">
        <v>0.1212</v>
      </c>
      <c r="J214">
        <v>0.5</v>
      </c>
      <c r="K214">
        <v>0.22389999999999999</v>
      </c>
      <c r="L214">
        <v>0</v>
      </c>
      <c r="M214">
        <v>1</v>
      </c>
      <c r="N214">
        <v>1</v>
      </c>
    </row>
    <row r="215" spans="1:14" x14ac:dyDescent="0.3">
      <c r="A215">
        <v>214</v>
      </c>
      <c r="B215">
        <v>40553</v>
      </c>
      <c r="C215">
        <v>0.16666666666666674</v>
      </c>
      <c r="D215" t="s">
        <v>8</v>
      </c>
      <c r="E215" t="s">
        <v>9</v>
      </c>
      <c r="F215" t="s">
        <v>13</v>
      </c>
      <c r="G215" t="s">
        <v>18</v>
      </c>
      <c r="H215">
        <v>0.1</v>
      </c>
      <c r="I215">
        <v>0.1212</v>
      </c>
      <c r="J215">
        <v>0.54</v>
      </c>
      <c r="K215">
        <v>0.1343</v>
      </c>
      <c r="L215">
        <v>1</v>
      </c>
      <c r="M215">
        <v>2</v>
      </c>
      <c r="N215">
        <v>3</v>
      </c>
    </row>
    <row r="216" spans="1:14" x14ac:dyDescent="0.3">
      <c r="A216">
        <v>215</v>
      </c>
      <c r="B216">
        <v>40553</v>
      </c>
      <c r="C216">
        <v>0.20833333333333326</v>
      </c>
      <c r="D216" t="s">
        <v>8</v>
      </c>
      <c r="E216" t="s">
        <v>9</v>
      </c>
      <c r="F216" t="s">
        <v>13</v>
      </c>
      <c r="G216" t="s">
        <v>18</v>
      </c>
      <c r="H216">
        <v>0.1</v>
      </c>
      <c r="I216">
        <v>0.1061</v>
      </c>
      <c r="J216">
        <v>0.54</v>
      </c>
      <c r="K216">
        <v>0.25369999999999998</v>
      </c>
      <c r="L216">
        <v>0</v>
      </c>
      <c r="M216">
        <v>3</v>
      </c>
      <c r="N216">
        <v>3</v>
      </c>
    </row>
    <row r="217" spans="1:14" x14ac:dyDescent="0.3">
      <c r="A217">
        <v>216</v>
      </c>
      <c r="B217">
        <v>40553</v>
      </c>
      <c r="C217">
        <v>0.25</v>
      </c>
      <c r="D217" t="s">
        <v>8</v>
      </c>
      <c r="E217" t="s">
        <v>9</v>
      </c>
      <c r="F217" t="s">
        <v>13</v>
      </c>
      <c r="G217" t="s">
        <v>18</v>
      </c>
      <c r="H217">
        <v>0.12</v>
      </c>
      <c r="I217">
        <v>0.1212</v>
      </c>
      <c r="J217">
        <v>0.5</v>
      </c>
      <c r="K217">
        <v>0.28360000000000002</v>
      </c>
      <c r="L217">
        <v>0</v>
      </c>
      <c r="M217">
        <v>31</v>
      </c>
      <c r="N217">
        <v>31</v>
      </c>
    </row>
    <row r="218" spans="1:14" x14ac:dyDescent="0.3">
      <c r="A218">
        <v>217</v>
      </c>
      <c r="B218">
        <v>40553</v>
      </c>
      <c r="C218">
        <v>0.29166666666666674</v>
      </c>
      <c r="D218" t="s">
        <v>8</v>
      </c>
      <c r="E218" t="s">
        <v>9</v>
      </c>
      <c r="F218" t="s">
        <v>13</v>
      </c>
      <c r="G218" t="s">
        <v>18</v>
      </c>
      <c r="H218">
        <v>0.12</v>
      </c>
      <c r="I218">
        <v>0.1212</v>
      </c>
      <c r="J218">
        <v>0.5</v>
      </c>
      <c r="K218">
        <v>0.22389999999999999</v>
      </c>
      <c r="L218">
        <v>2</v>
      </c>
      <c r="M218">
        <v>75</v>
      </c>
      <c r="N218">
        <v>77</v>
      </c>
    </row>
    <row r="219" spans="1:14" x14ac:dyDescent="0.3">
      <c r="A219">
        <v>218</v>
      </c>
      <c r="B219">
        <v>40553</v>
      </c>
      <c r="C219">
        <v>0.33333333333333326</v>
      </c>
      <c r="D219" t="s">
        <v>8</v>
      </c>
      <c r="E219" t="s">
        <v>9</v>
      </c>
      <c r="F219" t="s">
        <v>13</v>
      </c>
      <c r="G219" t="s">
        <v>19</v>
      </c>
      <c r="H219">
        <v>0.12</v>
      </c>
      <c r="I219">
        <v>0.1212</v>
      </c>
      <c r="J219">
        <v>0.5</v>
      </c>
      <c r="K219">
        <v>0.28360000000000002</v>
      </c>
      <c r="L219">
        <v>4</v>
      </c>
      <c r="M219">
        <v>184</v>
      </c>
      <c r="N219">
        <v>188</v>
      </c>
    </row>
    <row r="220" spans="1:14" x14ac:dyDescent="0.3">
      <c r="A220">
        <v>219</v>
      </c>
      <c r="B220">
        <v>40553</v>
      </c>
      <c r="C220">
        <v>0.375</v>
      </c>
      <c r="D220" t="s">
        <v>8</v>
      </c>
      <c r="E220" t="s">
        <v>9</v>
      </c>
      <c r="F220" t="s">
        <v>13</v>
      </c>
      <c r="G220" t="s">
        <v>19</v>
      </c>
      <c r="H220">
        <v>0.14000000000000001</v>
      </c>
      <c r="I220">
        <v>0.1212</v>
      </c>
      <c r="J220">
        <v>0.5</v>
      </c>
      <c r="K220">
        <v>0.25369999999999998</v>
      </c>
      <c r="L220">
        <v>2</v>
      </c>
      <c r="M220">
        <v>92</v>
      </c>
      <c r="N220">
        <v>94</v>
      </c>
    </row>
    <row r="221" spans="1:14" x14ac:dyDescent="0.3">
      <c r="A221">
        <v>220</v>
      </c>
      <c r="B221">
        <v>40553</v>
      </c>
      <c r="C221">
        <v>0.41666666666666674</v>
      </c>
      <c r="D221" t="s">
        <v>8</v>
      </c>
      <c r="E221" t="s">
        <v>9</v>
      </c>
      <c r="F221" t="s">
        <v>13</v>
      </c>
      <c r="G221" t="s">
        <v>19</v>
      </c>
      <c r="H221">
        <v>0.14000000000000001</v>
      </c>
      <c r="I221">
        <v>0.1212</v>
      </c>
      <c r="J221">
        <v>0.5</v>
      </c>
      <c r="K221">
        <v>0.29849999999999999</v>
      </c>
      <c r="L221">
        <v>0</v>
      </c>
      <c r="M221">
        <v>31</v>
      </c>
      <c r="N221">
        <v>31</v>
      </c>
    </row>
    <row r="222" spans="1:14" x14ac:dyDescent="0.3">
      <c r="A222">
        <v>221</v>
      </c>
      <c r="B222">
        <v>40553</v>
      </c>
      <c r="C222">
        <v>0.45833333333333326</v>
      </c>
      <c r="D222" t="s">
        <v>8</v>
      </c>
      <c r="E222" t="s">
        <v>9</v>
      </c>
      <c r="F222" t="s">
        <v>13</v>
      </c>
      <c r="G222" t="s">
        <v>19</v>
      </c>
      <c r="H222">
        <v>0.16</v>
      </c>
      <c r="I222">
        <v>0.13639999999999999</v>
      </c>
      <c r="J222">
        <v>0.47</v>
      </c>
      <c r="K222">
        <v>0.28360000000000002</v>
      </c>
      <c r="L222">
        <v>2</v>
      </c>
      <c r="M222">
        <v>28</v>
      </c>
      <c r="N222">
        <v>30</v>
      </c>
    </row>
    <row r="223" spans="1:14" x14ac:dyDescent="0.3">
      <c r="A223">
        <v>222</v>
      </c>
      <c r="B223">
        <v>40553</v>
      </c>
      <c r="C223">
        <v>0.5</v>
      </c>
      <c r="D223" t="s">
        <v>8</v>
      </c>
      <c r="E223" t="s">
        <v>9</v>
      </c>
      <c r="F223" t="s">
        <v>13</v>
      </c>
      <c r="G223" t="s">
        <v>19</v>
      </c>
      <c r="H223">
        <v>0.2</v>
      </c>
      <c r="I223">
        <v>0.18179999999999999</v>
      </c>
      <c r="J223">
        <v>0.4</v>
      </c>
      <c r="K223">
        <v>0.28360000000000002</v>
      </c>
      <c r="L223">
        <v>5</v>
      </c>
      <c r="M223">
        <v>47</v>
      </c>
      <c r="N223">
        <v>52</v>
      </c>
    </row>
    <row r="224" spans="1:14" x14ac:dyDescent="0.3">
      <c r="A224">
        <v>223</v>
      </c>
      <c r="B224">
        <v>40553</v>
      </c>
      <c r="C224">
        <v>0.54166666666666674</v>
      </c>
      <c r="D224" t="s">
        <v>8</v>
      </c>
      <c r="E224" t="s">
        <v>9</v>
      </c>
      <c r="F224" t="s">
        <v>13</v>
      </c>
      <c r="G224" t="s">
        <v>19</v>
      </c>
      <c r="H224">
        <v>0.2</v>
      </c>
      <c r="I224">
        <v>0.18179999999999999</v>
      </c>
      <c r="J224">
        <v>0.4</v>
      </c>
      <c r="K224">
        <v>0.28360000000000002</v>
      </c>
      <c r="L224">
        <v>4</v>
      </c>
      <c r="M224">
        <v>50</v>
      </c>
      <c r="N224">
        <v>54</v>
      </c>
    </row>
    <row r="225" spans="1:14" x14ac:dyDescent="0.3">
      <c r="A225">
        <v>224</v>
      </c>
      <c r="B225">
        <v>40553</v>
      </c>
      <c r="C225">
        <v>0.58333333333333326</v>
      </c>
      <c r="D225" t="s">
        <v>8</v>
      </c>
      <c r="E225" t="s">
        <v>9</v>
      </c>
      <c r="F225" t="s">
        <v>13</v>
      </c>
      <c r="G225" t="s">
        <v>19</v>
      </c>
      <c r="H225">
        <v>0.2</v>
      </c>
      <c r="I225">
        <v>0.19700000000000001</v>
      </c>
      <c r="J225">
        <v>0.4</v>
      </c>
      <c r="K225">
        <v>0.22389999999999999</v>
      </c>
      <c r="L225">
        <v>0</v>
      </c>
      <c r="M225">
        <v>47</v>
      </c>
      <c r="N225">
        <v>47</v>
      </c>
    </row>
    <row r="226" spans="1:14" x14ac:dyDescent="0.3">
      <c r="A226">
        <v>225</v>
      </c>
      <c r="B226">
        <v>40553</v>
      </c>
      <c r="C226">
        <v>0.625</v>
      </c>
      <c r="D226" t="s">
        <v>8</v>
      </c>
      <c r="E226" t="s">
        <v>9</v>
      </c>
      <c r="F226" t="s">
        <v>13</v>
      </c>
      <c r="G226" t="s">
        <v>19</v>
      </c>
      <c r="H226">
        <v>0.2</v>
      </c>
      <c r="I226">
        <v>0.19700000000000001</v>
      </c>
      <c r="J226">
        <v>0.4</v>
      </c>
      <c r="K226">
        <v>0.22389999999999999</v>
      </c>
      <c r="L226">
        <v>2</v>
      </c>
      <c r="M226">
        <v>43</v>
      </c>
      <c r="N226">
        <v>45</v>
      </c>
    </row>
    <row r="227" spans="1:14" x14ac:dyDescent="0.3">
      <c r="A227">
        <v>226</v>
      </c>
      <c r="B227">
        <v>40553</v>
      </c>
      <c r="C227">
        <v>0.66666666666666674</v>
      </c>
      <c r="D227" t="s">
        <v>8</v>
      </c>
      <c r="E227" t="s">
        <v>9</v>
      </c>
      <c r="F227" t="s">
        <v>13</v>
      </c>
      <c r="G227" t="s">
        <v>18</v>
      </c>
      <c r="H227">
        <v>0.2</v>
      </c>
      <c r="I227">
        <v>0.21210000000000001</v>
      </c>
      <c r="J227">
        <v>0.4</v>
      </c>
      <c r="K227">
        <v>0.1343</v>
      </c>
      <c r="L227">
        <v>4</v>
      </c>
      <c r="M227">
        <v>70</v>
      </c>
      <c r="N227">
        <v>74</v>
      </c>
    </row>
    <row r="228" spans="1:14" x14ac:dyDescent="0.3">
      <c r="A228">
        <v>227</v>
      </c>
      <c r="B228">
        <v>40553</v>
      </c>
      <c r="C228">
        <v>0.70833333333333326</v>
      </c>
      <c r="D228" t="s">
        <v>8</v>
      </c>
      <c r="E228" t="s">
        <v>9</v>
      </c>
      <c r="F228" t="s">
        <v>13</v>
      </c>
      <c r="G228" t="s">
        <v>18</v>
      </c>
      <c r="H228">
        <v>0.2</v>
      </c>
      <c r="I228">
        <v>0.2273</v>
      </c>
      <c r="J228">
        <v>0.4</v>
      </c>
      <c r="K228">
        <v>0.1045</v>
      </c>
      <c r="L228">
        <v>4</v>
      </c>
      <c r="M228">
        <v>174</v>
      </c>
      <c r="N228">
        <v>178</v>
      </c>
    </row>
    <row r="229" spans="1:14" x14ac:dyDescent="0.3">
      <c r="A229">
        <v>228</v>
      </c>
      <c r="B229">
        <v>40553</v>
      </c>
      <c r="C229">
        <v>0.75</v>
      </c>
      <c r="D229" t="s">
        <v>8</v>
      </c>
      <c r="E229" t="s">
        <v>9</v>
      </c>
      <c r="F229" t="s">
        <v>13</v>
      </c>
      <c r="G229" t="s">
        <v>18</v>
      </c>
      <c r="H229">
        <v>0.2</v>
      </c>
      <c r="I229">
        <v>0.19700000000000001</v>
      </c>
      <c r="J229">
        <v>0.4</v>
      </c>
      <c r="K229">
        <v>0.22389999999999999</v>
      </c>
      <c r="L229">
        <v>1</v>
      </c>
      <c r="M229">
        <v>154</v>
      </c>
      <c r="N229">
        <v>155</v>
      </c>
    </row>
    <row r="230" spans="1:14" x14ac:dyDescent="0.3">
      <c r="A230">
        <v>229</v>
      </c>
      <c r="B230">
        <v>40553</v>
      </c>
      <c r="C230">
        <v>0.79166666666666674</v>
      </c>
      <c r="D230" t="s">
        <v>8</v>
      </c>
      <c r="E230" t="s">
        <v>9</v>
      </c>
      <c r="F230" t="s">
        <v>13</v>
      </c>
      <c r="G230" t="s">
        <v>18</v>
      </c>
      <c r="H230">
        <v>0.16</v>
      </c>
      <c r="I230">
        <v>0.16669999999999999</v>
      </c>
      <c r="J230">
        <v>0.47</v>
      </c>
      <c r="K230">
        <v>0.16420000000000001</v>
      </c>
      <c r="L230">
        <v>3</v>
      </c>
      <c r="M230">
        <v>92</v>
      </c>
      <c r="N230">
        <v>95</v>
      </c>
    </row>
    <row r="231" spans="1:14" x14ac:dyDescent="0.3">
      <c r="A231">
        <v>230</v>
      </c>
      <c r="B231">
        <v>40553</v>
      </c>
      <c r="C231">
        <v>0.83333333333333326</v>
      </c>
      <c r="D231" t="s">
        <v>8</v>
      </c>
      <c r="E231" t="s">
        <v>9</v>
      </c>
      <c r="F231" t="s">
        <v>13</v>
      </c>
      <c r="G231" t="s">
        <v>18</v>
      </c>
      <c r="H231">
        <v>0.16</v>
      </c>
      <c r="I231">
        <v>0.16669999999999999</v>
      </c>
      <c r="J231">
        <v>0.5</v>
      </c>
      <c r="K231">
        <v>0.16420000000000001</v>
      </c>
      <c r="L231">
        <v>1</v>
      </c>
      <c r="M231">
        <v>73</v>
      </c>
      <c r="N231">
        <v>74</v>
      </c>
    </row>
    <row r="232" spans="1:14" x14ac:dyDescent="0.3">
      <c r="A232">
        <v>231</v>
      </c>
      <c r="B232">
        <v>40553</v>
      </c>
      <c r="C232">
        <v>0.875</v>
      </c>
      <c r="D232" t="s">
        <v>8</v>
      </c>
      <c r="E232" t="s">
        <v>9</v>
      </c>
      <c r="F232" t="s">
        <v>13</v>
      </c>
      <c r="G232" t="s">
        <v>18</v>
      </c>
      <c r="H232">
        <v>0.14000000000000001</v>
      </c>
      <c r="I232">
        <v>0.13639999999999999</v>
      </c>
      <c r="J232">
        <v>0.59</v>
      </c>
      <c r="K232">
        <v>0.19400000000000001</v>
      </c>
      <c r="L232">
        <v>1</v>
      </c>
      <c r="M232">
        <v>37</v>
      </c>
      <c r="N232">
        <v>38</v>
      </c>
    </row>
    <row r="233" spans="1:14" x14ac:dyDescent="0.3">
      <c r="A233">
        <v>232</v>
      </c>
      <c r="B233">
        <v>40553</v>
      </c>
      <c r="C233">
        <v>0.91666666666666674</v>
      </c>
      <c r="D233" t="s">
        <v>8</v>
      </c>
      <c r="E233" t="s">
        <v>9</v>
      </c>
      <c r="F233" t="s">
        <v>13</v>
      </c>
      <c r="G233" t="s">
        <v>18</v>
      </c>
      <c r="H233">
        <v>0.14000000000000001</v>
      </c>
      <c r="I233">
        <v>0.1515</v>
      </c>
      <c r="J233">
        <v>0.59</v>
      </c>
      <c r="K233">
        <v>0.16420000000000001</v>
      </c>
      <c r="L233">
        <v>2</v>
      </c>
      <c r="M233">
        <v>22</v>
      </c>
      <c r="N233">
        <v>24</v>
      </c>
    </row>
    <row r="234" spans="1:14" x14ac:dyDescent="0.3">
      <c r="A234">
        <v>233</v>
      </c>
      <c r="B234">
        <v>40553</v>
      </c>
      <c r="C234">
        <v>0.95833333333333326</v>
      </c>
      <c r="D234" t="s">
        <v>8</v>
      </c>
      <c r="E234" t="s">
        <v>9</v>
      </c>
      <c r="F234" t="s">
        <v>13</v>
      </c>
      <c r="G234" t="s">
        <v>18</v>
      </c>
      <c r="H234">
        <v>0.14000000000000001</v>
      </c>
      <c r="I234">
        <v>0.1515</v>
      </c>
      <c r="J234">
        <v>0.59</v>
      </c>
      <c r="K234">
        <v>0.16420000000000001</v>
      </c>
      <c r="L234">
        <v>0</v>
      </c>
      <c r="M234">
        <v>18</v>
      </c>
      <c r="N234">
        <v>18</v>
      </c>
    </row>
    <row r="235" spans="1:14" x14ac:dyDescent="0.3">
      <c r="A235">
        <v>234</v>
      </c>
      <c r="B235">
        <v>40554</v>
      </c>
      <c r="C235">
        <v>0</v>
      </c>
      <c r="D235" t="s">
        <v>8</v>
      </c>
      <c r="E235" t="s">
        <v>9</v>
      </c>
      <c r="F235" t="s">
        <v>14</v>
      </c>
      <c r="G235" t="s">
        <v>18</v>
      </c>
      <c r="H235">
        <v>0.14000000000000001</v>
      </c>
      <c r="I235">
        <v>0.16669999999999999</v>
      </c>
      <c r="J235">
        <v>0.59</v>
      </c>
      <c r="K235">
        <v>0.1045</v>
      </c>
      <c r="L235">
        <v>2</v>
      </c>
      <c r="M235">
        <v>10</v>
      </c>
      <c r="N235">
        <v>12</v>
      </c>
    </row>
    <row r="236" spans="1:14" x14ac:dyDescent="0.3">
      <c r="A236">
        <v>235</v>
      </c>
      <c r="B236">
        <v>40554</v>
      </c>
      <c r="C236">
        <v>4.1666666666666741E-2</v>
      </c>
      <c r="D236" t="s">
        <v>8</v>
      </c>
      <c r="E236" t="s">
        <v>9</v>
      </c>
      <c r="F236" t="s">
        <v>14</v>
      </c>
      <c r="G236" t="s">
        <v>18</v>
      </c>
      <c r="H236">
        <v>0.14000000000000001</v>
      </c>
      <c r="I236">
        <v>0.1515</v>
      </c>
      <c r="J236">
        <v>0.59</v>
      </c>
      <c r="K236">
        <v>0.16420000000000001</v>
      </c>
      <c r="L236">
        <v>0</v>
      </c>
      <c r="M236">
        <v>3</v>
      </c>
      <c r="N236">
        <v>3</v>
      </c>
    </row>
    <row r="237" spans="1:14" x14ac:dyDescent="0.3">
      <c r="A237">
        <v>236</v>
      </c>
      <c r="B237">
        <v>40554</v>
      </c>
      <c r="C237">
        <v>8.3333333333333259E-2</v>
      </c>
      <c r="D237" t="s">
        <v>8</v>
      </c>
      <c r="E237" t="s">
        <v>9</v>
      </c>
      <c r="F237" t="s">
        <v>14</v>
      </c>
      <c r="G237" t="s">
        <v>19</v>
      </c>
      <c r="H237">
        <v>0.16</v>
      </c>
      <c r="I237">
        <v>0.1515</v>
      </c>
      <c r="J237">
        <v>0.55000000000000004</v>
      </c>
      <c r="K237">
        <v>0.19400000000000001</v>
      </c>
      <c r="L237">
        <v>0</v>
      </c>
      <c r="M237">
        <v>3</v>
      </c>
      <c r="N237">
        <v>3</v>
      </c>
    </row>
    <row r="238" spans="1:14" x14ac:dyDescent="0.3">
      <c r="A238">
        <v>237</v>
      </c>
      <c r="B238">
        <v>40554</v>
      </c>
      <c r="C238">
        <v>0.20833333333333326</v>
      </c>
      <c r="D238" t="s">
        <v>8</v>
      </c>
      <c r="E238" t="s">
        <v>9</v>
      </c>
      <c r="F238" t="s">
        <v>14</v>
      </c>
      <c r="G238" t="s">
        <v>19</v>
      </c>
      <c r="H238">
        <v>0.16</v>
      </c>
      <c r="I238">
        <v>0.18179999999999999</v>
      </c>
      <c r="J238">
        <v>0.55000000000000004</v>
      </c>
      <c r="K238">
        <v>0.1343</v>
      </c>
      <c r="L238">
        <v>0</v>
      </c>
      <c r="M238">
        <v>6</v>
      </c>
      <c r="N238">
        <v>6</v>
      </c>
    </row>
    <row r="239" spans="1:14" x14ac:dyDescent="0.3">
      <c r="A239">
        <v>238</v>
      </c>
      <c r="B239">
        <v>40554</v>
      </c>
      <c r="C239">
        <v>0.25</v>
      </c>
      <c r="D239" t="s">
        <v>8</v>
      </c>
      <c r="E239" t="s">
        <v>9</v>
      </c>
      <c r="F239" t="s">
        <v>14</v>
      </c>
      <c r="G239" t="s">
        <v>19</v>
      </c>
      <c r="H239">
        <v>0.16</v>
      </c>
      <c r="I239">
        <v>0.18179999999999999</v>
      </c>
      <c r="J239">
        <v>0.55000000000000004</v>
      </c>
      <c r="K239">
        <v>0.1343</v>
      </c>
      <c r="L239">
        <v>0</v>
      </c>
      <c r="M239">
        <v>27</v>
      </c>
      <c r="N239">
        <v>27</v>
      </c>
    </row>
    <row r="240" spans="1:14" x14ac:dyDescent="0.3">
      <c r="A240">
        <v>239</v>
      </c>
      <c r="B240">
        <v>40554</v>
      </c>
      <c r="C240">
        <v>0.29166666666666674</v>
      </c>
      <c r="D240" t="s">
        <v>8</v>
      </c>
      <c r="E240" t="s">
        <v>9</v>
      </c>
      <c r="F240" t="s">
        <v>14</v>
      </c>
      <c r="G240" t="s">
        <v>19</v>
      </c>
      <c r="H240">
        <v>0.16</v>
      </c>
      <c r="I240">
        <v>0.2273</v>
      </c>
      <c r="J240">
        <v>0.55000000000000004</v>
      </c>
      <c r="K240">
        <v>0</v>
      </c>
      <c r="L240">
        <v>2</v>
      </c>
      <c r="M240">
        <v>97</v>
      </c>
      <c r="N240">
        <v>99</v>
      </c>
    </row>
    <row r="241" spans="1:14" x14ac:dyDescent="0.3">
      <c r="A241">
        <v>240</v>
      </c>
      <c r="B241">
        <v>40554</v>
      </c>
      <c r="C241">
        <v>0.33333333333333326</v>
      </c>
      <c r="D241" t="s">
        <v>8</v>
      </c>
      <c r="E241" t="s">
        <v>9</v>
      </c>
      <c r="F241" t="s">
        <v>14</v>
      </c>
      <c r="G241" t="s">
        <v>19</v>
      </c>
      <c r="H241">
        <v>0.18</v>
      </c>
      <c r="I241">
        <v>0.21210000000000001</v>
      </c>
      <c r="J241">
        <v>0.51</v>
      </c>
      <c r="K241">
        <v>8.9599999999999999E-2</v>
      </c>
      <c r="L241">
        <v>3</v>
      </c>
      <c r="M241">
        <v>214</v>
      </c>
      <c r="N241">
        <v>217</v>
      </c>
    </row>
    <row r="242" spans="1:14" x14ac:dyDescent="0.3">
      <c r="A242">
        <v>241</v>
      </c>
      <c r="B242">
        <v>40554</v>
      </c>
      <c r="C242">
        <v>0.375</v>
      </c>
      <c r="D242" t="s">
        <v>8</v>
      </c>
      <c r="E242" t="s">
        <v>9</v>
      </c>
      <c r="F242" t="s">
        <v>14</v>
      </c>
      <c r="G242" t="s">
        <v>19</v>
      </c>
      <c r="H242">
        <v>0.18</v>
      </c>
      <c r="I242">
        <v>0.19700000000000001</v>
      </c>
      <c r="J242">
        <v>0.51</v>
      </c>
      <c r="K242">
        <v>0.16420000000000001</v>
      </c>
      <c r="L242">
        <v>3</v>
      </c>
      <c r="M242">
        <v>127</v>
      </c>
      <c r="N242">
        <v>130</v>
      </c>
    </row>
    <row r="243" spans="1:14" x14ac:dyDescent="0.3">
      <c r="A243">
        <v>242</v>
      </c>
      <c r="B243">
        <v>40554</v>
      </c>
      <c r="C243">
        <v>0.41666666666666674</v>
      </c>
      <c r="D243" t="s">
        <v>8</v>
      </c>
      <c r="E243" t="s">
        <v>9</v>
      </c>
      <c r="F243" t="s">
        <v>14</v>
      </c>
      <c r="G243" t="s">
        <v>19</v>
      </c>
      <c r="H243">
        <v>0.2</v>
      </c>
      <c r="I243">
        <v>0.21210000000000001</v>
      </c>
      <c r="J243">
        <v>0.51</v>
      </c>
      <c r="K243">
        <v>0.16420000000000001</v>
      </c>
      <c r="L243">
        <v>3</v>
      </c>
      <c r="M243">
        <v>51</v>
      </c>
      <c r="N243">
        <v>54</v>
      </c>
    </row>
    <row r="244" spans="1:14" x14ac:dyDescent="0.3">
      <c r="A244">
        <v>243</v>
      </c>
      <c r="B244">
        <v>40554</v>
      </c>
      <c r="C244">
        <v>0.45833333333333326</v>
      </c>
      <c r="D244" t="s">
        <v>8</v>
      </c>
      <c r="E244" t="s">
        <v>9</v>
      </c>
      <c r="F244" t="s">
        <v>14</v>
      </c>
      <c r="G244" t="s">
        <v>19</v>
      </c>
      <c r="H244">
        <v>0.2</v>
      </c>
      <c r="I244">
        <v>0.21210000000000001</v>
      </c>
      <c r="J244">
        <v>0.47</v>
      </c>
      <c r="K244">
        <v>0.1343</v>
      </c>
      <c r="L244">
        <v>4</v>
      </c>
      <c r="M244">
        <v>31</v>
      </c>
      <c r="N244">
        <v>35</v>
      </c>
    </row>
    <row r="245" spans="1:14" x14ac:dyDescent="0.3">
      <c r="A245">
        <v>244</v>
      </c>
      <c r="B245">
        <v>40554</v>
      </c>
      <c r="C245">
        <v>0.5</v>
      </c>
      <c r="D245" t="s">
        <v>8</v>
      </c>
      <c r="E245" t="s">
        <v>9</v>
      </c>
      <c r="F245" t="s">
        <v>14</v>
      </c>
      <c r="G245" t="s">
        <v>19</v>
      </c>
      <c r="H245">
        <v>0.2</v>
      </c>
      <c r="I245">
        <v>0.2273</v>
      </c>
      <c r="J245">
        <v>0.51</v>
      </c>
      <c r="K245">
        <v>0.1045</v>
      </c>
      <c r="L245">
        <v>2</v>
      </c>
      <c r="M245">
        <v>55</v>
      </c>
      <c r="N245">
        <v>57</v>
      </c>
    </row>
    <row r="246" spans="1:14" x14ac:dyDescent="0.3">
      <c r="A246">
        <v>245</v>
      </c>
      <c r="B246">
        <v>40554</v>
      </c>
      <c r="C246">
        <v>0.54166666666666674</v>
      </c>
      <c r="D246" t="s">
        <v>8</v>
      </c>
      <c r="E246" t="s">
        <v>9</v>
      </c>
      <c r="F246" t="s">
        <v>14</v>
      </c>
      <c r="G246" t="s">
        <v>19</v>
      </c>
      <c r="H246">
        <v>0.2</v>
      </c>
      <c r="I246">
        <v>0.2273</v>
      </c>
      <c r="J246">
        <v>0.59</v>
      </c>
      <c r="K246">
        <v>8.9599999999999999E-2</v>
      </c>
      <c r="L246">
        <v>6</v>
      </c>
      <c r="M246">
        <v>46</v>
      </c>
      <c r="N246">
        <v>52</v>
      </c>
    </row>
    <row r="247" spans="1:14" x14ac:dyDescent="0.3">
      <c r="A247">
        <v>246</v>
      </c>
      <c r="B247">
        <v>40554</v>
      </c>
      <c r="C247">
        <v>0.58333333333333326</v>
      </c>
      <c r="D247" t="s">
        <v>8</v>
      </c>
      <c r="E247" t="s">
        <v>9</v>
      </c>
      <c r="F247" t="s">
        <v>14</v>
      </c>
      <c r="G247" t="s">
        <v>19</v>
      </c>
      <c r="H247">
        <v>0.2</v>
      </c>
      <c r="I247">
        <v>0.2273</v>
      </c>
      <c r="J247">
        <v>0.59</v>
      </c>
      <c r="K247">
        <v>8.9599999999999999E-2</v>
      </c>
      <c r="L247">
        <v>3</v>
      </c>
      <c r="M247">
        <v>60</v>
      </c>
      <c r="N247">
        <v>63</v>
      </c>
    </row>
    <row r="248" spans="1:14" x14ac:dyDescent="0.3">
      <c r="A248">
        <v>247</v>
      </c>
      <c r="B248">
        <v>40554</v>
      </c>
      <c r="C248">
        <v>0.625</v>
      </c>
      <c r="D248" t="s">
        <v>8</v>
      </c>
      <c r="E248" t="s">
        <v>9</v>
      </c>
      <c r="F248" t="s">
        <v>14</v>
      </c>
      <c r="G248" t="s">
        <v>19</v>
      </c>
      <c r="H248">
        <v>0.16</v>
      </c>
      <c r="I248">
        <v>0.19700000000000001</v>
      </c>
      <c r="J248">
        <v>0.8</v>
      </c>
      <c r="K248">
        <v>8.9599999999999999E-2</v>
      </c>
      <c r="L248">
        <v>2</v>
      </c>
      <c r="M248">
        <v>45</v>
      </c>
      <c r="N248">
        <v>47</v>
      </c>
    </row>
    <row r="249" spans="1:14" x14ac:dyDescent="0.3">
      <c r="A249">
        <v>248</v>
      </c>
      <c r="B249">
        <v>40554</v>
      </c>
      <c r="C249">
        <v>0.66666666666666674</v>
      </c>
      <c r="D249" t="s">
        <v>8</v>
      </c>
      <c r="E249" t="s">
        <v>9</v>
      </c>
      <c r="F249" t="s">
        <v>14</v>
      </c>
      <c r="G249" t="s">
        <v>19</v>
      </c>
      <c r="H249">
        <v>0.16</v>
      </c>
      <c r="I249">
        <v>0.1515</v>
      </c>
      <c r="J249">
        <v>0.86</v>
      </c>
      <c r="K249">
        <v>0.22389999999999999</v>
      </c>
      <c r="L249">
        <v>4</v>
      </c>
      <c r="M249">
        <v>72</v>
      </c>
      <c r="N249">
        <v>76</v>
      </c>
    </row>
    <row r="250" spans="1:14" x14ac:dyDescent="0.3">
      <c r="A250">
        <v>249</v>
      </c>
      <c r="B250">
        <v>40554</v>
      </c>
      <c r="C250">
        <v>0.70833333333333326</v>
      </c>
      <c r="D250" t="s">
        <v>8</v>
      </c>
      <c r="E250" t="s">
        <v>9</v>
      </c>
      <c r="F250" t="s">
        <v>14</v>
      </c>
      <c r="G250" t="s">
        <v>19</v>
      </c>
      <c r="H250">
        <v>0.16</v>
      </c>
      <c r="I250">
        <v>0.1515</v>
      </c>
      <c r="J250">
        <v>0.86</v>
      </c>
      <c r="K250">
        <v>0.22389999999999999</v>
      </c>
      <c r="L250">
        <v>6</v>
      </c>
      <c r="M250">
        <v>130</v>
      </c>
      <c r="N250">
        <v>136</v>
      </c>
    </row>
    <row r="251" spans="1:14" x14ac:dyDescent="0.3">
      <c r="A251">
        <v>250</v>
      </c>
      <c r="B251">
        <v>40554</v>
      </c>
      <c r="C251">
        <v>0.75</v>
      </c>
      <c r="D251" t="s">
        <v>8</v>
      </c>
      <c r="E251" t="s">
        <v>9</v>
      </c>
      <c r="F251" t="s">
        <v>14</v>
      </c>
      <c r="G251" t="s">
        <v>20</v>
      </c>
      <c r="H251">
        <v>0.16</v>
      </c>
      <c r="I251">
        <v>0.18179999999999999</v>
      </c>
      <c r="J251">
        <v>0.93</v>
      </c>
      <c r="K251">
        <v>0.1045</v>
      </c>
      <c r="L251">
        <v>1</v>
      </c>
      <c r="M251">
        <v>94</v>
      </c>
      <c r="N251">
        <v>95</v>
      </c>
    </row>
    <row r="252" spans="1:14" x14ac:dyDescent="0.3">
      <c r="A252">
        <v>251</v>
      </c>
      <c r="B252">
        <v>40554</v>
      </c>
      <c r="C252">
        <v>0.79166666666666674</v>
      </c>
      <c r="D252" t="s">
        <v>8</v>
      </c>
      <c r="E252" t="s">
        <v>9</v>
      </c>
      <c r="F252" t="s">
        <v>14</v>
      </c>
      <c r="G252" t="s">
        <v>20</v>
      </c>
      <c r="H252">
        <v>0.16</v>
      </c>
      <c r="I252">
        <v>0.2273</v>
      </c>
      <c r="J252">
        <v>0.93</v>
      </c>
      <c r="K252">
        <v>0</v>
      </c>
      <c r="L252">
        <v>0</v>
      </c>
      <c r="M252">
        <v>51</v>
      </c>
      <c r="N252">
        <v>51</v>
      </c>
    </row>
    <row r="253" spans="1:14" x14ac:dyDescent="0.3">
      <c r="A253">
        <v>252</v>
      </c>
      <c r="B253">
        <v>40554</v>
      </c>
      <c r="C253">
        <v>0.83333333333333326</v>
      </c>
      <c r="D253" t="s">
        <v>8</v>
      </c>
      <c r="E253" t="s">
        <v>9</v>
      </c>
      <c r="F253" t="s">
        <v>14</v>
      </c>
      <c r="G253" t="s">
        <v>20</v>
      </c>
      <c r="H253">
        <v>0.16</v>
      </c>
      <c r="I253">
        <v>0.1515</v>
      </c>
      <c r="J253">
        <v>0.93</v>
      </c>
      <c r="K253">
        <v>0.19400000000000001</v>
      </c>
      <c r="L253">
        <v>0</v>
      </c>
      <c r="M253">
        <v>32</v>
      </c>
      <c r="N253">
        <v>32</v>
      </c>
    </row>
    <row r="254" spans="1:14" x14ac:dyDescent="0.3">
      <c r="A254">
        <v>253</v>
      </c>
      <c r="B254">
        <v>40554</v>
      </c>
      <c r="C254">
        <v>0.875</v>
      </c>
      <c r="D254" t="s">
        <v>8</v>
      </c>
      <c r="E254" t="s">
        <v>9</v>
      </c>
      <c r="F254" t="s">
        <v>14</v>
      </c>
      <c r="G254" t="s">
        <v>20</v>
      </c>
      <c r="H254">
        <v>0.16</v>
      </c>
      <c r="I254">
        <v>0.19700000000000001</v>
      </c>
      <c r="J254">
        <v>0.86</v>
      </c>
      <c r="K254">
        <v>8.9599999999999999E-2</v>
      </c>
      <c r="L254">
        <v>0</v>
      </c>
      <c r="M254">
        <v>20</v>
      </c>
      <c r="N254">
        <v>20</v>
      </c>
    </row>
    <row r="255" spans="1:14" x14ac:dyDescent="0.3">
      <c r="A255">
        <v>254</v>
      </c>
      <c r="B255">
        <v>40554</v>
      </c>
      <c r="C255">
        <v>0.91666666666666674</v>
      </c>
      <c r="D255" t="s">
        <v>8</v>
      </c>
      <c r="E255" t="s">
        <v>9</v>
      </c>
      <c r="F255" t="s">
        <v>14</v>
      </c>
      <c r="G255" t="s">
        <v>20</v>
      </c>
      <c r="H255">
        <v>0.16</v>
      </c>
      <c r="I255">
        <v>0.18179999999999999</v>
      </c>
      <c r="J255">
        <v>0.93</v>
      </c>
      <c r="K255">
        <v>0.1045</v>
      </c>
      <c r="L255">
        <v>1</v>
      </c>
      <c r="M255">
        <v>28</v>
      </c>
      <c r="N255">
        <v>29</v>
      </c>
    </row>
    <row r="256" spans="1:14" x14ac:dyDescent="0.3">
      <c r="A256">
        <v>255</v>
      </c>
      <c r="B256">
        <v>40554</v>
      </c>
      <c r="C256">
        <v>0.95833333333333326</v>
      </c>
      <c r="D256" t="s">
        <v>8</v>
      </c>
      <c r="E256" t="s">
        <v>9</v>
      </c>
      <c r="F256" t="s">
        <v>14</v>
      </c>
      <c r="G256" t="s">
        <v>20</v>
      </c>
      <c r="H256">
        <v>0.16</v>
      </c>
      <c r="I256">
        <v>0.19700000000000001</v>
      </c>
      <c r="J256">
        <v>0.93</v>
      </c>
      <c r="K256">
        <v>8.9599999999999999E-2</v>
      </c>
      <c r="L256">
        <v>1</v>
      </c>
      <c r="M256">
        <v>18</v>
      </c>
      <c r="N256">
        <v>19</v>
      </c>
    </row>
    <row r="257" spans="1:14" x14ac:dyDescent="0.3">
      <c r="A257">
        <v>256</v>
      </c>
      <c r="B257">
        <v>40555</v>
      </c>
      <c r="C257">
        <v>0</v>
      </c>
      <c r="D257" t="s">
        <v>8</v>
      </c>
      <c r="E257" t="s">
        <v>9</v>
      </c>
      <c r="F257" t="s">
        <v>15</v>
      </c>
      <c r="G257" t="s">
        <v>19</v>
      </c>
      <c r="H257">
        <v>0.16</v>
      </c>
      <c r="I257">
        <v>0.19700000000000001</v>
      </c>
      <c r="J257">
        <v>0.86</v>
      </c>
      <c r="K257">
        <v>8.9599999999999999E-2</v>
      </c>
      <c r="L257">
        <v>0</v>
      </c>
      <c r="M257">
        <v>7</v>
      </c>
      <c r="N257">
        <v>7</v>
      </c>
    </row>
    <row r="258" spans="1:14" x14ac:dyDescent="0.3">
      <c r="A258">
        <v>257</v>
      </c>
      <c r="B258">
        <v>40555</v>
      </c>
      <c r="C258">
        <v>4.1666666666666741E-2</v>
      </c>
      <c r="D258" t="s">
        <v>8</v>
      </c>
      <c r="E258" t="s">
        <v>9</v>
      </c>
      <c r="F258" t="s">
        <v>15</v>
      </c>
      <c r="G258" t="s">
        <v>19</v>
      </c>
      <c r="H258">
        <v>0.16</v>
      </c>
      <c r="I258">
        <v>0.18179999999999999</v>
      </c>
      <c r="J258">
        <v>0.86</v>
      </c>
      <c r="K258">
        <v>0.1045</v>
      </c>
      <c r="L258">
        <v>0</v>
      </c>
      <c r="M258">
        <v>6</v>
      </c>
      <c r="N258">
        <v>6</v>
      </c>
    </row>
    <row r="259" spans="1:14" x14ac:dyDescent="0.3">
      <c r="A259">
        <v>258</v>
      </c>
      <c r="B259">
        <v>40555</v>
      </c>
      <c r="C259">
        <v>8.3333333333333259E-2</v>
      </c>
      <c r="D259" t="s">
        <v>8</v>
      </c>
      <c r="E259" t="s">
        <v>9</v>
      </c>
      <c r="F259" t="s">
        <v>15</v>
      </c>
      <c r="G259" t="s">
        <v>18</v>
      </c>
      <c r="H259">
        <v>0.14000000000000001</v>
      </c>
      <c r="I259">
        <v>0.1515</v>
      </c>
      <c r="J259">
        <v>0.86</v>
      </c>
      <c r="K259">
        <v>0.1343</v>
      </c>
      <c r="L259">
        <v>0</v>
      </c>
      <c r="M259">
        <v>1</v>
      </c>
      <c r="N259">
        <v>1</v>
      </c>
    </row>
    <row r="260" spans="1:14" x14ac:dyDescent="0.3">
      <c r="A260">
        <v>259</v>
      </c>
      <c r="B260">
        <v>40555</v>
      </c>
      <c r="C260">
        <v>0.20833333333333326</v>
      </c>
      <c r="D260" t="s">
        <v>8</v>
      </c>
      <c r="E260" t="s">
        <v>9</v>
      </c>
      <c r="F260" t="s">
        <v>15</v>
      </c>
      <c r="G260" t="s">
        <v>18</v>
      </c>
      <c r="H260">
        <v>0.14000000000000001</v>
      </c>
      <c r="I260">
        <v>0.1515</v>
      </c>
      <c r="J260">
        <v>0.86</v>
      </c>
      <c r="K260">
        <v>0.16420000000000001</v>
      </c>
      <c r="L260">
        <v>0</v>
      </c>
      <c r="M260">
        <v>5</v>
      </c>
      <c r="N260">
        <v>5</v>
      </c>
    </row>
    <row r="261" spans="1:14" x14ac:dyDescent="0.3">
      <c r="A261">
        <v>260</v>
      </c>
      <c r="B261">
        <v>40555</v>
      </c>
      <c r="C261">
        <v>0.25</v>
      </c>
      <c r="D261" t="s">
        <v>8</v>
      </c>
      <c r="E261" t="s">
        <v>9</v>
      </c>
      <c r="F261" t="s">
        <v>15</v>
      </c>
      <c r="G261" t="s">
        <v>18</v>
      </c>
      <c r="H261">
        <v>0.12</v>
      </c>
      <c r="I261">
        <v>0.1515</v>
      </c>
      <c r="J261">
        <v>0.93</v>
      </c>
      <c r="K261">
        <v>0.1343</v>
      </c>
      <c r="L261">
        <v>0</v>
      </c>
      <c r="M261">
        <v>16</v>
      </c>
      <c r="N261">
        <v>16</v>
      </c>
    </row>
    <row r="262" spans="1:14" x14ac:dyDescent="0.3">
      <c r="A262">
        <v>261</v>
      </c>
      <c r="B262">
        <v>40555</v>
      </c>
      <c r="C262">
        <v>0.29166666666666674</v>
      </c>
      <c r="D262" t="s">
        <v>8</v>
      </c>
      <c r="E262" t="s">
        <v>9</v>
      </c>
      <c r="F262" t="s">
        <v>15</v>
      </c>
      <c r="G262" t="s">
        <v>18</v>
      </c>
      <c r="H262">
        <v>0.14000000000000001</v>
      </c>
      <c r="I262">
        <v>0.1515</v>
      </c>
      <c r="J262">
        <v>0.69</v>
      </c>
      <c r="K262">
        <v>0.1343</v>
      </c>
      <c r="L262">
        <v>0</v>
      </c>
      <c r="M262">
        <v>54</v>
      </c>
      <c r="N262">
        <v>54</v>
      </c>
    </row>
    <row r="263" spans="1:14" x14ac:dyDescent="0.3">
      <c r="A263">
        <v>262</v>
      </c>
      <c r="B263">
        <v>40555</v>
      </c>
      <c r="C263">
        <v>0.33333333333333326</v>
      </c>
      <c r="D263" t="s">
        <v>8</v>
      </c>
      <c r="E263" t="s">
        <v>9</v>
      </c>
      <c r="F263" t="s">
        <v>15</v>
      </c>
      <c r="G263" t="s">
        <v>18</v>
      </c>
      <c r="H263">
        <v>0.16</v>
      </c>
      <c r="I263">
        <v>0.16669999999999999</v>
      </c>
      <c r="J263">
        <v>0.59</v>
      </c>
      <c r="K263">
        <v>0.16420000000000001</v>
      </c>
      <c r="L263">
        <v>3</v>
      </c>
      <c r="M263">
        <v>125</v>
      </c>
      <c r="N263">
        <v>128</v>
      </c>
    </row>
    <row r="264" spans="1:14" x14ac:dyDescent="0.3">
      <c r="A264">
        <v>263</v>
      </c>
      <c r="B264">
        <v>40555</v>
      </c>
      <c r="C264">
        <v>0.375</v>
      </c>
      <c r="D264" t="s">
        <v>8</v>
      </c>
      <c r="E264" t="s">
        <v>9</v>
      </c>
      <c r="F264" t="s">
        <v>15</v>
      </c>
      <c r="G264" t="s">
        <v>18</v>
      </c>
      <c r="H264">
        <v>0.16</v>
      </c>
      <c r="I264">
        <v>0.13639999999999999</v>
      </c>
      <c r="J264">
        <v>0.59</v>
      </c>
      <c r="K264">
        <v>0.32840000000000003</v>
      </c>
      <c r="L264">
        <v>3</v>
      </c>
      <c r="M264">
        <v>78</v>
      </c>
      <c r="N264">
        <v>81</v>
      </c>
    </row>
    <row r="265" spans="1:14" x14ac:dyDescent="0.3">
      <c r="A265">
        <v>264</v>
      </c>
      <c r="B265">
        <v>40555</v>
      </c>
      <c r="C265">
        <v>0.41666666666666674</v>
      </c>
      <c r="D265" t="s">
        <v>8</v>
      </c>
      <c r="E265" t="s">
        <v>9</v>
      </c>
      <c r="F265" t="s">
        <v>15</v>
      </c>
      <c r="G265" t="s">
        <v>18</v>
      </c>
      <c r="H265">
        <v>0.18</v>
      </c>
      <c r="I265">
        <v>0.18179999999999999</v>
      </c>
      <c r="J265">
        <v>0.55000000000000004</v>
      </c>
      <c r="K265">
        <v>0.22389999999999999</v>
      </c>
      <c r="L265">
        <v>0</v>
      </c>
      <c r="M265">
        <v>39</v>
      </c>
      <c r="N265">
        <v>39</v>
      </c>
    </row>
    <row r="266" spans="1:14" x14ac:dyDescent="0.3">
      <c r="A266">
        <v>265</v>
      </c>
      <c r="B266">
        <v>40555</v>
      </c>
      <c r="C266">
        <v>0.45833333333333326</v>
      </c>
      <c r="D266" t="s">
        <v>8</v>
      </c>
      <c r="E266" t="s">
        <v>9</v>
      </c>
      <c r="F266" t="s">
        <v>15</v>
      </c>
      <c r="G266" t="s">
        <v>18</v>
      </c>
      <c r="H266">
        <v>0.2</v>
      </c>
      <c r="I266">
        <v>0.18179999999999999</v>
      </c>
      <c r="J266">
        <v>0.51</v>
      </c>
      <c r="K266">
        <v>0.3881</v>
      </c>
      <c r="L266">
        <v>3</v>
      </c>
      <c r="M266">
        <v>32</v>
      </c>
      <c r="N266">
        <v>35</v>
      </c>
    </row>
    <row r="267" spans="1:14" x14ac:dyDescent="0.3">
      <c r="A267">
        <v>266</v>
      </c>
      <c r="B267">
        <v>40555</v>
      </c>
      <c r="C267">
        <v>0.5</v>
      </c>
      <c r="D267" t="s">
        <v>8</v>
      </c>
      <c r="E267" t="s">
        <v>9</v>
      </c>
      <c r="F267" t="s">
        <v>15</v>
      </c>
      <c r="G267" t="s">
        <v>18</v>
      </c>
      <c r="H267">
        <v>0.2</v>
      </c>
      <c r="I267">
        <v>0.1515</v>
      </c>
      <c r="J267">
        <v>0.47</v>
      </c>
      <c r="K267">
        <v>0.58209999999999995</v>
      </c>
      <c r="L267">
        <v>3</v>
      </c>
      <c r="M267">
        <v>52</v>
      </c>
      <c r="N267">
        <v>55</v>
      </c>
    </row>
    <row r="268" spans="1:14" x14ac:dyDescent="0.3">
      <c r="A268">
        <v>267</v>
      </c>
      <c r="B268">
        <v>40555</v>
      </c>
      <c r="C268">
        <v>0.54166666666666674</v>
      </c>
      <c r="D268" t="s">
        <v>8</v>
      </c>
      <c r="E268" t="s">
        <v>9</v>
      </c>
      <c r="F268" t="s">
        <v>15</v>
      </c>
      <c r="G268" t="s">
        <v>18</v>
      </c>
      <c r="H268">
        <v>0.22</v>
      </c>
      <c r="I268">
        <v>0.19700000000000001</v>
      </c>
      <c r="J268">
        <v>0.44</v>
      </c>
      <c r="K268">
        <v>0.35820000000000002</v>
      </c>
      <c r="L268">
        <v>0</v>
      </c>
      <c r="M268">
        <v>49</v>
      </c>
      <c r="N268">
        <v>49</v>
      </c>
    </row>
    <row r="269" spans="1:14" x14ac:dyDescent="0.3">
      <c r="A269">
        <v>268</v>
      </c>
      <c r="B269">
        <v>40555</v>
      </c>
      <c r="C269">
        <v>0.58333333333333326</v>
      </c>
      <c r="D269" t="s">
        <v>8</v>
      </c>
      <c r="E269" t="s">
        <v>9</v>
      </c>
      <c r="F269" t="s">
        <v>15</v>
      </c>
      <c r="G269" t="s">
        <v>18</v>
      </c>
      <c r="H269">
        <v>0.2</v>
      </c>
      <c r="I269">
        <v>0.18179999999999999</v>
      </c>
      <c r="J269">
        <v>0.47</v>
      </c>
      <c r="K269">
        <v>0.32840000000000003</v>
      </c>
      <c r="L269">
        <v>0</v>
      </c>
      <c r="M269">
        <v>44</v>
      </c>
      <c r="N269">
        <v>44</v>
      </c>
    </row>
    <row r="270" spans="1:14" x14ac:dyDescent="0.3">
      <c r="A270">
        <v>269</v>
      </c>
      <c r="B270">
        <v>40555</v>
      </c>
      <c r="C270">
        <v>0.625</v>
      </c>
      <c r="D270" t="s">
        <v>8</v>
      </c>
      <c r="E270" t="s">
        <v>9</v>
      </c>
      <c r="F270" t="s">
        <v>15</v>
      </c>
      <c r="G270" t="s">
        <v>18</v>
      </c>
      <c r="H270">
        <v>0.2</v>
      </c>
      <c r="I270">
        <v>0.16669999999999999</v>
      </c>
      <c r="J270">
        <v>0.47</v>
      </c>
      <c r="K270">
        <v>0.41789999999999999</v>
      </c>
      <c r="L270">
        <v>1</v>
      </c>
      <c r="M270">
        <v>48</v>
      </c>
      <c r="N270">
        <v>49</v>
      </c>
    </row>
    <row r="271" spans="1:14" x14ac:dyDescent="0.3">
      <c r="A271">
        <v>270</v>
      </c>
      <c r="B271">
        <v>40555</v>
      </c>
      <c r="C271">
        <v>0.66666666666666674</v>
      </c>
      <c r="D271" t="s">
        <v>8</v>
      </c>
      <c r="E271" t="s">
        <v>9</v>
      </c>
      <c r="F271" t="s">
        <v>15</v>
      </c>
      <c r="G271" t="s">
        <v>18</v>
      </c>
      <c r="H271">
        <v>0.22</v>
      </c>
      <c r="I271">
        <v>0.19700000000000001</v>
      </c>
      <c r="J271">
        <v>0.44</v>
      </c>
      <c r="K271">
        <v>0.32840000000000003</v>
      </c>
      <c r="L271">
        <v>5</v>
      </c>
      <c r="M271">
        <v>63</v>
      </c>
      <c r="N271">
        <v>68</v>
      </c>
    </row>
    <row r="272" spans="1:14" x14ac:dyDescent="0.3">
      <c r="A272">
        <v>271</v>
      </c>
      <c r="B272">
        <v>40555</v>
      </c>
      <c r="C272">
        <v>0.70833333333333326</v>
      </c>
      <c r="D272" t="s">
        <v>8</v>
      </c>
      <c r="E272" t="s">
        <v>9</v>
      </c>
      <c r="F272" t="s">
        <v>15</v>
      </c>
      <c r="G272" t="s">
        <v>18</v>
      </c>
      <c r="H272">
        <v>0.2</v>
      </c>
      <c r="I272">
        <v>0.18179999999999999</v>
      </c>
      <c r="J272">
        <v>0.47</v>
      </c>
      <c r="K272">
        <v>0.35820000000000002</v>
      </c>
      <c r="L272">
        <v>0</v>
      </c>
      <c r="M272">
        <v>139</v>
      </c>
      <c r="N272">
        <v>139</v>
      </c>
    </row>
    <row r="273" spans="1:14" x14ac:dyDescent="0.3">
      <c r="A273">
        <v>272</v>
      </c>
      <c r="B273">
        <v>40555</v>
      </c>
      <c r="C273">
        <v>0.75</v>
      </c>
      <c r="D273" t="s">
        <v>8</v>
      </c>
      <c r="E273" t="s">
        <v>9</v>
      </c>
      <c r="F273" t="s">
        <v>15</v>
      </c>
      <c r="G273" t="s">
        <v>18</v>
      </c>
      <c r="H273">
        <v>0.2</v>
      </c>
      <c r="I273">
        <v>0.1515</v>
      </c>
      <c r="J273">
        <v>0.47</v>
      </c>
      <c r="K273">
        <v>0.52239999999999998</v>
      </c>
      <c r="L273">
        <v>2</v>
      </c>
      <c r="M273">
        <v>135</v>
      </c>
      <c r="N273">
        <v>137</v>
      </c>
    </row>
    <row r="274" spans="1:14" x14ac:dyDescent="0.3">
      <c r="A274">
        <v>273</v>
      </c>
      <c r="B274">
        <v>40555</v>
      </c>
      <c r="C274">
        <v>0.79166666666666674</v>
      </c>
      <c r="D274" t="s">
        <v>8</v>
      </c>
      <c r="E274" t="s">
        <v>9</v>
      </c>
      <c r="F274" t="s">
        <v>15</v>
      </c>
      <c r="G274" t="s">
        <v>18</v>
      </c>
      <c r="H274">
        <v>0.18</v>
      </c>
      <c r="I274">
        <v>0.1515</v>
      </c>
      <c r="J274">
        <v>0.47</v>
      </c>
      <c r="K274">
        <v>0.41789999999999999</v>
      </c>
      <c r="L274">
        <v>1</v>
      </c>
      <c r="M274">
        <v>82</v>
      </c>
      <c r="N274">
        <v>83</v>
      </c>
    </row>
    <row r="275" spans="1:14" x14ac:dyDescent="0.3">
      <c r="A275">
        <v>274</v>
      </c>
      <c r="B275">
        <v>40555</v>
      </c>
      <c r="C275">
        <v>0.83333333333333326</v>
      </c>
      <c r="D275" t="s">
        <v>8</v>
      </c>
      <c r="E275" t="s">
        <v>9</v>
      </c>
      <c r="F275" t="s">
        <v>15</v>
      </c>
      <c r="G275" t="s">
        <v>18</v>
      </c>
      <c r="H275">
        <v>0.16</v>
      </c>
      <c r="I275">
        <v>0.13639999999999999</v>
      </c>
      <c r="J275">
        <v>0.5</v>
      </c>
      <c r="K275">
        <v>0.32840000000000003</v>
      </c>
      <c r="L275">
        <v>2</v>
      </c>
      <c r="M275">
        <v>54</v>
      </c>
      <c r="N275">
        <v>56</v>
      </c>
    </row>
    <row r="276" spans="1:14" x14ac:dyDescent="0.3">
      <c r="A276">
        <v>275</v>
      </c>
      <c r="B276">
        <v>40555</v>
      </c>
      <c r="C276">
        <v>0.875</v>
      </c>
      <c r="D276" t="s">
        <v>8</v>
      </c>
      <c r="E276" t="s">
        <v>9</v>
      </c>
      <c r="F276" t="s">
        <v>15</v>
      </c>
      <c r="G276" t="s">
        <v>18</v>
      </c>
      <c r="H276">
        <v>0.16</v>
      </c>
      <c r="I276">
        <v>0.13639999999999999</v>
      </c>
      <c r="J276">
        <v>0.55000000000000004</v>
      </c>
      <c r="K276">
        <v>0.32840000000000003</v>
      </c>
      <c r="L276">
        <v>0</v>
      </c>
      <c r="M276">
        <v>57</v>
      </c>
      <c r="N276">
        <v>57</v>
      </c>
    </row>
    <row r="277" spans="1:14" x14ac:dyDescent="0.3">
      <c r="A277">
        <v>276</v>
      </c>
      <c r="B277">
        <v>40555</v>
      </c>
      <c r="C277">
        <v>0.91666666666666674</v>
      </c>
      <c r="D277" t="s">
        <v>8</v>
      </c>
      <c r="E277" t="s">
        <v>9</v>
      </c>
      <c r="F277" t="s">
        <v>15</v>
      </c>
      <c r="G277" t="s">
        <v>18</v>
      </c>
      <c r="H277">
        <v>0.16</v>
      </c>
      <c r="I277">
        <v>0.1212</v>
      </c>
      <c r="J277">
        <v>0.55000000000000004</v>
      </c>
      <c r="K277">
        <v>0.44779999999999998</v>
      </c>
      <c r="L277">
        <v>1</v>
      </c>
      <c r="M277">
        <v>32</v>
      </c>
      <c r="N277">
        <v>33</v>
      </c>
    </row>
    <row r="278" spans="1:14" x14ac:dyDescent="0.3">
      <c r="A278">
        <v>277</v>
      </c>
      <c r="B278">
        <v>40555</v>
      </c>
      <c r="C278">
        <v>0.95833333333333326</v>
      </c>
      <c r="D278" t="s">
        <v>8</v>
      </c>
      <c r="E278" t="s">
        <v>9</v>
      </c>
      <c r="F278" t="s">
        <v>15</v>
      </c>
      <c r="G278" t="s">
        <v>18</v>
      </c>
      <c r="H278">
        <v>0.14000000000000001</v>
      </c>
      <c r="I278">
        <v>0.1061</v>
      </c>
      <c r="J278">
        <v>0.59</v>
      </c>
      <c r="K278">
        <v>0.41789999999999999</v>
      </c>
      <c r="L278">
        <v>1</v>
      </c>
      <c r="M278">
        <v>19</v>
      </c>
      <c r="N278">
        <v>20</v>
      </c>
    </row>
    <row r="279" spans="1:14" x14ac:dyDescent="0.3">
      <c r="A279">
        <v>278</v>
      </c>
      <c r="B279">
        <v>40556</v>
      </c>
      <c r="C279">
        <v>0</v>
      </c>
      <c r="D279" t="s">
        <v>8</v>
      </c>
      <c r="E279" t="s">
        <v>9</v>
      </c>
      <c r="F279" t="s">
        <v>16</v>
      </c>
      <c r="G279" t="s">
        <v>18</v>
      </c>
      <c r="H279">
        <v>0.14000000000000001</v>
      </c>
      <c r="I279">
        <v>0.1212</v>
      </c>
      <c r="J279">
        <v>0.59</v>
      </c>
      <c r="K279">
        <v>0.28360000000000002</v>
      </c>
      <c r="L279">
        <v>1</v>
      </c>
      <c r="M279">
        <v>6</v>
      </c>
      <c r="N279">
        <v>7</v>
      </c>
    </row>
    <row r="280" spans="1:14" x14ac:dyDescent="0.3">
      <c r="A280">
        <v>279</v>
      </c>
      <c r="B280">
        <v>40556</v>
      </c>
      <c r="C280">
        <v>4.1666666666666741E-2</v>
      </c>
      <c r="D280" t="s">
        <v>8</v>
      </c>
      <c r="E280" t="s">
        <v>9</v>
      </c>
      <c r="F280" t="s">
        <v>16</v>
      </c>
      <c r="G280" t="s">
        <v>18</v>
      </c>
      <c r="H280">
        <v>0.14000000000000001</v>
      </c>
      <c r="I280">
        <v>0.1212</v>
      </c>
      <c r="J280">
        <v>0.5</v>
      </c>
      <c r="K280">
        <v>0.28360000000000002</v>
      </c>
      <c r="L280">
        <v>0</v>
      </c>
      <c r="M280">
        <v>2</v>
      </c>
      <c r="N280">
        <v>2</v>
      </c>
    </row>
    <row r="281" spans="1:14" x14ac:dyDescent="0.3">
      <c r="A281">
        <v>280</v>
      </c>
      <c r="B281">
        <v>40556</v>
      </c>
      <c r="C281">
        <v>8.3333333333333259E-2</v>
      </c>
      <c r="D281" t="s">
        <v>8</v>
      </c>
      <c r="E281" t="s">
        <v>9</v>
      </c>
      <c r="F281" t="s">
        <v>16</v>
      </c>
      <c r="G281" t="s">
        <v>18</v>
      </c>
      <c r="H281">
        <v>0.14000000000000001</v>
      </c>
      <c r="I281">
        <v>0.1212</v>
      </c>
      <c r="J281">
        <v>0.5</v>
      </c>
      <c r="K281">
        <v>0.35820000000000002</v>
      </c>
      <c r="L281">
        <v>0</v>
      </c>
      <c r="M281">
        <v>2</v>
      </c>
      <c r="N281">
        <v>2</v>
      </c>
    </row>
    <row r="282" spans="1:14" x14ac:dyDescent="0.3">
      <c r="A282">
        <v>281</v>
      </c>
      <c r="B282">
        <v>40556</v>
      </c>
      <c r="C282">
        <v>0.125</v>
      </c>
      <c r="D282" t="s">
        <v>8</v>
      </c>
      <c r="E282" t="s">
        <v>9</v>
      </c>
      <c r="F282" t="s">
        <v>16</v>
      </c>
      <c r="G282" t="s">
        <v>18</v>
      </c>
      <c r="H282">
        <v>0.14000000000000001</v>
      </c>
      <c r="I282">
        <v>0.1212</v>
      </c>
      <c r="J282">
        <v>0.5</v>
      </c>
      <c r="K282">
        <v>0.32840000000000003</v>
      </c>
      <c r="L282">
        <v>0</v>
      </c>
      <c r="M282">
        <v>3</v>
      </c>
      <c r="N282">
        <v>3</v>
      </c>
    </row>
    <row r="283" spans="1:14" x14ac:dyDescent="0.3">
      <c r="A283">
        <v>282</v>
      </c>
      <c r="B283">
        <v>40556</v>
      </c>
      <c r="C283">
        <v>0.16666666666666674</v>
      </c>
      <c r="D283" t="s">
        <v>8</v>
      </c>
      <c r="E283" t="s">
        <v>9</v>
      </c>
      <c r="F283" t="s">
        <v>16</v>
      </c>
      <c r="G283" t="s">
        <v>18</v>
      </c>
      <c r="H283">
        <v>0.14000000000000001</v>
      </c>
      <c r="I283">
        <v>0.1212</v>
      </c>
      <c r="J283">
        <v>0.5</v>
      </c>
      <c r="K283">
        <v>0.25369999999999998</v>
      </c>
      <c r="L283">
        <v>0</v>
      </c>
      <c r="M283">
        <v>4</v>
      </c>
      <c r="N283">
        <v>4</v>
      </c>
    </row>
    <row r="284" spans="1:14" x14ac:dyDescent="0.3">
      <c r="A284">
        <v>283</v>
      </c>
      <c r="B284">
        <v>40556</v>
      </c>
      <c r="C284">
        <v>0.20833333333333326</v>
      </c>
      <c r="D284" t="s">
        <v>8</v>
      </c>
      <c r="E284" t="s">
        <v>9</v>
      </c>
      <c r="F284" t="s">
        <v>16</v>
      </c>
      <c r="G284" t="s">
        <v>18</v>
      </c>
      <c r="H284">
        <v>0.14000000000000001</v>
      </c>
      <c r="I284">
        <v>0.1212</v>
      </c>
      <c r="J284">
        <v>0.5</v>
      </c>
      <c r="K284">
        <v>0.29849999999999999</v>
      </c>
      <c r="L284">
        <v>0</v>
      </c>
      <c r="M284">
        <v>3</v>
      </c>
      <c r="N284">
        <v>3</v>
      </c>
    </row>
    <row r="285" spans="1:14" x14ac:dyDescent="0.3">
      <c r="A285">
        <v>284</v>
      </c>
      <c r="B285">
        <v>40556</v>
      </c>
      <c r="C285">
        <v>0.25</v>
      </c>
      <c r="D285" t="s">
        <v>8</v>
      </c>
      <c r="E285" t="s">
        <v>9</v>
      </c>
      <c r="F285" t="s">
        <v>16</v>
      </c>
      <c r="G285" t="s">
        <v>18</v>
      </c>
      <c r="H285">
        <v>0.12</v>
      </c>
      <c r="I285">
        <v>0.1515</v>
      </c>
      <c r="J285">
        <v>0.54</v>
      </c>
      <c r="K285">
        <v>0.1343</v>
      </c>
      <c r="L285">
        <v>0</v>
      </c>
      <c r="M285">
        <v>28</v>
      </c>
      <c r="N285">
        <v>28</v>
      </c>
    </row>
    <row r="286" spans="1:14" x14ac:dyDescent="0.3">
      <c r="A286">
        <v>285</v>
      </c>
      <c r="B286">
        <v>40556</v>
      </c>
      <c r="C286">
        <v>0.29166666666666674</v>
      </c>
      <c r="D286" t="s">
        <v>8</v>
      </c>
      <c r="E286" t="s">
        <v>9</v>
      </c>
      <c r="F286" t="s">
        <v>16</v>
      </c>
      <c r="G286" t="s">
        <v>18</v>
      </c>
      <c r="H286">
        <v>0.12</v>
      </c>
      <c r="I286">
        <v>0.1515</v>
      </c>
      <c r="J286">
        <v>0.54</v>
      </c>
      <c r="K286">
        <v>0.1343</v>
      </c>
      <c r="L286">
        <v>0</v>
      </c>
      <c r="M286">
        <v>72</v>
      </c>
      <c r="N286">
        <v>72</v>
      </c>
    </row>
    <row r="287" spans="1:14" x14ac:dyDescent="0.3">
      <c r="A287">
        <v>286</v>
      </c>
      <c r="B287">
        <v>40556</v>
      </c>
      <c r="C287">
        <v>0.33333333333333326</v>
      </c>
      <c r="D287" t="s">
        <v>8</v>
      </c>
      <c r="E287" t="s">
        <v>9</v>
      </c>
      <c r="F287" t="s">
        <v>16</v>
      </c>
      <c r="G287" t="s">
        <v>18</v>
      </c>
      <c r="H287">
        <v>0.14000000000000001</v>
      </c>
      <c r="I287">
        <v>0.13639999999999999</v>
      </c>
      <c r="J287">
        <v>0.5</v>
      </c>
      <c r="K287">
        <v>0.19400000000000001</v>
      </c>
      <c r="L287">
        <v>5</v>
      </c>
      <c r="M287">
        <v>197</v>
      </c>
      <c r="N287">
        <v>202</v>
      </c>
    </row>
    <row r="288" spans="1:14" x14ac:dyDescent="0.3">
      <c r="A288">
        <v>287</v>
      </c>
      <c r="B288">
        <v>40556</v>
      </c>
      <c r="C288">
        <v>0.375</v>
      </c>
      <c r="D288" t="s">
        <v>8</v>
      </c>
      <c r="E288" t="s">
        <v>9</v>
      </c>
      <c r="F288" t="s">
        <v>16</v>
      </c>
      <c r="G288" t="s">
        <v>18</v>
      </c>
      <c r="H288">
        <v>0.14000000000000001</v>
      </c>
      <c r="I288">
        <v>0.1212</v>
      </c>
      <c r="J288">
        <v>0.5</v>
      </c>
      <c r="K288">
        <v>0.32840000000000003</v>
      </c>
      <c r="L288">
        <v>2</v>
      </c>
      <c r="M288">
        <v>137</v>
      </c>
      <c r="N288">
        <v>139</v>
      </c>
    </row>
    <row r="289" spans="1:14" x14ac:dyDescent="0.3">
      <c r="A289">
        <v>288</v>
      </c>
      <c r="B289">
        <v>40556</v>
      </c>
      <c r="C289">
        <v>0.41666666666666674</v>
      </c>
      <c r="D289" t="s">
        <v>8</v>
      </c>
      <c r="E289" t="s">
        <v>9</v>
      </c>
      <c r="F289" t="s">
        <v>16</v>
      </c>
      <c r="G289" t="s">
        <v>19</v>
      </c>
      <c r="H289">
        <v>0.16</v>
      </c>
      <c r="I289">
        <v>0.13639999999999999</v>
      </c>
      <c r="J289">
        <v>0.5</v>
      </c>
      <c r="K289">
        <v>0.35820000000000002</v>
      </c>
      <c r="L289">
        <v>2</v>
      </c>
      <c r="M289">
        <v>36</v>
      </c>
      <c r="N289">
        <v>38</v>
      </c>
    </row>
    <row r="290" spans="1:14" x14ac:dyDescent="0.3">
      <c r="A290">
        <v>289</v>
      </c>
      <c r="B290">
        <v>40556</v>
      </c>
      <c r="C290">
        <v>0.45833333333333326</v>
      </c>
      <c r="D290" t="s">
        <v>8</v>
      </c>
      <c r="E290" t="s">
        <v>9</v>
      </c>
      <c r="F290" t="s">
        <v>16</v>
      </c>
      <c r="G290" t="s">
        <v>19</v>
      </c>
      <c r="H290">
        <v>0.2</v>
      </c>
      <c r="I290">
        <v>0.16669999999999999</v>
      </c>
      <c r="J290">
        <v>0.44</v>
      </c>
      <c r="K290">
        <v>0.44779999999999998</v>
      </c>
      <c r="L290">
        <v>4</v>
      </c>
      <c r="M290">
        <v>33</v>
      </c>
      <c r="N290">
        <v>37</v>
      </c>
    </row>
    <row r="291" spans="1:14" x14ac:dyDescent="0.3">
      <c r="A291">
        <v>290</v>
      </c>
      <c r="B291">
        <v>40556</v>
      </c>
      <c r="C291">
        <v>0.5</v>
      </c>
      <c r="D291" t="s">
        <v>8</v>
      </c>
      <c r="E291" t="s">
        <v>9</v>
      </c>
      <c r="F291" t="s">
        <v>16</v>
      </c>
      <c r="G291" t="s">
        <v>18</v>
      </c>
      <c r="H291">
        <v>0.2</v>
      </c>
      <c r="I291">
        <v>0.16669999999999999</v>
      </c>
      <c r="J291">
        <v>0.44</v>
      </c>
      <c r="K291">
        <v>0.41789999999999999</v>
      </c>
      <c r="L291">
        <v>3</v>
      </c>
      <c r="M291">
        <v>49</v>
      </c>
      <c r="N291">
        <v>52</v>
      </c>
    </row>
    <row r="292" spans="1:14" x14ac:dyDescent="0.3">
      <c r="A292">
        <v>291</v>
      </c>
      <c r="B292">
        <v>40556</v>
      </c>
      <c r="C292">
        <v>0.54166666666666674</v>
      </c>
      <c r="D292" t="s">
        <v>8</v>
      </c>
      <c r="E292" t="s">
        <v>9</v>
      </c>
      <c r="F292" t="s">
        <v>16</v>
      </c>
      <c r="G292" t="s">
        <v>18</v>
      </c>
      <c r="H292">
        <v>0.22</v>
      </c>
      <c r="I292">
        <v>0.19700000000000001</v>
      </c>
      <c r="J292">
        <v>0.41</v>
      </c>
      <c r="K292">
        <v>0.44779999999999998</v>
      </c>
      <c r="L292">
        <v>2</v>
      </c>
      <c r="M292">
        <v>81</v>
      </c>
      <c r="N292">
        <v>83</v>
      </c>
    </row>
    <row r="293" spans="1:14" x14ac:dyDescent="0.3">
      <c r="A293">
        <v>292</v>
      </c>
      <c r="B293">
        <v>40556</v>
      </c>
      <c r="C293">
        <v>0.58333333333333326</v>
      </c>
      <c r="D293" t="s">
        <v>8</v>
      </c>
      <c r="E293" t="s">
        <v>9</v>
      </c>
      <c r="F293" t="s">
        <v>16</v>
      </c>
      <c r="G293" t="s">
        <v>18</v>
      </c>
      <c r="H293">
        <v>0.22</v>
      </c>
      <c r="I293">
        <v>0.19700000000000001</v>
      </c>
      <c r="J293">
        <v>0.41</v>
      </c>
      <c r="K293">
        <v>0.3881</v>
      </c>
      <c r="L293">
        <v>3</v>
      </c>
      <c r="M293">
        <v>39</v>
      </c>
      <c r="N293">
        <v>42</v>
      </c>
    </row>
    <row r="294" spans="1:14" x14ac:dyDescent="0.3">
      <c r="A294">
        <v>293</v>
      </c>
      <c r="B294">
        <v>40556</v>
      </c>
      <c r="C294">
        <v>0.625</v>
      </c>
      <c r="D294" t="s">
        <v>8</v>
      </c>
      <c r="E294" t="s">
        <v>9</v>
      </c>
      <c r="F294" t="s">
        <v>16</v>
      </c>
      <c r="G294" t="s">
        <v>18</v>
      </c>
      <c r="H294">
        <v>0.24</v>
      </c>
      <c r="I294">
        <v>0.21210000000000001</v>
      </c>
      <c r="J294">
        <v>0.38</v>
      </c>
      <c r="K294">
        <v>0.29849999999999999</v>
      </c>
      <c r="L294">
        <v>5</v>
      </c>
      <c r="M294">
        <v>55</v>
      </c>
      <c r="N294">
        <v>60</v>
      </c>
    </row>
    <row r="295" spans="1:14" x14ac:dyDescent="0.3">
      <c r="A295">
        <v>294</v>
      </c>
      <c r="B295">
        <v>40556</v>
      </c>
      <c r="C295">
        <v>0.66666666666666674</v>
      </c>
      <c r="D295" t="s">
        <v>8</v>
      </c>
      <c r="E295" t="s">
        <v>9</v>
      </c>
      <c r="F295" t="s">
        <v>16</v>
      </c>
      <c r="G295" t="s">
        <v>18</v>
      </c>
      <c r="H295">
        <v>0.24</v>
      </c>
      <c r="I295">
        <v>0.21210000000000001</v>
      </c>
      <c r="J295">
        <v>0.38</v>
      </c>
      <c r="K295">
        <v>0.35820000000000002</v>
      </c>
      <c r="L295">
        <v>2</v>
      </c>
      <c r="M295">
        <v>76</v>
      </c>
      <c r="N295">
        <v>78</v>
      </c>
    </row>
    <row r="296" spans="1:14" x14ac:dyDescent="0.3">
      <c r="A296">
        <v>295</v>
      </c>
      <c r="B296">
        <v>40556</v>
      </c>
      <c r="C296">
        <v>0.70833333333333326</v>
      </c>
      <c r="D296" t="s">
        <v>8</v>
      </c>
      <c r="E296" t="s">
        <v>9</v>
      </c>
      <c r="F296" t="s">
        <v>16</v>
      </c>
      <c r="G296" t="s">
        <v>18</v>
      </c>
      <c r="H296">
        <v>0.2</v>
      </c>
      <c r="I296">
        <v>0.18179999999999999</v>
      </c>
      <c r="J296">
        <v>0.4</v>
      </c>
      <c r="K296">
        <v>0.28360000000000002</v>
      </c>
      <c r="L296">
        <v>4</v>
      </c>
      <c r="M296">
        <v>158</v>
      </c>
      <c r="N296">
        <v>162</v>
      </c>
    </row>
    <row r="297" spans="1:14" x14ac:dyDescent="0.3">
      <c r="A297">
        <v>296</v>
      </c>
      <c r="B297">
        <v>40556</v>
      </c>
      <c r="C297">
        <v>0.75</v>
      </c>
      <c r="D297" t="s">
        <v>8</v>
      </c>
      <c r="E297" t="s">
        <v>9</v>
      </c>
      <c r="F297" t="s">
        <v>16</v>
      </c>
      <c r="G297" t="s">
        <v>18</v>
      </c>
      <c r="H297">
        <v>0.2</v>
      </c>
      <c r="I297">
        <v>0.18179999999999999</v>
      </c>
      <c r="J297">
        <v>0.4</v>
      </c>
      <c r="K297">
        <v>0.32840000000000003</v>
      </c>
      <c r="L297">
        <v>3</v>
      </c>
      <c r="M297">
        <v>141</v>
      </c>
      <c r="N297">
        <v>144</v>
      </c>
    </row>
    <row r="298" spans="1:14" x14ac:dyDescent="0.3">
      <c r="A298">
        <v>297</v>
      </c>
      <c r="B298">
        <v>40556</v>
      </c>
      <c r="C298">
        <v>0.79166666666666674</v>
      </c>
      <c r="D298" t="s">
        <v>8</v>
      </c>
      <c r="E298" t="s">
        <v>9</v>
      </c>
      <c r="F298" t="s">
        <v>16</v>
      </c>
      <c r="G298" t="s">
        <v>18</v>
      </c>
      <c r="H298">
        <v>0.16</v>
      </c>
      <c r="I298">
        <v>0.1515</v>
      </c>
      <c r="J298">
        <v>0.47</v>
      </c>
      <c r="K298">
        <v>0.25369999999999998</v>
      </c>
      <c r="L298">
        <v>1</v>
      </c>
      <c r="M298">
        <v>98</v>
      </c>
      <c r="N298">
        <v>99</v>
      </c>
    </row>
    <row r="299" spans="1:14" x14ac:dyDescent="0.3">
      <c r="A299">
        <v>298</v>
      </c>
      <c r="B299">
        <v>40556</v>
      </c>
      <c r="C299">
        <v>0.83333333333333326</v>
      </c>
      <c r="D299" t="s">
        <v>8</v>
      </c>
      <c r="E299" t="s">
        <v>9</v>
      </c>
      <c r="F299" t="s">
        <v>16</v>
      </c>
      <c r="G299" t="s">
        <v>18</v>
      </c>
      <c r="H299">
        <v>0.16</v>
      </c>
      <c r="I299">
        <v>0.1515</v>
      </c>
      <c r="J299">
        <v>0.47</v>
      </c>
      <c r="K299">
        <v>0.22389999999999999</v>
      </c>
      <c r="L299">
        <v>0</v>
      </c>
      <c r="M299">
        <v>64</v>
      </c>
      <c r="N299">
        <v>64</v>
      </c>
    </row>
    <row r="300" spans="1:14" x14ac:dyDescent="0.3">
      <c r="A300">
        <v>299</v>
      </c>
      <c r="B300">
        <v>40556</v>
      </c>
      <c r="C300">
        <v>0.875</v>
      </c>
      <c r="D300" t="s">
        <v>8</v>
      </c>
      <c r="E300" t="s">
        <v>9</v>
      </c>
      <c r="F300" t="s">
        <v>16</v>
      </c>
      <c r="G300" t="s">
        <v>18</v>
      </c>
      <c r="H300">
        <v>0.14000000000000001</v>
      </c>
      <c r="I300">
        <v>0.1212</v>
      </c>
      <c r="J300">
        <v>0.46</v>
      </c>
      <c r="K300">
        <v>0.29849999999999999</v>
      </c>
      <c r="L300">
        <v>0</v>
      </c>
      <c r="M300">
        <v>40</v>
      </c>
      <c r="N300">
        <v>40</v>
      </c>
    </row>
    <row r="301" spans="1:14" x14ac:dyDescent="0.3">
      <c r="A301">
        <v>300</v>
      </c>
      <c r="B301">
        <v>40556</v>
      </c>
      <c r="C301">
        <v>0.91666666666666674</v>
      </c>
      <c r="D301" t="s">
        <v>8</v>
      </c>
      <c r="E301" t="s">
        <v>9</v>
      </c>
      <c r="F301" t="s">
        <v>16</v>
      </c>
      <c r="G301" t="s">
        <v>18</v>
      </c>
      <c r="H301">
        <v>0.14000000000000001</v>
      </c>
      <c r="I301">
        <v>0.1212</v>
      </c>
      <c r="J301">
        <v>0.46</v>
      </c>
      <c r="K301">
        <v>0.32840000000000003</v>
      </c>
      <c r="L301">
        <v>0</v>
      </c>
      <c r="M301">
        <v>30</v>
      </c>
      <c r="N301">
        <v>30</v>
      </c>
    </row>
    <row r="302" spans="1:14" x14ac:dyDescent="0.3">
      <c r="A302">
        <v>301</v>
      </c>
      <c r="B302">
        <v>40556</v>
      </c>
      <c r="C302">
        <v>0.95833333333333326</v>
      </c>
      <c r="D302" t="s">
        <v>8</v>
      </c>
      <c r="E302" t="s">
        <v>9</v>
      </c>
      <c r="F302" t="s">
        <v>16</v>
      </c>
      <c r="G302" t="s">
        <v>18</v>
      </c>
      <c r="H302">
        <v>0.12</v>
      </c>
      <c r="I302">
        <v>0.13639999999999999</v>
      </c>
      <c r="J302">
        <v>0.5</v>
      </c>
      <c r="K302">
        <v>0.19400000000000001</v>
      </c>
      <c r="L302">
        <v>1</v>
      </c>
      <c r="M302">
        <v>14</v>
      </c>
      <c r="N302">
        <v>15</v>
      </c>
    </row>
    <row r="303" spans="1:14" x14ac:dyDescent="0.3">
      <c r="A303">
        <v>302</v>
      </c>
      <c r="B303">
        <v>40557</v>
      </c>
      <c r="C303">
        <v>0</v>
      </c>
      <c r="D303" t="s">
        <v>8</v>
      </c>
      <c r="E303" t="s">
        <v>9</v>
      </c>
      <c r="F303" t="s">
        <v>17</v>
      </c>
      <c r="G303" t="s">
        <v>18</v>
      </c>
      <c r="H303">
        <v>0.12</v>
      </c>
      <c r="I303">
        <v>0.13639999999999999</v>
      </c>
      <c r="J303">
        <v>0.5</v>
      </c>
      <c r="K303">
        <v>0.19400000000000001</v>
      </c>
      <c r="L303">
        <v>0</v>
      </c>
      <c r="M303">
        <v>14</v>
      </c>
      <c r="N303">
        <v>14</v>
      </c>
    </row>
    <row r="304" spans="1:14" x14ac:dyDescent="0.3">
      <c r="A304">
        <v>303</v>
      </c>
      <c r="B304">
        <v>40557</v>
      </c>
      <c r="C304">
        <v>4.1666666666666741E-2</v>
      </c>
      <c r="D304" t="s">
        <v>8</v>
      </c>
      <c r="E304" t="s">
        <v>9</v>
      </c>
      <c r="F304" t="s">
        <v>17</v>
      </c>
      <c r="G304" t="s">
        <v>18</v>
      </c>
      <c r="H304">
        <v>0.1</v>
      </c>
      <c r="I304">
        <v>0.1212</v>
      </c>
      <c r="J304">
        <v>0.54</v>
      </c>
      <c r="K304">
        <v>0.16420000000000001</v>
      </c>
      <c r="L304">
        <v>0</v>
      </c>
      <c r="M304">
        <v>5</v>
      </c>
      <c r="N304">
        <v>5</v>
      </c>
    </row>
    <row r="305" spans="1:14" x14ac:dyDescent="0.3">
      <c r="A305">
        <v>304</v>
      </c>
      <c r="B305">
        <v>40557</v>
      </c>
      <c r="C305">
        <v>8.3333333333333259E-2</v>
      </c>
      <c r="D305" t="s">
        <v>8</v>
      </c>
      <c r="E305" t="s">
        <v>9</v>
      </c>
      <c r="F305" t="s">
        <v>17</v>
      </c>
      <c r="G305" t="s">
        <v>18</v>
      </c>
      <c r="H305">
        <v>0.1</v>
      </c>
      <c r="I305">
        <v>0.1212</v>
      </c>
      <c r="J305">
        <v>0.54</v>
      </c>
      <c r="K305">
        <v>0.1343</v>
      </c>
      <c r="L305">
        <v>0</v>
      </c>
      <c r="M305">
        <v>1</v>
      </c>
      <c r="N305">
        <v>1</v>
      </c>
    </row>
    <row r="306" spans="1:14" x14ac:dyDescent="0.3">
      <c r="A306">
        <v>305</v>
      </c>
      <c r="B306">
        <v>40557</v>
      </c>
      <c r="C306">
        <v>0.125</v>
      </c>
      <c r="D306" t="s">
        <v>8</v>
      </c>
      <c r="E306" t="s">
        <v>9</v>
      </c>
      <c r="F306" t="s">
        <v>17</v>
      </c>
      <c r="G306" t="s">
        <v>18</v>
      </c>
      <c r="H306">
        <v>0.1</v>
      </c>
      <c r="I306">
        <v>0.13639999999999999</v>
      </c>
      <c r="J306">
        <v>0.54</v>
      </c>
      <c r="K306">
        <v>0.1045</v>
      </c>
      <c r="L306">
        <v>0</v>
      </c>
      <c r="M306">
        <v>1</v>
      </c>
      <c r="N306">
        <v>1</v>
      </c>
    </row>
    <row r="307" spans="1:14" x14ac:dyDescent="0.3">
      <c r="A307">
        <v>306</v>
      </c>
      <c r="B307">
        <v>40557</v>
      </c>
      <c r="C307">
        <v>0.20833333333333326</v>
      </c>
      <c r="D307" t="s">
        <v>8</v>
      </c>
      <c r="E307" t="s">
        <v>9</v>
      </c>
      <c r="F307" t="s">
        <v>17</v>
      </c>
      <c r="G307" t="s">
        <v>18</v>
      </c>
      <c r="H307">
        <v>0.1</v>
      </c>
      <c r="I307">
        <v>0.13639999999999999</v>
      </c>
      <c r="J307">
        <v>0.54</v>
      </c>
      <c r="K307">
        <v>8.9599999999999999E-2</v>
      </c>
      <c r="L307">
        <v>0</v>
      </c>
      <c r="M307">
        <v>8</v>
      </c>
      <c r="N307">
        <v>8</v>
      </c>
    </row>
    <row r="308" spans="1:14" x14ac:dyDescent="0.3">
      <c r="A308">
        <v>307</v>
      </c>
      <c r="B308">
        <v>40557</v>
      </c>
      <c r="C308">
        <v>0.25</v>
      </c>
      <c r="D308" t="s">
        <v>8</v>
      </c>
      <c r="E308" t="s">
        <v>9</v>
      </c>
      <c r="F308" t="s">
        <v>17</v>
      </c>
      <c r="G308" t="s">
        <v>18</v>
      </c>
      <c r="H308">
        <v>0.1</v>
      </c>
      <c r="I308">
        <v>0.18179999999999999</v>
      </c>
      <c r="J308">
        <v>0.54</v>
      </c>
      <c r="K308">
        <v>0</v>
      </c>
      <c r="L308">
        <v>0</v>
      </c>
      <c r="M308">
        <v>17</v>
      </c>
      <c r="N308">
        <v>17</v>
      </c>
    </row>
    <row r="309" spans="1:14" x14ac:dyDescent="0.3">
      <c r="A309">
        <v>308</v>
      </c>
      <c r="B309">
        <v>40557</v>
      </c>
      <c r="C309">
        <v>0.29166666666666674</v>
      </c>
      <c r="D309" t="s">
        <v>8</v>
      </c>
      <c r="E309" t="s">
        <v>9</v>
      </c>
      <c r="F309" t="s">
        <v>17</v>
      </c>
      <c r="G309" t="s">
        <v>18</v>
      </c>
      <c r="H309">
        <v>0.1</v>
      </c>
      <c r="I309">
        <v>0.1212</v>
      </c>
      <c r="J309">
        <v>0.74</v>
      </c>
      <c r="K309">
        <v>0.16420000000000001</v>
      </c>
      <c r="L309">
        <v>0</v>
      </c>
      <c r="M309">
        <v>70</v>
      </c>
      <c r="N309">
        <v>70</v>
      </c>
    </row>
    <row r="310" spans="1:14" x14ac:dyDescent="0.3">
      <c r="A310">
        <v>309</v>
      </c>
      <c r="B310">
        <v>40557</v>
      </c>
      <c r="C310">
        <v>0.33333333333333326</v>
      </c>
      <c r="D310" t="s">
        <v>8</v>
      </c>
      <c r="E310" t="s">
        <v>9</v>
      </c>
      <c r="F310" t="s">
        <v>17</v>
      </c>
      <c r="G310" t="s">
        <v>18</v>
      </c>
      <c r="H310">
        <v>0.12</v>
      </c>
      <c r="I310">
        <v>0.16669999999999999</v>
      </c>
      <c r="J310">
        <v>0.68</v>
      </c>
      <c r="K310">
        <v>0</v>
      </c>
      <c r="L310">
        <v>2</v>
      </c>
      <c r="M310">
        <v>156</v>
      </c>
      <c r="N310">
        <v>158</v>
      </c>
    </row>
    <row r="311" spans="1:14" x14ac:dyDescent="0.3">
      <c r="A311">
        <v>310</v>
      </c>
      <c r="B311">
        <v>40557</v>
      </c>
      <c r="C311">
        <v>0.375</v>
      </c>
      <c r="D311" t="s">
        <v>8</v>
      </c>
      <c r="E311" t="s">
        <v>9</v>
      </c>
      <c r="F311" t="s">
        <v>17</v>
      </c>
      <c r="G311" t="s">
        <v>18</v>
      </c>
      <c r="H311">
        <v>0.14000000000000001</v>
      </c>
      <c r="I311">
        <v>0.1515</v>
      </c>
      <c r="J311">
        <v>0.69</v>
      </c>
      <c r="K311">
        <v>0.1343</v>
      </c>
      <c r="L311">
        <v>0</v>
      </c>
      <c r="M311">
        <v>117</v>
      </c>
      <c r="N311">
        <v>117</v>
      </c>
    </row>
    <row r="312" spans="1:14" x14ac:dyDescent="0.3">
      <c r="A312">
        <v>311</v>
      </c>
      <c r="B312">
        <v>40557</v>
      </c>
      <c r="C312">
        <v>0.41666666666666674</v>
      </c>
      <c r="D312" t="s">
        <v>8</v>
      </c>
      <c r="E312" t="s">
        <v>9</v>
      </c>
      <c r="F312" t="s">
        <v>17</v>
      </c>
      <c r="G312" t="s">
        <v>18</v>
      </c>
      <c r="H312">
        <v>0.18</v>
      </c>
      <c r="I312">
        <v>0.18179999999999999</v>
      </c>
      <c r="J312">
        <v>0.55000000000000004</v>
      </c>
      <c r="K312">
        <v>0.19400000000000001</v>
      </c>
      <c r="L312">
        <v>4</v>
      </c>
      <c r="M312">
        <v>40</v>
      </c>
      <c r="N312">
        <v>44</v>
      </c>
    </row>
    <row r="313" spans="1:14" x14ac:dyDescent="0.3">
      <c r="A313">
        <v>312</v>
      </c>
      <c r="B313">
        <v>40557</v>
      </c>
      <c r="C313">
        <v>0.45833333333333326</v>
      </c>
      <c r="D313" t="s">
        <v>8</v>
      </c>
      <c r="E313" t="s">
        <v>9</v>
      </c>
      <c r="F313" t="s">
        <v>17</v>
      </c>
      <c r="G313" t="s">
        <v>18</v>
      </c>
      <c r="H313">
        <v>0.18</v>
      </c>
      <c r="I313">
        <v>0.16669999999999999</v>
      </c>
      <c r="J313">
        <v>0.51</v>
      </c>
      <c r="K313">
        <v>0.28360000000000002</v>
      </c>
      <c r="L313">
        <v>6</v>
      </c>
      <c r="M313">
        <v>47</v>
      </c>
      <c r="N313">
        <v>53</v>
      </c>
    </row>
    <row r="314" spans="1:14" x14ac:dyDescent="0.3">
      <c r="A314">
        <v>313</v>
      </c>
      <c r="B314">
        <v>40557</v>
      </c>
      <c r="C314">
        <v>0.5</v>
      </c>
      <c r="D314" t="s">
        <v>8</v>
      </c>
      <c r="E314" t="s">
        <v>9</v>
      </c>
      <c r="F314" t="s">
        <v>17</v>
      </c>
      <c r="G314" t="s">
        <v>18</v>
      </c>
      <c r="H314">
        <v>0.2</v>
      </c>
      <c r="I314">
        <v>0.19700000000000001</v>
      </c>
      <c r="J314">
        <v>0.44</v>
      </c>
      <c r="K314">
        <v>0.25369999999999998</v>
      </c>
      <c r="L314">
        <v>2</v>
      </c>
      <c r="M314">
        <v>59</v>
      </c>
      <c r="N314">
        <v>61</v>
      </c>
    </row>
    <row r="315" spans="1:14" x14ac:dyDescent="0.3">
      <c r="A315">
        <v>314</v>
      </c>
      <c r="B315">
        <v>40557</v>
      </c>
      <c r="C315">
        <v>0.54166666666666674</v>
      </c>
      <c r="D315" t="s">
        <v>8</v>
      </c>
      <c r="E315" t="s">
        <v>9</v>
      </c>
      <c r="F315" t="s">
        <v>17</v>
      </c>
      <c r="G315" t="s">
        <v>18</v>
      </c>
      <c r="H315">
        <v>0.22</v>
      </c>
      <c r="I315">
        <v>0.19700000000000001</v>
      </c>
      <c r="J315">
        <v>0.37</v>
      </c>
      <c r="K315">
        <v>0.3881</v>
      </c>
      <c r="L315">
        <v>4</v>
      </c>
      <c r="M315">
        <v>73</v>
      </c>
      <c r="N315">
        <v>77</v>
      </c>
    </row>
    <row r="316" spans="1:14" x14ac:dyDescent="0.3">
      <c r="A316">
        <v>315</v>
      </c>
      <c r="B316">
        <v>40557</v>
      </c>
      <c r="C316">
        <v>0.58333333333333326</v>
      </c>
      <c r="D316" t="s">
        <v>8</v>
      </c>
      <c r="E316" t="s">
        <v>9</v>
      </c>
      <c r="F316" t="s">
        <v>17</v>
      </c>
      <c r="G316" t="s">
        <v>18</v>
      </c>
      <c r="H316">
        <v>0.22</v>
      </c>
      <c r="I316">
        <v>0.21210000000000001</v>
      </c>
      <c r="J316">
        <v>0.41</v>
      </c>
      <c r="K316">
        <v>0.28360000000000002</v>
      </c>
      <c r="L316">
        <v>5</v>
      </c>
      <c r="M316">
        <v>59</v>
      </c>
      <c r="N316">
        <v>64</v>
      </c>
    </row>
    <row r="317" spans="1:14" x14ac:dyDescent="0.3">
      <c r="A317">
        <v>316</v>
      </c>
      <c r="B317">
        <v>40557</v>
      </c>
      <c r="C317">
        <v>0.625</v>
      </c>
      <c r="D317" t="s">
        <v>8</v>
      </c>
      <c r="E317" t="s">
        <v>9</v>
      </c>
      <c r="F317" t="s">
        <v>17</v>
      </c>
      <c r="G317" t="s">
        <v>18</v>
      </c>
      <c r="H317">
        <v>0.24</v>
      </c>
      <c r="I317">
        <v>0.2424</v>
      </c>
      <c r="J317">
        <v>0.38</v>
      </c>
      <c r="K317">
        <v>0.16420000000000001</v>
      </c>
      <c r="L317">
        <v>9</v>
      </c>
      <c r="M317">
        <v>59</v>
      </c>
      <c r="N317">
        <v>68</v>
      </c>
    </row>
    <row r="318" spans="1:14" x14ac:dyDescent="0.3">
      <c r="A318">
        <v>317</v>
      </c>
      <c r="B318">
        <v>40557</v>
      </c>
      <c r="C318">
        <v>0.66666666666666674</v>
      </c>
      <c r="D318" t="s">
        <v>8</v>
      </c>
      <c r="E318" t="s">
        <v>9</v>
      </c>
      <c r="F318" t="s">
        <v>17</v>
      </c>
      <c r="G318" t="s">
        <v>18</v>
      </c>
      <c r="H318">
        <v>0.22</v>
      </c>
      <c r="I318">
        <v>0.2424</v>
      </c>
      <c r="J318">
        <v>0.41</v>
      </c>
      <c r="K318">
        <v>0.1045</v>
      </c>
      <c r="L318">
        <v>3</v>
      </c>
      <c r="M318">
        <v>87</v>
      </c>
      <c r="N318">
        <v>90</v>
      </c>
    </row>
    <row r="319" spans="1:14" x14ac:dyDescent="0.3">
      <c r="A319">
        <v>318</v>
      </c>
      <c r="B319">
        <v>40557</v>
      </c>
      <c r="C319">
        <v>0.70833333333333326</v>
      </c>
      <c r="D319" t="s">
        <v>8</v>
      </c>
      <c r="E319" t="s">
        <v>9</v>
      </c>
      <c r="F319" t="s">
        <v>17</v>
      </c>
      <c r="G319" t="s">
        <v>18</v>
      </c>
      <c r="H319">
        <v>0.22</v>
      </c>
      <c r="I319">
        <v>0.2273</v>
      </c>
      <c r="J319">
        <v>0.41</v>
      </c>
      <c r="K319">
        <v>0.16420000000000001</v>
      </c>
      <c r="L319">
        <v>4</v>
      </c>
      <c r="M319">
        <v>155</v>
      </c>
      <c r="N319">
        <v>159</v>
      </c>
    </row>
    <row r="320" spans="1:14" x14ac:dyDescent="0.3">
      <c r="A320">
        <v>319</v>
      </c>
      <c r="B320">
        <v>40557</v>
      </c>
      <c r="C320">
        <v>0.75</v>
      </c>
      <c r="D320" t="s">
        <v>8</v>
      </c>
      <c r="E320" t="s">
        <v>9</v>
      </c>
      <c r="F320" t="s">
        <v>17</v>
      </c>
      <c r="G320" t="s">
        <v>18</v>
      </c>
      <c r="H320">
        <v>0.2</v>
      </c>
      <c r="I320">
        <v>0.2576</v>
      </c>
      <c r="J320">
        <v>0.47</v>
      </c>
      <c r="K320">
        <v>0</v>
      </c>
      <c r="L320">
        <v>5</v>
      </c>
      <c r="M320">
        <v>134</v>
      </c>
      <c r="N320">
        <v>139</v>
      </c>
    </row>
    <row r="321" spans="1:14" x14ac:dyDescent="0.3">
      <c r="A321">
        <v>320</v>
      </c>
      <c r="B321">
        <v>40557</v>
      </c>
      <c r="C321">
        <v>0.79166666666666674</v>
      </c>
      <c r="D321" t="s">
        <v>8</v>
      </c>
      <c r="E321" t="s">
        <v>9</v>
      </c>
      <c r="F321" t="s">
        <v>17</v>
      </c>
      <c r="G321" t="s">
        <v>18</v>
      </c>
      <c r="H321">
        <v>0.16</v>
      </c>
      <c r="I321">
        <v>0.19700000000000001</v>
      </c>
      <c r="J321">
        <v>0.59</v>
      </c>
      <c r="K321">
        <v>8.9599999999999999E-2</v>
      </c>
      <c r="L321">
        <v>3</v>
      </c>
      <c r="M321">
        <v>89</v>
      </c>
      <c r="N321">
        <v>92</v>
      </c>
    </row>
    <row r="322" spans="1:14" x14ac:dyDescent="0.3">
      <c r="A322">
        <v>321</v>
      </c>
      <c r="B322">
        <v>40557</v>
      </c>
      <c r="C322">
        <v>0.83333333333333326</v>
      </c>
      <c r="D322" t="s">
        <v>8</v>
      </c>
      <c r="E322" t="s">
        <v>9</v>
      </c>
      <c r="F322" t="s">
        <v>17</v>
      </c>
      <c r="G322" t="s">
        <v>18</v>
      </c>
      <c r="H322">
        <v>0.18</v>
      </c>
      <c r="I322">
        <v>0.2424</v>
      </c>
      <c r="J322">
        <v>0.59</v>
      </c>
      <c r="K322">
        <v>0</v>
      </c>
      <c r="L322">
        <v>0</v>
      </c>
      <c r="M322">
        <v>68</v>
      </c>
      <c r="N322">
        <v>68</v>
      </c>
    </row>
    <row r="323" spans="1:14" x14ac:dyDescent="0.3">
      <c r="A323">
        <v>322</v>
      </c>
      <c r="B323">
        <v>40557</v>
      </c>
      <c r="C323">
        <v>0.875</v>
      </c>
      <c r="D323" t="s">
        <v>8</v>
      </c>
      <c r="E323" t="s">
        <v>9</v>
      </c>
      <c r="F323" t="s">
        <v>17</v>
      </c>
      <c r="G323" t="s">
        <v>18</v>
      </c>
      <c r="H323">
        <v>0.16</v>
      </c>
      <c r="I323">
        <v>0.2273</v>
      </c>
      <c r="J323">
        <v>0.69</v>
      </c>
      <c r="K323">
        <v>0</v>
      </c>
      <c r="L323">
        <v>4</v>
      </c>
      <c r="M323">
        <v>48</v>
      </c>
      <c r="N323">
        <v>52</v>
      </c>
    </row>
    <row r="324" spans="1:14" x14ac:dyDescent="0.3">
      <c r="A324">
        <v>323</v>
      </c>
      <c r="B324">
        <v>40557</v>
      </c>
      <c r="C324">
        <v>0.91666666666666674</v>
      </c>
      <c r="D324" t="s">
        <v>8</v>
      </c>
      <c r="E324" t="s">
        <v>9</v>
      </c>
      <c r="F324" t="s">
        <v>17</v>
      </c>
      <c r="G324" t="s">
        <v>19</v>
      </c>
      <c r="H324">
        <v>0.16</v>
      </c>
      <c r="I324">
        <v>0.2273</v>
      </c>
      <c r="J324">
        <v>0.69</v>
      </c>
      <c r="K324">
        <v>0</v>
      </c>
      <c r="L324">
        <v>2</v>
      </c>
      <c r="M324">
        <v>34</v>
      </c>
      <c r="N324">
        <v>36</v>
      </c>
    </row>
    <row r="325" spans="1:14" x14ac:dyDescent="0.3">
      <c r="A325">
        <v>324</v>
      </c>
      <c r="B325">
        <v>40557</v>
      </c>
      <c r="C325">
        <v>0.95833333333333326</v>
      </c>
      <c r="D325" t="s">
        <v>8</v>
      </c>
      <c r="E325" t="s">
        <v>9</v>
      </c>
      <c r="F325" t="s">
        <v>17</v>
      </c>
      <c r="G325" t="s">
        <v>19</v>
      </c>
      <c r="H325">
        <v>0.18</v>
      </c>
      <c r="I325">
        <v>0.2424</v>
      </c>
      <c r="J325">
        <v>0.55000000000000004</v>
      </c>
      <c r="K325">
        <v>0</v>
      </c>
      <c r="L325">
        <v>1</v>
      </c>
      <c r="M325">
        <v>26</v>
      </c>
      <c r="N325">
        <v>27</v>
      </c>
    </row>
    <row r="326" spans="1:14" x14ac:dyDescent="0.3">
      <c r="A326">
        <v>325</v>
      </c>
      <c r="B326">
        <v>40558</v>
      </c>
      <c r="C326">
        <v>0</v>
      </c>
      <c r="D326" t="s">
        <v>8</v>
      </c>
      <c r="E326" t="s">
        <v>9</v>
      </c>
      <c r="F326" t="s">
        <v>11</v>
      </c>
      <c r="G326" t="s">
        <v>18</v>
      </c>
      <c r="H326">
        <v>0.18</v>
      </c>
      <c r="I326">
        <v>0.2424</v>
      </c>
      <c r="J326">
        <v>0.55000000000000004</v>
      </c>
      <c r="K326">
        <v>0</v>
      </c>
      <c r="L326">
        <v>3</v>
      </c>
      <c r="M326">
        <v>25</v>
      </c>
      <c r="N326">
        <v>28</v>
      </c>
    </row>
    <row r="327" spans="1:14" x14ac:dyDescent="0.3">
      <c r="A327">
        <v>326</v>
      </c>
      <c r="B327">
        <v>40558</v>
      </c>
      <c r="C327">
        <v>4.1666666666666741E-2</v>
      </c>
      <c r="D327" t="s">
        <v>8</v>
      </c>
      <c r="E327" t="s">
        <v>9</v>
      </c>
      <c r="F327" t="s">
        <v>11</v>
      </c>
      <c r="G327" t="s">
        <v>19</v>
      </c>
      <c r="H327">
        <v>0.16</v>
      </c>
      <c r="I327">
        <v>0.19700000000000001</v>
      </c>
      <c r="J327">
        <v>0.59</v>
      </c>
      <c r="K327">
        <v>8.9599999999999999E-2</v>
      </c>
      <c r="L327">
        <v>2</v>
      </c>
      <c r="M327">
        <v>18</v>
      </c>
      <c r="N327">
        <v>20</v>
      </c>
    </row>
    <row r="328" spans="1:14" x14ac:dyDescent="0.3">
      <c r="A328">
        <v>327</v>
      </c>
      <c r="B328">
        <v>40558</v>
      </c>
      <c r="C328">
        <v>8.3333333333333259E-2</v>
      </c>
      <c r="D328" t="s">
        <v>8</v>
      </c>
      <c r="E328" t="s">
        <v>9</v>
      </c>
      <c r="F328" t="s">
        <v>11</v>
      </c>
      <c r="G328" t="s">
        <v>19</v>
      </c>
      <c r="H328">
        <v>0.16</v>
      </c>
      <c r="I328">
        <v>0.19700000000000001</v>
      </c>
      <c r="J328">
        <v>0.59</v>
      </c>
      <c r="K328">
        <v>8.9599999999999999E-2</v>
      </c>
      <c r="L328">
        <v>0</v>
      </c>
      <c r="M328">
        <v>12</v>
      </c>
      <c r="N328">
        <v>12</v>
      </c>
    </row>
    <row r="329" spans="1:14" x14ac:dyDescent="0.3">
      <c r="A329">
        <v>328</v>
      </c>
      <c r="B329">
        <v>40558</v>
      </c>
      <c r="C329">
        <v>0.125</v>
      </c>
      <c r="D329" t="s">
        <v>8</v>
      </c>
      <c r="E329" t="s">
        <v>9</v>
      </c>
      <c r="F329" t="s">
        <v>11</v>
      </c>
      <c r="G329" t="s">
        <v>19</v>
      </c>
      <c r="H329">
        <v>0.16</v>
      </c>
      <c r="I329">
        <v>0.2273</v>
      </c>
      <c r="J329">
        <v>0.59</v>
      </c>
      <c r="K329">
        <v>0</v>
      </c>
      <c r="L329">
        <v>1</v>
      </c>
      <c r="M329">
        <v>7</v>
      </c>
      <c r="N329">
        <v>8</v>
      </c>
    </row>
    <row r="330" spans="1:14" x14ac:dyDescent="0.3">
      <c r="A330">
        <v>329</v>
      </c>
      <c r="B330">
        <v>40558</v>
      </c>
      <c r="C330">
        <v>0.16666666666666674</v>
      </c>
      <c r="D330" t="s">
        <v>8</v>
      </c>
      <c r="E330" t="s">
        <v>9</v>
      </c>
      <c r="F330" t="s">
        <v>11</v>
      </c>
      <c r="G330" t="s">
        <v>19</v>
      </c>
      <c r="H330">
        <v>0.16</v>
      </c>
      <c r="I330">
        <v>0.2273</v>
      </c>
      <c r="J330">
        <v>0.59</v>
      </c>
      <c r="K330">
        <v>0</v>
      </c>
      <c r="L330">
        <v>0</v>
      </c>
      <c r="M330">
        <v>5</v>
      </c>
      <c r="N330">
        <v>5</v>
      </c>
    </row>
    <row r="331" spans="1:14" x14ac:dyDescent="0.3">
      <c r="A331">
        <v>330</v>
      </c>
      <c r="B331">
        <v>40558</v>
      </c>
      <c r="C331">
        <v>0.20833333333333326</v>
      </c>
      <c r="D331" t="s">
        <v>8</v>
      </c>
      <c r="E331" t="s">
        <v>9</v>
      </c>
      <c r="F331" t="s">
        <v>11</v>
      </c>
      <c r="G331" t="s">
        <v>18</v>
      </c>
      <c r="H331">
        <v>0.16</v>
      </c>
      <c r="I331">
        <v>0.2273</v>
      </c>
      <c r="J331">
        <v>0.59</v>
      </c>
      <c r="K331">
        <v>0</v>
      </c>
      <c r="L331">
        <v>0</v>
      </c>
      <c r="M331">
        <v>1</v>
      </c>
      <c r="N331">
        <v>1</v>
      </c>
    </row>
    <row r="332" spans="1:14" x14ac:dyDescent="0.3">
      <c r="A332">
        <v>331</v>
      </c>
      <c r="B332">
        <v>40558</v>
      </c>
      <c r="C332">
        <v>0.25</v>
      </c>
      <c r="D332" t="s">
        <v>8</v>
      </c>
      <c r="E332" t="s">
        <v>9</v>
      </c>
      <c r="F332" t="s">
        <v>11</v>
      </c>
      <c r="G332" t="s">
        <v>18</v>
      </c>
      <c r="H332">
        <v>0.14000000000000001</v>
      </c>
      <c r="I332">
        <v>0.16669999999999999</v>
      </c>
      <c r="J332">
        <v>0.63</v>
      </c>
      <c r="K332">
        <v>0.1045</v>
      </c>
      <c r="L332">
        <v>1</v>
      </c>
      <c r="M332">
        <v>2</v>
      </c>
      <c r="N332">
        <v>3</v>
      </c>
    </row>
    <row r="333" spans="1:14" x14ac:dyDescent="0.3">
      <c r="A333">
        <v>332</v>
      </c>
      <c r="B333">
        <v>40558</v>
      </c>
      <c r="C333">
        <v>0.29166666666666674</v>
      </c>
      <c r="D333" t="s">
        <v>8</v>
      </c>
      <c r="E333" t="s">
        <v>9</v>
      </c>
      <c r="F333" t="s">
        <v>11</v>
      </c>
      <c r="G333" t="s">
        <v>18</v>
      </c>
      <c r="H333">
        <v>0.14000000000000001</v>
      </c>
      <c r="I333">
        <v>0.21210000000000001</v>
      </c>
      <c r="J333">
        <v>0.63</v>
      </c>
      <c r="K333">
        <v>0</v>
      </c>
      <c r="L333">
        <v>1</v>
      </c>
      <c r="M333">
        <v>9</v>
      </c>
      <c r="N333">
        <v>10</v>
      </c>
    </row>
    <row r="334" spans="1:14" x14ac:dyDescent="0.3">
      <c r="A334">
        <v>333</v>
      </c>
      <c r="B334">
        <v>40558</v>
      </c>
      <c r="C334">
        <v>0.33333333333333326</v>
      </c>
      <c r="D334" t="s">
        <v>8</v>
      </c>
      <c r="E334" t="s">
        <v>9</v>
      </c>
      <c r="F334" t="s">
        <v>11</v>
      </c>
      <c r="G334" t="s">
        <v>18</v>
      </c>
      <c r="H334">
        <v>0.14000000000000001</v>
      </c>
      <c r="I334">
        <v>0.1515</v>
      </c>
      <c r="J334">
        <v>0.63</v>
      </c>
      <c r="K334">
        <v>0.1343</v>
      </c>
      <c r="L334">
        <v>1</v>
      </c>
      <c r="M334">
        <v>22</v>
      </c>
      <c r="N334">
        <v>23</v>
      </c>
    </row>
    <row r="335" spans="1:14" x14ac:dyDescent="0.3">
      <c r="A335">
        <v>334</v>
      </c>
      <c r="B335">
        <v>40558</v>
      </c>
      <c r="C335">
        <v>0.375</v>
      </c>
      <c r="D335" t="s">
        <v>8</v>
      </c>
      <c r="E335" t="s">
        <v>9</v>
      </c>
      <c r="F335" t="s">
        <v>11</v>
      </c>
      <c r="G335" t="s">
        <v>18</v>
      </c>
      <c r="H335">
        <v>0.16</v>
      </c>
      <c r="I335">
        <v>0.18179999999999999</v>
      </c>
      <c r="J335">
        <v>0.64</v>
      </c>
      <c r="K335">
        <v>0.1343</v>
      </c>
      <c r="L335">
        <v>2</v>
      </c>
      <c r="M335">
        <v>31</v>
      </c>
      <c r="N335">
        <v>33</v>
      </c>
    </row>
    <row r="336" spans="1:14" x14ac:dyDescent="0.3">
      <c r="A336">
        <v>335</v>
      </c>
      <c r="B336">
        <v>40558</v>
      </c>
      <c r="C336">
        <v>0.41666666666666674</v>
      </c>
      <c r="D336" t="s">
        <v>8</v>
      </c>
      <c r="E336" t="s">
        <v>9</v>
      </c>
      <c r="F336" t="s">
        <v>11</v>
      </c>
      <c r="G336" t="s">
        <v>18</v>
      </c>
      <c r="H336">
        <v>0.18</v>
      </c>
      <c r="I336">
        <v>0.19700000000000001</v>
      </c>
      <c r="J336">
        <v>0.59</v>
      </c>
      <c r="K336">
        <v>0.16420000000000001</v>
      </c>
      <c r="L336">
        <v>2</v>
      </c>
      <c r="M336">
        <v>57</v>
      </c>
      <c r="N336">
        <v>59</v>
      </c>
    </row>
    <row r="337" spans="1:14" x14ac:dyDescent="0.3">
      <c r="A337">
        <v>336</v>
      </c>
      <c r="B337">
        <v>40558</v>
      </c>
      <c r="C337">
        <v>0.45833333333333326</v>
      </c>
      <c r="D337" t="s">
        <v>8</v>
      </c>
      <c r="E337" t="s">
        <v>9</v>
      </c>
      <c r="F337" t="s">
        <v>11</v>
      </c>
      <c r="G337" t="s">
        <v>18</v>
      </c>
      <c r="H337">
        <v>0.2</v>
      </c>
      <c r="I337">
        <v>0.19700000000000001</v>
      </c>
      <c r="J337">
        <v>0.55000000000000004</v>
      </c>
      <c r="K337">
        <v>0.22389999999999999</v>
      </c>
      <c r="L337">
        <v>18</v>
      </c>
      <c r="M337">
        <v>54</v>
      </c>
      <c r="N337">
        <v>72</v>
      </c>
    </row>
    <row r="338" spans="1:14" x14ac:dyDescent="0.3">
      <c r="A338">
        <v>337</v>
      </c>
      <c r="B338">
        <v>40558</v>
      </c>
      <c r="C338">
        <v>0.5</v>
      </c>
      <c r="D338" t="s">
        <v>8</v>
      </c>
      <c r="E338" t="s">
        <v>9</v>
      </c>
      <c r="F338" t="s">
        <v>11</v>
      </c>
      <c r="G338" t="s">
        <v>18</v>
      </c>
      <c r="H338">
        <v>0.24</v>
      </c>
      <c r="I338">
        <v>0.2273</v>
      </c>
      <c r="J338">
        <v>0.48</v>
      </c>
      <c r="K338">
        <v>0.22389999999999999</v>
      </c>
      <c r="L338">
        <v>15</v>
      </c>
      <c r="M338">
        <v>74</v>
      </c>
      <c r="N338">
        <v>89</v>
      </c>
    </row>
    <row r="339" spans="1:14" x14ac:dyDescent="0.3">
      <c r="A339">
        <v>338</v>
      </c>
      <c r="B339">
        <v>40558</v>
      </c>
      <c r="C339">
        <v>0.54166666666666674</v>
      </c>
      <c r="D339" t="s">
        <v>8</v>
      </c>
      <c r="E339" t="s">
        <v>9</v>
      </c>
      <c r="F339" t="s">
        <v>11</v>
      </c>
      <c r="G339" t="s">
        <v>18</v>
      </c>
      <c r="H339">
        <v>0.28000000000000003</v>
      </c>
      <c r="I339">
        <v>0.2576</v>
      </c>
      <c r="J339">
        <v>0.38</v>
      </c>
      <c r="K339">
        <v>0.29849999999999999</v>
      </c>
      <c r="L339">
        <v>21</v>
      </c>
      <c r="M339">
        <v>80</v>
      </c>
      <c r="N339">
        <v>101</v>
      </c>
    </row>
    <row r="340" spans="1:14" x14ac:dyDescent="0.3">
      <c r="A340">
        <v>339</v>
      </c>
      <c r="B340">
        <v>40558</v>
      </c>
      <c r="C340">
        <v>0.58333333333333326</v>
      </c>
      <c r="D340" t="s">
        <v>8</v>
      </c>
      <c r="E340" t="s">
        <v>9</v>
      </c>
      <c r="F340" t="s">
        <v>11</v>
      </c>
      <c r="G340" t="s">
        <v>18</v>
      </c>
      <c r="H340">
        <v>0.3</v>
      </c>
      <c r="I340">
        <v>0.28789999999999999</v>
      </c>
      <c r="J340">
        <v>0.39</v>
      </c>
      <c r="K340">
        <v>0.28360000000000002</v>
      </c>
      <c r="L340">
        <v>26</v>
      </c>
      <c r="M340">
        <v>92</v>
      </c>
      <c r="N340">
        <v>118</v>
      </c>
    </row>
    <row r="341" spans="1:14" x14ac:dyDescent="0.3">
      <c r="A341">
        <v>340</v>
      </c>
      <c r="B341">
        <v>40558</v>
      </c>
      <c r="C341">
        <v>0.625</v>
      </c>
      <c r="D341" t="s">
        <v>8</v>
      </c>
      <c r="E341" t="s">
        <v>9</v>
      </c>
      <c r="F341" t="s">
        <v>11</v>
      </c>
      <c r="G341" t="s">
        <v>19</v>
      </c>
      <c r="H341">
        <v>0.32</v>
      </c>
      <c r="I341">
        <v>0.31819999999999998</v>
      </c>
      <c r="J341">
        <v>0.36</v>
      </c>
      <c r="K341">
        <v>0.19400000000000001</v>
      </c>
      <c r="L341">
        <v>21</v>
      </c>
      <c r="M341">
        <v>108</v>
      </c>
      <c r="N341">
        <v>129</v>
      </c>
    </row>
    <row r="342" spans="1:14" x14ac:dyDescent="0.3">
      <c r="A342">
        <v>341</v>
      </c>
      <c r="B342">
        <v>40558</v>
      </c>
      <c r="C342">
        <v>0.66666666666666674</v>
      </c>
      <c r="D342" t="s">
        <v>8</v>
      </c>
      <c r="E342" t="s">
        <v>9</v>
      </c>
      <c r="F342" t="s">
        <v>11</v>
      </c>
      <c r="G342" t="s">
        <v>19</v>
      </c>
      <c r="H342">
        <v>0.34</v>
      </c>
      <c r="I342">
        <v>0.33329999999999999</v>
      </c>
      <c r="J342">
        <v>0.34</v>
      </c>
      <c r="K342">
        <v>0.19400000000000001</v>
      </c>
      <c r="L342">
        <v>33</v>
      </c>
      <c r="M342">
        <v>95</v>
      </c>
      <c r="N342">
        <v>128</v>
      </c>
    </row>
    <row r="343" spans="1:14" x14ac:dyDescent="0.3">
      <c r="A343">
        <v>342</v>
      </c>
      <c r="B343">
        <v>40558</v>
      </c>
      <c r="C343">
        <v>0.70833333333333326</v>
      </c>
      <c r="D343" t="s">
        <v>8</v>
      </c>
      <c r="E343" t="s">
        <v>9</v>
      </c>
      <c r="F343" t="s">
        <v>11</v>
      </c>
      <c r="G343" t="s">
        <v>19</v>
      </c>
      <c r="H343">
        <v>0.32</v>
      </c>
      <c r="I343">
        <v>0.30299999999999999</v>
      </c>
      <c r="J343">
        <v>0.36</v>
      </c>
      <c r="K343">
        <v>0.28360000000000002</v>
      </c>
      <c r="L343">
        <v>29</v>
      </c>
      <c r="M343">
        <v>54</v>
      </c>
      <c r="N343">
        <v>83</v>
      </c>
    </row>
    <row r="344" spans="1:14" x14ac:dyDescent="0.3">
      <c r="A344">
        <v>343</v>
      </c>
      <c r="B344">
        <v>40558</v>
      </c>
      <c r="C344">
        <v>0.75</v>
      </c>
      <c r="D344" t="s">
        <v>8</v>
      </c>
      <c r="E344" t="s">
        <v>9</v>
      </c>
      <c r="F344" t="s">
        <v>11</v>
      </c>
      <c r="G344" t="s">
        <v>19</v>
      </c>
      <c r="H344">
        <v>0.3</v>
      </c>
      <c r="I344">
        <v>0.28789999999999999</v>
      </c>
      <c r="J344">
        <v>0.45</v>
      </c>
      <c r="K344">
        <v>0.25369999999999998</v>
      </c>
      <c r="L344">
        <v>15</v>
      </c>
      <c r="M344">
        <v>69</v>
      </c>
      <c r="N344">
        <v>84</v>
      </c>
    </row>
    <row r="345" spans="1:14" x14ac:dyDescent="0.3">
      <c r="A345">
        <v>344</v>
      </c>
      <c r="B345">
        <v>40558</v>
      </c>
      <c r="C345">
        <v>0.79166666666666674</v>
      </c>
      <c r="D345" t="s">
        <v>8</v>
      </c>
      <c r="E345" t="s">
        <v>9</v>
      </c>
      <c r="F345" t="s">
        <v>11</v>
      </c>
      <c r="G345" t="s">
        <v>19</v>
      </c>
      <c r="H345">
        <v>0.32</v>
      </c>
      <c r="I345">
        <v>0.30299999999999999</v>
      </c>
      <c r="J345">
        <v>0.39</v>
      </c>
      <c r="K345">
        <v>0.25369999999999998</v>
      </c>
      <c r="L345">
        <v>14</v>
      </c>
      <c r="M345">
        <v>60</v>
      </c>
      <c r="N345">
        <v>74</v>
      </c>
    </row>
    <row r="346" spans="1:14" x14ac:dyDescent="0.3">
      <c r="A346">
        <v>345</v>
      </c>
      <c r="B346">
        <v>40558</v>
      </c>
      <c r="C346">
        <v>0.83333333333333326</v>
      </c>
      <c r="D346" t="s">
        <v>8</v>
      </c>
      <c r="E346" t="s">
        <v>9</v>
      </c>
      <c r="F346" t="s">
        <v>11</v>
      </c>
      <c r="G346" t="s">
        <v>19</v>
      </c>
      <c r="H346">
        <v>0.32</v>
      </c>
      <c r="I346">
        <v>0.30299999999999999</v>
      </c>
      <c r="J346">
        <v>0.39</v>
      </c>
      <c r="K346">
        <v>0.25369999999999998</v>
      </c>
      <c r="L346">
        <v>6</v>
      </c>
      <c r="M346">
        <v>35</v>
      </c>
      <c r="N346">
        <v>41</v>
      </c>
    </row>
    <row r="347" spans="1:14" x14ac:dyDescent="0.3">
      <c r="A347">
        <v>346</v>
      </c>
      <c r="B347">
        <v>40558</v>
      </c>
      <c r="C347">
        <v>0.875</v>
      </c>
      <c r="D347" t="s">
        <v>8</v>
      </c>
      <c r="E347" t="s">
        <v>9</v>
      </c>
      <c r="F347" t="s">
        <v>11</v>
      </c>
      <c r="G347" t="s">
        <v>19</v>
      </c>
      <c r="H347">
        <v>0.32</v>
      </c>
      <c r="I347">
        <v>0.30299999999999999</v>
      </c>
      <c r="J347">
        <v>0.39</v>
      </c>
      <c r="K347">
        <v>0.22389999999999999</v>
      </c>
      <c r="L347">
        <v>6</v>
      </c>
      <c r="M347">
        <v>51</v>
      </c>
      <c r="N347">
        <v>57</v>
      </c>
    </row>
    <row r="348" spans="1:14" x14ac:dyDescent="0.3">
      <c r="A348">
        <v>347</v>
      </c>
      <c r="B348">
        <v>40558</v>
      </c>
      <c r="C348">
        <v>0.91666666666666674</v>
      </c>
      <c r="D348" t="s">
        <v>8</v>
      </c>
      <c r="E348" t="s">
        <v>9</v>
      </c>
      <c r="F348" t="s">
        <v>11</v>
      </c>
      <c r="G348" t="s">
        <v>19</v>
      </c>
      <c r="H348">
        <v>0.3</v>
      </c>
      <c r="I348">
        <v>0.31819999999999998</v>
      </c>
      <c r="J348">
        <v>0.42</v>
      </c>
      <c r="K348">
        <v>0.1045</v>
      </c>
      <c r="L348">
        <v>0</v>
      </c>
      <c r="M348">
        <v>26</v>
      </c>
      <c r="N348">
        <v>26</v>
      </c>
    </row>
    <row r="349" spans="1:14" x14ac:dyDescent="0.3">
      <c r="A349">
        <v>348</v>
      </c>
      <c r="B349">
        <v>40558</v>
      </c>
      <c r="C349">
        <v>0.95833333333333326</v>
      </c>
      <c r="D349" t="s">
        <v>8</v>
      </c>
      <c r="E349" t="s">
        <v>9</v>
      </c>
      <c r="F349" t="s">
        <v>11</v>
      </c>
      <c r="G349" t="s">
        <v>18</v>
      </c>
      <c r="H349">
        <v>0.3</v>
      </c>
      <c r="I349">
        <v>0.28789999999999999</v>
      </c>
      <c r="J349">
        <v>0.45</v>
      </c>
      <c r="K349">
        <v>0.28360000000000002</v>
      </c>
      <c r="L349">
        <v>5</v>
      </c>
      <c r="M349">
        <v>39</v>
      </c>
      <c r="N349">
        <v>44</v>
      </c>
    </row>
    <row r="350" spans="1:14" x14ac:dyDescent="0.3">
      <c r="A350">
        <v>349</v>
      </c>
      <c r="B350">
        <v>40559</v>
      </c>
      <c r="C350">
        <v>0</v>
      </c>
      <c r="D350" t="s">
        <v>8</v>
      </c>
      <c r="E350" t="s">
        <v>9</v>
      </c>
      <c r="F350" t="s">
        <v>12</v>
      </c>
      <c r="G350" t="s">
        <v>18</v>
      </c>
      <c r="H350">
        <v>0.26</v>
      </c>
      <c r="I350">
        <v>0.30299999999999999</v>
      </c>
      <c r="J350">
        <v>0.56000000000000005</v>
      </c>
      <c r="K350">
        <v>0</v>
      </c>
      <c r="L350">
        <v>6</v>
      </c>
      <c r="M350">
        <v>33</v>
      </c>
      <c r="N350">
        <v>39</v>
      </c>
    </row>
    <row r="351" spans="1:14" x14ac:dyDescent="0.3">
      <c r="A351">
        <v>350</v>
      </c>
      <c r="B351">
        <v>40559</v>
      </c>
      <c r="C351">
        <v>4.1666666666666741E-2</v>
      </c>
      <c r="D351" t="s">
        <v>8</v>
      </c>
      <c r="E351" t="s">
        <v>9</v>
      </c>
      <c r="F351" t="s">
        <v>12</v>
      </c>
      <c r="G351" t="s">
        <v>18</v>
      </c>
      <c r="H351">
        <v>0.26</v>
      </c>
      <c r="I351">
        <v>0.2727</v>
      </c>
      <c r="J351">
        <v>0.56000000000000005</v>
      </c>
      <c r="K351">
        <v>0.1343</v>
      </c>
      <c r="L351">
        <v>4</v>
      </c>
      <c r="M351">
        <v>19</v>
      </c>
      <c r="N351">
        <v>23</v>
      </c>
    </row>
    <row r="352" spans="1:14" x14ac:dyDescent="0.3">
      <c r="A352">
        <v>351</v>
      </c>
      <c r="B352">
        <v>40559</v>
      </c>
      <c r="C352">
        <v>8.3333333333333259E-2</v>
      </c>
      <c r="D352" t="s">
        <v>8</v>
      </c>
      <c r="E352" t="s">
        <v>9</v>
      </c>
      <c r="F352" t="s">
        <v>12</v>
      </c>
      <c r="G352" t="s">
        <v>18</v>
      </c>
      <c r="H352">
        <v>0.26</v>
      </c>
      <c r="I352">
        <v>0.28789999999999999</v>
      </c>
      <c r="J352">
        <v>0.56000000000000005</v>
      </c>
      <c r="K352">
        <v>8.9599999999999999E-2</v>
      </c>
      <c r="L352">
        <v>3</v>
      </c>
      <c r="M352">
        <v>13</v>
      </c>
      <c r="N352">
        <v>16</v>
      </c>
    </row>
    <row r="353" spans="1:14" x14ac:dyDescent="0.3">
      <c r="A353">
        <v>352</v>
      </c>
      <c r="B353">
        <v>40559</v>
      </c>
      <c r="C353">
        <v>0.125</v>
      </c>
      <c r="D353" t="s">
        <v>8</v>
      </c>
      <c r="E353" t="s">
        <v>9</v>
      </c>
      <c r="F353" t="s">
        <v>12</v>
      </c>
      <c r="G353" t="s">
        <v>18</v>
      </c>
      <c r="H353">
        <v>0.22</v>
      </c>
      <c r="I353">
        <v>0.2727</v>
      </c>
      <c r="J353">
        <v>0.69</v>
      </c>
      <c r="K353">
        <v>0</v>
      </c>
      <c r="L353">
        <v>9</v>
      </c>
      <c r="M353">
        <v>6</v>
      </c>
      <c r="N353">
        <v>15</v>
      </c>
    </row>
    <row r="354" spans="1:14" x14ac:dyDescent="0.3">
      <c r="A354">
        <v>353</v>
      </c>
      <c r="B354">
        <v>40559</v>
      </c>
      <c r="C354">
        <v>0.16666666666666674</v>
      </c>
      <c r="D354" t="s">
        <v>8</v>
      </c>
      <c r="E354" t="s">
        <v>9</v>
      </c>
      <c r="F354" t="s">
        <v>12</v>
      </c>
      <c r="G354" t="s">
        <v>18</v>
      </c>
      <c r="H354">
        <v>0.26</v>
      </c>
      <c r="I354">
        <v>0.2576</v>
      </c>
      <c r="J354">
        <v>0.56000000000000005</v>
      </c>
      <c r="K354">
        <v>0.16420000000000001</v>
      </c>
      <c r="L354">
        <v>0</v>
      </c>
      <c r="M354">
        <v>1</v>
      </c>
      <c r="N354">
        <v>1</v>
      </c>
    </row>
    <row r="355" spans="1:14" x14ac:dyDescent="0.3">
      <c r="A355">
        <v>354</v>
      </c>
      <c r="B355">
        <v>40559</v>
      </c>
      <c r="C355">
        <v>0.20833333333333326</v>
      </c>
      <c r="D355" t="s">
        <v>8</v>
      </c>
      <c r="E355" t="s">
        <v>9</v>
      </c>
      <c r="F355" t="s">
        <v>12</v>
      </c>
      <c r="G355" t="s">
        <v>19</v>
      </c>
      <c r="H355">
        <v>0.26</v>
      </c>
      <c r="I355">
        <v>0.2576</v>
      </c>
      <c r="J355">
        <v>0.56000000000000005</v>
      </c>
      <c r="K355">
        <v>0.16420000000000001</v>
      </c>
      <c r="L355">
        <v>1</v>
      </c>
      <c r="M355">
        <v>1</v>
      </c>
      <c r="N355">
        <v>2</v>
      </c>
    </row>
    <row r="356" spans="1:14" x14ac:dyDescent="0.3">
      <c r="A356">
        <v>355</v>
      </c>
      <c r="B356">
        <v>40559</v>
      </c>
      <c r="C356">
        <v>0.25</v>
      </c>
      <c r="D356" t="s">
        <v>8</v>
      </c>
      <c r="E356" t="s">
        <v>9</v>
      </c>
      <c r="F356" t="s">
        <v>12</v>
      </c>
      <c r="G356" t="s">
        <v>19</v>
      </c>
      <c r="H356">
        <v>0.26</v>
      </c>
      <c r="I356">
        <v>0.2576</v>
      </c>
      <c r="J356">
        <v>0.56000000000000005</v>
      </c>
      <c r="K356">
        <v>0.16420000000000001</v>
      </c>
      <c r="L356">
        <v>0</v>
      </c>
      <c r="M356">
        <v>1</v>
      </c>
      <c r="N356">
        <v>1</v>
      </c>
    </row>
    <row r="357" spans="1:14" x14ac:dyDescent="0.3">
      <c r="A357">
        <v>356</v>
      </c>
      <c r="B357">
        <v>40559</v>
      </c>
      <c r="C357">
        <v>0.29166666666666674</v>
      </c>
      <c r="D357" t="s">
        <v>8</v>
      </c>
      <c r="E357" t="s">
        <v>9</v>
      </c>
      <c r="F357" t="s">
        <v>12</v>
      </c>
      <c r="G357" t="s">
        <v>19</v>
      </c>
      <c r="H357">
        <v>0.24</v>
      </c>
      <c r="I357">
        <v>0.21210000000000001</v>
      </c>
      <c r="J357">
        <v>0.56000000000000005</v>
      </c>
      <c r="K357">
        <v>0.29849999999999999</v>
      </c>
      <c r="L357">
        <v>0</v>
      </c>
      <c r="M357">
        <v>3</v>
      </c>
      <c r="N357">
        <v>3</v>
      </c>
    </row>
    <row r="358" spans="1:14" x14ac:dyDescent="0.3">
      <c r="A358">
        <v>357</v>
      </c>
      <c r="B358">
        <v>40559</v>
      </c>
      <c r="C358">
        <v>0.33333333333333326</v>
      </c>
      <c r="D358" t="s">
        <v>8</v>
      </c>
      <c r="E358" t="s">
        <v>9</v>
      </c>
      <c r="F358" t="s">
        <v>12</v>
      </c>
      <c r="G358" t="s">
        <v>18</v>
      </c>
      <c r="H358">
        <v>0.22</v>
      </c>
      <c r="I358">
        <v>0.21210000000000001</v>
      </c>
      <c r="J358">
        <v>0.55000000000000004</v>
      </c>
      <c r="K358">
        <v>0.28360000000000002</v>
      </c>
      <c r="L358">
        <v>0</v>
      </c>
      <c r="M358">
        <v>18</v>
      </c>
      <c r="N358">
        <v>18</v>
      </c>
    </row>
    <row r="359" spans="1:14" x14ac:dyDescent="0.3">
      <c r="A359">
        <v>358</v>
      </c>
      <c r="B359">
        <v>40559</v>
      </c>
      <c r="C359">
        <v>0.375</v>
      </c>
      <c r="D359" t="s">
        <v>8</v>
      </c>
      <c r="E359" t="s">
        <v>9</v>
      </c>
      <c r="F359" t="s">
        <v>12</v>
      </c>
      <c r="G359" t="s">
        <v>18</v>
      </c>
      <c r="H359">
        <v>0.22</v>
      </c>
      <c r="I359">
        <v>0.21210000000000001</v>
      </c>
      <c r="J359">
        <v>0.51</v>
      </c>
      <c r="K359">
        <v>0.25369999999999998</v>
      </c>
      <c r="L359">
        <v>3</v>
      </c>
      <c r="M359">
        <v>29</v>
      </c>
      <c r="N359">
        <v>32</v>
      </c>
    </row>
    <row r="360" spans="1:14" x14ac:dyDescent="0.3">
      <c r="A360">
        <v>359</v>
      </c>
      <c r="B360">
        <v>40559</v>
      </c>
      <c r="C360">
        <v>0.41666666666666674</v>
      </c>
      <c r="D360" t="s">
        <v>8</v>
      </c>
      <c r="E360" t="s">
        <v>9</v>
      </c>
      <c r="F360" t="s">
        <v>12</v>
      </c>
      <c r="G360" t="s">
        <v>18</v>
      </c>
      <c r="H360">
        <v>0.22</v>
      </c>
      <c r="I360">
        <v>0.21210000000000001</v>
      </c>
      <c r="J360">
        <v>0.51</v>
      </c>
      <c r="K360">
        <v>0.28360000000000002</v>
      </c>
      <c r="L360">
        <v>8</v>
      </c>
      <c r="M360">
        <v>71</v>
      </c>
      <c r="N360">
        <v>79</v>
      </c>
    </row>
    <row r="361" spans="1:14" x14ac:dyDescent="0.3">
      <c r="A361">
        <v>360</v>
      </c>
      <c r="B361">
        <v>40559</v>
      </c>
      <c r="C361">
        <v>0.45833333333333326</v>
      </c>
      <c r="D361" t="s">
        <v>8</v>
      </c>
      <c r="E361" t="s">
        <v>9</v>
      </c>
      <c r="F361" t="s">
        <v>12</v>
      </c>
      <c r="G361" t="s">
        <v>18</v>
      </c>
      <c r="H361">
        <v>0.24</v>
      </c>
      <c r="I361">
        <v>0.2273</v>
      </c>
      <c r="J361">
        <v>0.44</v>
      </c>
      <c r="K361">
        <v>0.25369999999999998</v>
      </c>
      <c r="L361">
        <v>23</v>
      </c>
      <c r="M361">
        <v>70</v>
      </c>
      <c r="N361">
        <v>93</v>
      </c>
    </row>
    <row r="362" spans="1:14" x14ac:dyDescent="0.3">
      <c r="A362">
        <v>361</v>
      </c>
      <c r="B362">
        <v>40559</v>
      </c>
      <c r="C362">
        <v>0.5</v>
      </c>
      <c r="D362" t="s">
        <v>8</v>
      </c>
      <c r="E362" t="s">
        <v>9</v>
      </c>
      <c r="F362" t="s">
        <v>12</v>
      </c>
      <c r="G362" t="s">
        <v>18</v>
      </c>
      <c r="H362">
        <v>0.24</v>
      </c>
      <c r="I362">
        <v>0.21210000000000001</v>
      </c>
      <c r="J362">
        <v>0.41</v>
      </c>
      <c r="K362">
        <v>0.28360000000000002</v>
      </c>
      <c r="L362">
        <v>29</v>
      </c>
      <c r="M362">
        <v>75</v>
      </c>
      <c r="N362">
        <v>104</v>
      </c>
    </row>
    <row r="363" spans="1:14" x14ac:dyDescent="0.3">
      <c r="A363">
        <v>362</v>
      </c>
      <c r="B363">
        <v>40559</v>
      </c>
      <c r="C363">
        <v>0.54166666666666674</v>
      </c>
      <c r="D363" t="s">
        <v>8</v>
      </c>
      <c r="E363" t="s">
        <v>9</v>
      </c>
      <c r="F363" t="s">
        <v>12</v>
      </c>
      <c r="G363" t="s">
        <v>18</v>
      </c>
      <c r="H363">
        <v>0.26</v>
      </c>
      <c r="I363">
        <v>0.2273</v>
      </c>
      <c r="J363">
        <v>0.35</v>
      </c>
      <c r="K363">
        <v>0.29849999999999999</v>
      </c>
      <c r="L363">
        <v>23</v>
      </c>
      <c r="M363">
        <v>95</v>
      </c>
      <c r="N363">
        <v>118</v>
      </c>
    </row>
    <row r="364" spans="1:14" x14ac:dyDescent="0.3">
      <c r="A364">
        <v>363</v>
      </c>
      <c r="B364">
        <v>40559</v>
      </c>
      <c r="C364">
        <v>0.58333333333333326</v>
      </c>
      <c r="D364" t="s">
        <v>8</v>
      </c>
      <c r="E364" t="s">
        <v>9</v>
      </c>
      <c r="F364" t="s">
        <v>12</v>
      </c>
      <c r="G364" t="s">
        <v>18</v>
      </c>
      <c r="H364">
        <v>0.28000000000000003</v>
      </c>
      <c r="I364">
        <v>0.2727</v>
      </c>
      <c r="J364">
        <v>0.36</v>
      </c>
      <c r="K364">
        <v>0.25369999999999998</v>
      </c>
      <c r="L364">
        <v>22</v>
      </c>
      <c r="M364">
        <v>69</v>
      </c>
      <c r="N364">
        <v>91</v>
      </c>
    </row>
    <row r="365" spans="1:14" x14ac:dyDescent="0.3">
      <c r="A365">
        <v>364</v>
      </c>
      <c r="B365">
        <v>40559</v>
      </c>
      <c r="C365">
        <v>0.625</v>
      </c>
      <c r="D365" t="s">
        <v>8</v>
      </c>
      <c r="E365" t="s">
        <v>9</v>
      </c>
      <c r="F365" t="s">
        <v>12</v>
      </c>
      <c r="G365" t="s">
        <v>18</v>
      </c>
      <c r="H365">
        <v>0.26</v>
      </c>
      <c r="I365">
        <v>0.2424</v>
      </c>
      <c r="J365">
        <v>0.38</v>
      </c>
      <c r="K365">
        <v>0.25369999999999998</v>
      </c>
      <c r="L365">
        <v>35</v>
      </c>
      <c r="M365">
        <v>78</v>
      </c>
      <c r="N365">
        <v>113</v>
      </c>
    </row>
    <row r="366" spans="1:14" x14ac:dyDescent="0.3">
      <c r="A366">
        <v>365</v>
      </c>
      <c r="B366">
        <v>40559</v>
      </c>
      <c r="C366">
        <v>0.66666666666666674</v>
      </c>
      <c r="D366" t="s">
        <v>8</v>
      </c>
      <c r="E366" t="s">
        <v>9</v>
      </c>
      <c r="F366" t="s">
        <v>12</v>
      </c>
      <c r="G366" t="s">
        <v>18</v>
      </c>
      <c r="H366">
        <v>0.24</v>
      </c>
      <c r="I366">
        <v>0.2273</v>
      </c>
      <c r="J366">
        <v>0.38</v>
      </c>
      <c r="K366">
        <v>0.22389999999999999</v>
      </c>
      <c r="L366">
        <v>22</v>
      </c>
      <c r="M366">
        <v>77</v>
      </c>
      <c r="N366">
        <v>99</v>
      </c>
    </row>
    <row r="367" spans="1:14" x14ac:dyDescent="0.3">
      <c r="A367">
        <v>366</v>
      </c>
      <c r="B367">
        <v>40559</v>
      </c>
      <c r="C367">
        <v>0.70833333333333326</v>
      </c>
      <c r="D367" t="s">
        <v>8</v>
      </c>
      <c r="E367" t="s">
        <v>9</v>
      </c>
      <c r="F367" t="s">
        <v>12</v>
      </c>
      <c r="G367" t="s">
        <v>18</v>
      </c>
      <c r="H367">
        <v>0.22</v>
      </c>
      <c r="I367">
        <v>0.21210000000000001</v>
      </c>
      <c r="J367">
        <v>0.37</v>
      </c>
      <c r="K367">
        <v>0.25369999999999998</v>
      </c>
      <c r="L367">
        <v>23</v>
      </c>
      <c r="M367">
        <v>82</v>
      </c>
      <c r="N367">
        <v>105</v>
      </c>
    </row>
    <row r="368" spans="1:14" x14ac:dyDescent="0.3">
      <c r="A368">
        <v>367</v>
      </c>
      <c r="B368">
        <v>40559</v>
      </c>
      <c r="C368">
        <v>0.75</v>
      </c>
      <c r="D368" t="s">
        <v>8</v>
      </c>
      <c r="E368" t="s">
        <v>9</v>
      </c>
      <c r="F368" t="s">
        <v>12</v>
      </c>
      <c r="G368" t="s">
        <v>18</v>
      </c>
      <c r="H368">
        <v>0.2</v>
      </c>
      <c r="I368">
        <v>0.21210000000000001</v>
      </c>
      <c r="J368">
        <v>0.4</v>
      </c>
      <c r="K368">
        <v>0.16420000000000001</v>
      </c>
      <c r="L368">
        <v>11</v>
      </c>
      <c r="M368">
        <v>56</v>
      </c>
      <c r="N368">
        <v>67</v>
      </c>
    </row>
    <row r="369" spans="1:14" x14ac:dyDescent="0.3">
      <c r="A369">
        <v>368</v>
      </c>
      <c r="B369">
        <v>40559</v>
      </c>
      <c r="C369">
        <v>0.79166666666666674</v>
      </c>
      <c r="D369" t="s">
        <v>8</v>
      </c>
      <c r="E369" t="s">
        <v>9</v>
      </c>
      <c r="F369" t="s">
        <v>12</v>
      </c>
      <c r="G369" t="s">
        <v>18</v>
      </c>
      <c r="H369">
        <v>0.18</v>
      </c>
      <c r="I369">
        <v>0.19700000000000001</v>
      </c>
      <c r="J369">
        <v>0.47</v>
      </c>
      <c r="K369">
        <v>0.1343</v>
      </c>
      <c r="L369">
        <v>14</v>
      </c>
      <c r="M369">
        <v>47</v>
      </c>
      <c r="N369">
        <v>61</v>
      </c>
    </row>
    <row r="370" spans="1:14" x14ac:dyDescent="0.3">
      <c r="A370">
        <v>369</v>
      </c>
      <c r="B370">
        <v>40559</v>
      </c>
      <c r="C370">
        <v>0.83333333333333326</v>
      </c>
      <c r="D370" t="s">
        <v>8</v>
      </c>
      <c r="E370" t="s">
        <v>9</v>
      </c>
      <c r="F370" t="s">
        <v>12</v>
      </c>
      <c r="G370" t="s">
        <v>18</v>
      </c>
      <c r="H370">
        <v>0.18</v>
      </c>
      <c r="I370">
        <v>0.19700000000000001</v>
      </c>
      <c r="J370">
        <v>0.47</v>
      </c>
      <c r="K370">
        <v>0.16420000000000001</v>
      </c>
      <c r="L370">
        <v>7</v>
      </c>
      <c r="M370">
        <v>50</v>
      </c>
      <c r="N370">
        <v>57</v>
      </c>
    </row>
    <row r="371" spans="1:14" x14ac:dyDescent="0.3">
      <c r="A371">
        <v>370</v>
      </c>
      <c r="B371">
        <v>40559</v>
      </c>
      <c r="C371">
        <v>0.875</v>
      </c>
      <c r="D371" t="s">
        <v>8</v>
      </c>
      <c r="E371" t="s">
        <v>9</v>
      </c>
      <c r="F371" t="s">
        <v>12</v>
      </c>
      <c r="G371" t="s">
        <v>18</v>
      </c>
      <c r="H371">
        <v>0.18</v>
      </c>
      <c r="I371">
        <v>0.19700000000000001</v>
      </c>
      <c r="J371">
        <v>0.51</v>
      </c>
      <c r="K371">
        <v>0.16420000000000001</v>
      </c>
      <c r="L371">
        <v>6</v>
      </c>
      <c r="M371">
        <v>22</v>
      </c>
      <c r="N371">
        <v>28</v>
      </c>
    </row>
    <row r="372" spans="1:14" x14ac:dyDescent="0.3">
      <c r="A372">
        <v>371</v>
      </c>
      <c r="B372">
        <v>40559</v>
      </c>
      <c r="C372">
        <v>0.91666666666666674</v>
      </c>
      <c r="D372" t="s">
        <v>8</v>
      </c>
      <c r="E372" t="s">
        <v>9</v>
      </c>
      <c r="F372" t="s">
        <v>12</v>
      </c>
      <c r="G372" t="s">
        <v>19</v>
      </c>
      <c r="H372">
        <v>0.2</v>
      </c>
      <c r="I372">
        <v>0.21210000000000001</v>
      </c>
      <c r="J372">
        <v>0.49</v>
      </c>
      <c r="K372">
        <v>0.1343</v>
      </c>
      <c r="L372">
        <v>2</v>
      </c>
      <c r="M372">
        <v>19</v>
      </c>
      <c r="N372">
        <v>21</v>
      </c>
    </row>
    <row r="373" spans="1:14" x14ac:dyDescent="0.3">
      <c r="A373">
        <v>372</v>
      </c>
      <c r="B373">
        <v>40559</v>
      </c>
      <c r="C373">
        <v>0.95833333333333326</v>
      </c>
      <c r="D373" t="s">
        <v>8</v>
      </c>
      <c r="E373" t="s">
        <v>9</v>
      </c>
      <c r="F373" t="s">
        <v>12</v>
      </c>
      <c r="G373" t="s">
        <v>19</v>
      </c>
      <c r="H373">
        <v>0.2</v>
      </c>
      <c r="I373">
        <v>0.2273</v>
      </c>
      <c r="J373">
        <v>0.4</v>
      </c>
      <c r="K373">
        <v>0.1045</v>
      </c>
      <c r="L373">
        <v>0</v>
      </c>
      <c r="M373">
        <v>18</v>
      </c>
      <c r="N373">
        <v>18</v>
      </c>
    </row>
    <row r="374" spans="1:14" x14ac:dyDescent="0.3">
      <c r="A374">
        <v>373</v>
      </c>
      <c r="B374">
        <v>40560</v>
      </c>
      <c r="C374">
        <v>0</v>
      </c>
      <c r="D374" t="s">
        <v>8</v>
      </c>
      <c r="E374" t="s">
        <v>10</v>
      </c>
      <c r="F374" t="s">
        <v>13</v>
      </c>
      <c r="G374" t="s">
        <v>19</v>
      </c>
      <c r="H374">
        <v>0.2</v>
      </c>
      <c r="I374">
        <v>0.19700000000000001</v>
      </c>
      <c r="J374">
        <v>0.47</v>
      </c>
      <c r="K374">
        <v>0.22389999999999999</v>
      </c>
      <c r="L374">
        <v>1</v>
      </c>
      <c r="M374">
        <v>16</v>
      </c>
      <c r="N374">
        <v>17</v>
      </c>
    </row>
    <row r="375" spans="1:14" x14ac:dyDescent="0.3">
      <c r="A375">
        <v>374</v>
      </c>
      <c r="B375">
        <v>40560</v>
      </c>
      <c r="C375">
        <v>4.1666666666666741E-2</v>
      </c>
      <c r="D375" t="s">
        <v>8</v>
      </c>
      <c r="E375" t="s">
        <v>10</v>
      </c>
      <c r="F375" t="s">
        <v>13</v>
      </c>
      <c r="G375" t="s">
        <v>19</v>
      </c>
      <c r="H375">
        <v>0.2</v>
      </c>
      <c r="I375">
        <v>0.19700000000000001</v>
      </c>
      <c r="J375">
        <v>0.44</v>
      </c>
      <c r="K375">
        <v>0.19400000000000001</v>
      </c>
      <c r="L375">
        <v>1</v>
      </c>
      <c r="M375">
        <v>15</v>
      </c>
      <c r="N375">
        <v>16</v>
      </c>
    </row>
    <row r="376" spans="1:14" x14ac:dyDescent="0.3">
      <c r="A376">
        <v>375</v>
      </c>
      <c r="B376">
        <v>40560</v>
      </c>
      <c r="C376">
        <v>8.3333333333333259E-2</v>
      </c>
      <c r="D376" t="s">
        <v>8</v>
      </c>
      <c r="E376" t="s">
        <v>10</v>
      </c>
      <c r="F376" t="s">
        <v>13</v>
      </c>
      <c r="G376" t="s">
        <v>19</v>
      </c>
      <c r="H376">
        <v>0.18</v>
      </c>
      <c r="I376">
        <v>0.16669999999999999</v>
      </c>
      <c r="J376">
        <v>0.43</v>
      </c>
      <c r="K376">
        <v>0.25369999999999998</v>
      </c>
      <c r="L376">
        <v>0</v>
      </c>
      <c r="M376">
        <v>8</v>
      </c>
      <c r="N376">
        <v>8</v>
      </c>
    </row>
    <row r="377" spans="1:14" x14ac:dyDescent="0.3">
      <c r="A377">
        <v>376</v>
      </c>
      <c r="B377">
        <v>40560</v>
      </c>
      <c r="C377">
        <v>0.125</v>
      </c>
      <c r="D377" t="s">
        <v>8</v>
      </c>
      <c r="E377" t="s">
        <v>10</v>
      </c>
      <c r="F377" t="s">
        <v>13</v>
      </c>
      <c r="G377" t="s">
        <v>19</v>
      </c>
      <c r="H377">
        <v>0.18</v>
      </c>
      <c r="I377">
        <v>0.18179999999999999</v>
      </c>
      <c r="J377">
        <v>0.43</v>
      </c>
      <c r="K377">
        <v>0.19400000000000001</v>
      </c>
      <c r="L377">
        <v>0</v>
      </c>
      <c r="M377">
        <v>2</v>
      </c>
      <c r="N377">
        <v>2</v>
      </c>
    </row>
    <row r="378" spans="1:14" x14ac:dyDescent="0.3">
      <c r="A378">
        <v>377</v>
      </c>
      <c r="B378">
        <v>40560</v>
      </c>
      <c r="C378">
        <v>0.16666666666666674</v>
      </c>
      <c r="D378" t="s">
        <v>8</v>
      </c>
      <c r="E378" t="s">
        <v>10</v>
      </c>
      <c r="F378" t="s">
        <v>13</v>
      </c>
      <c r="G378" t="s">
        <v>19</v>
      </c>
      <c r="H378">
        <v>0.18</v>
      </c>
      <c r="I378">
        <v>0.19700000000000001</v>
      </c>
      <c r="J378">
        <v>0.43</v>
      </c>
      <c r="K378">
        <v>0.1343</v>
      </c>
      <c r="L378">
        <v>1</v>
      </c>
      <c r="M378">
        <v>2</v>
      </c>
      <c r="N378">
        <v>3</v>
      </c>
    </row>
    <row r="379" spans="1:14" x14ac:dyDescent="0.3">
      <c r="A379">
        <v>378</v>
      </c>
      <c r="B379">
        <v>40560</v>
      </c>
      <c r="C379">
        <v>0.20833333333333326</v>
      </c>
      <c r="D379" t="s">
        <v>8</v>
      </c>
      <c r="E379" t="s">
        <v>10</v>
      </c>
      <c r="F379" t="s">
        <v>13</v>
      </c>
      <c r="G379" t="s">
        <v>19</v>
      </c>
      <c r="H379">
        <v>0.18</v>
      </c>
      <c r="I379">
        <v>0.19700000000000001</v>
      </c>
      <c r="J379">
        <v>0.43</v>
      </c>
      <c r="K379">
        <v>0.16420000000000001</v>
      </c>
      <c r="L379">
        <v>0</v>
      </c>
      <c r="M379">
        <v>1</v>
      </c>
      <c r="N379">
        <v>1</v>
      </c>
    </row>
    <row r="380" spans="1:14" x14ac:dyDescent="0.3">
      <c r="A380">
        <v>379</v>
      </c>
      <c r="B380">
        <v>40560</v>
      </c>
      <c r="C380">
        <v>0.25</v>
      </c>
      <c r="D380" t="s">
        <v>8</v>
      </c>
      <c r="E380" t="s">
        <v>10</v>
      </c>
      <c r="F380" t="s">
        <v>13</v>
      </c>
      <c r="G380" t="s">
        <v>19</v>
      </c>
      <c r="H380">
        <v>0.18</v>
      </c>
      <c r="I380">
        <v>0.18179999999999999</v>
      </c>
      <c r="J380">
        <v>0.43</v>
      </c>
      <c r="K380">
        <v>0.19400000000000001</v>
      </c>
      <c r="L380">
        <v>0</v>
      </c>
      <c r="M380">
        <v>5</v>
      </c>
      <c r="N380">
        <v>5</v>
      </c>
    </row>
    <row r="381" spans="1:14" x14ac:dyDescent="0.3">
      <c r="A381">
        <v>380</v>
      </c>
      <c r="B381">
        <v>40560</v>
      </c>
      <c r="C381">
        <v>0.29166666666666674</v>
      </c>
      <c r="D381" t="s">
        <v>8</v>
      </c>
      <c r="E381" t="s">
        <v>10</v>
      </c>
      <c r="F381" t="s">
        <v>13</v>
      </c>
      <c r="G381" t="s">
        <v>19</v>
      </c>
      <c r="H381">
        <v>0.16</v>
      </c>
      <c r="I381">
        <v>0.18179999999999999</v>
      </c>
      <c r="J381">
        <v>0.5</v>
      </c>
      <c r="K381">
        <v>0.1343</v>
      </c>
      <c r="L381">
        <v>4</v>
      </c>
      <c r="M381">
        <v>9</v>
      </c>
      <c r="N381">
        <v>13</v>
      </c>
    </row>
    <row r="382" spans="1:14" x14ac:dyDescent="0.3">
      <c r="A382">
        <v>381</v>
      </c>
      <c r="B382">
        <v>40560</v>
      </c>
      <c r="C382">
        <v>0.33333333333333326</v>
      </c>
      <c r="D382" t="s">
        <v>8</v>
      </c>
      <c r="E382" t="s">
        <v>10</v>
      </c>
      <c r="F382" t="s">
        <v>13</v>
      </c>
      <c r="G382" t="s">
        <v>19</v>
      </c>
      <c r="H382">
        <v>0.16</v>
      </c>
      <c r="I382">
        <v>0.1515</v>
      </c>
      <c r="J382">
        <v>0.47</v>
      </c>
      <c r="K382">
        <v>0.22389999999999999</v>
      </c>
      <c r="L382">
        <v>3</v>
      </c>
      <c r="M382">
        <v>30</v>
      </c>
      <c r="N382">
        <v>33</v>
      </c>
    </row>
    <row r="383" spans="1:14" x14ac:dyDescent="0.3">
      <c r="A383">
        <v>382</v>
      </c>
      <c r="B383">
        <v>40560</v>
      </c>
      <c r="C383">
        <v>0.375</v>
      </c>
      <c r="D383" t="s">
        <v>8</v>
      </c>
      <c r="E383" t="s">
        <v>10</v>
      </c>
      <c r="F383" t="s">
        <v>13</v>
      </c>
      <c r="G383" t="s">
        <v>19</v>
      </c>
      <c r="H383">
        <v>0.16</v>
      </c>
      <c r="I383">
        <v>0.1515</v>
      </c>
      <c r="J383">
        <v>0.47</v>
      </c>
      <c r="K383">
        <v>0.22389999999999999</v>
      </c>
      <c r="L383">
        <v>8</v>
      </c>
      <c r="M383">
        <v>39</v>
      </c>
      <c r="N383">
        <v>47</v>
      </c>
    </row>
    <row r="384" spans="1:14" x14ac:dyDescent="0.3">
      <c r="A384">
        <v>383</v>
      </c>
      <c r="B384">
        <v>40560</v>
      </c>
      <c r="C384">
        <v>0.41666666666666674</v>
      </c>
      <c r="D384" t="s">
        <v>8</v>
      </c>
      <c r="E384" t="s">
        <v>10</v>
      </c>
      <c r="F384" t="s">
        <v>13</v>
      </c>
      <c r="G384" t="s">
        <v>19</v>
      </c>
      <c r="H384">
        <v>0.16</v>
      </c>
      <c r="I384">
        <v>0.1515</v>
      </c>
      <c r="J384">
        <v>0.5</v>
      </c>
      <c r="K384">
        <v>0.25369999999999998</v>
      </c>
      <c r="L384">
        <v>7</v>
      </c>
      <c r="M384">
        <v>50</v>
      </c>
      <c r="N384">
        <v>57</v>
      </c>
    </row>
    <row r="385" spans="1:14" x14ac:dyDescent="0.3">
      <c r="A385">
        <v>384</v>
      </c>
      <c r="B385">
        <v>40560</v>
      </c>
      <c r="C385">
        <v>0.45833333333333326</v>
      </c>
      <c r="D385" t="s">
        <v>8</v>
      </c>
      <c r="E385" t="s">
        <v>10</v>
      </c>
      <c r="F385" t="s">
        <v>13</v>
      </c>
      <c r="G385" t="s">
        <v>19</v>
      </c>
      <c r="H385">
        <v>0.16</v>
      </c>
      <c r="I385">
        <v>0.1515</v>
      </c>
      <c r="J385">
        <v>0.55000000000000004</v>
      </c>
      <c r="K385">
        <v>0.19400000000000001</v>
      </c>
      <c r="L385">
        <v>9</v>
      </c>
      <c r="M385">
        <v>55</v>
      </c>
      <c r="N385">
        <v>64</v>
      </c>
    </row>
    <row r="386" spans="1:14" x14ac:dyDescent="0.3">
      <c r="A386">
        <v>385</v>
      </c>
      <c r="B386">
        <v>40560</v>
      </c>
      <c r="C386">
        <v>0.5</v>
      </c>
      <c r="D386" t="s">
        <v>8</v>
      </c>
      <c r="E386" t="s">
        <v>10</v>
      </c>
      <c r="F386" t="s">
        <v>13</v>
      </c>
      <c r="G386" t="s">
        <v>19</v>
      </c>
      <c r="H386">
        <v>0.18</v>
      </c>
      <c r="I386">
        <v>0.19700000000000001</v>
      </c>
      <c r="J386">
        <v>0.47</v>
      </c>
      <c r="K386">
        <v>0.1343</v>
      </c>
      <c r="L386">
        <v>10</v>
      </c>
      <c r="M386">
        <v>70</v>
      </c>
      <c r="N386">
        <v>80</v>
      </c>
    </row>
    <row r="387" spans="1:14" x14ac:dyDescent="0.3">
      <c r="A387">
        <v>386</v>
      </c>
      <c r="B387">
        <v>40560</v>
      </c>
      <c r="C387">
        <v>0.54166666666666674</v>
      </c>
      <c r="D387" t="s">
        <v>8</v>
      </c>
      <c r="E387" t="s">
        <v>10</v>
      </c>
      <c r="F387" t="s">
        <v>13</v>
      </c>
      <c r="G387" t="s">
        <v>19</v>
      </c>
      <c r="H387">
        <v>0.18</v>
      </c>
      <c r="I387">
        <v>0.19700000000000001</v>
      </c>
      <c r="J387">
        <v>0.47</v>
      </c>
      <c r="K387">
        <v>0.1343</v>
      </c>
      <c r="L387">
        <v>13</v>
      </c>
      <c r="M387">
        <v>80</v>
      </c>
      <c r="N387">
        <v>93</v>
      </c>
    </row>
    <row r="388" spans="1:14" x14ac:dyDescent="0.3">
      <c r="A388">
        <v>387</v>
      </c>
      <c r="B388">
        <v>40560</v>
      </c>
      <c r="C388">
        <v>0.58333333333333326</v>
      </c>
      <c r="D388" t="s">
        <v>8</v>
      </c>
      <c r="E388" t="s">
        <v>10</v>
      </c>
      <c r="F388" t="s">
        <v>13</v>
      </c>
      <c r="G388" t="s">
        <v>19</v>
      </c>
      <c r="H388">
        <v>0.18</v>
      </c>
      <c r="I388">
        <v>0.21210000000000001</v>
      </c>
      <c r="J388">
        <v>0.43</v>
      </c>
      <c r="K388">
        <v>0.1045</v>
      </c>
      <c r="L388">
        <v>12</v>
      </c>
      <c r="M388">
        <v>74</v>
      </c>
      <c r="N388">
        <v>86</v>
      </c>
    </row>
    <row r="389" spans="1:14" x14ac:dyDescent="0.3">
      <c r="A389">
        <v>388</v>
      </c>
      <c r="B389">
        <v>40560</v>
      </c>
      <c r="C389">
        <v>0.625</v>
      </c>
      <c r="D389" t="s">
        <v>8</v>
      </c>
      <c r="E389" t="s">
        <v>10</v>
      </c>
      <c r="F389" t="s">
        <v>13</v>
      </c>
      <c r="G389" t="s">
        <v>19</v>
      </c>
      <c r="H389">
        <v>0.2</v>
      </c>
      <c r="I389">
        <v>0.21210000000000001</v>
      </c>
      <c r="J389">
        <v>0.47</v>
      </c>
      <c r="K389">
        <v>0.16420000000000001</v>
      </c>
      <c r="L389">
        <v>21</v>
      </c>
      <c r="M389">
        <v>72</v>
      </c>
      <c r="N389">
        <v>93</v>
      </c>
    </row>
    <row r="390" spans="1:14" x14ac:dyDescent="0.3">
      <c r="A390">
        <v>389</v>
      </c>
      <c r="B390">
        <v>40560</v>
      </c>
      <c r="C390">
        <v>0.66666666666666674</v>
      </c>
      <c r="D390" t="s">
        <v>8</v>
      </c>
      <c r="E390" t="s">
        <v>10</v>
      </c>
      <c r="F390" t="s">
        <v>13</v>
      </c>
      <c r="G390" t="s">
        <v>19</v>
      </c>
      <c r="H390">
        <v>0.2</v>
      </c>
      <c r="I390">
        <v>0.21210000000000001</v>
      </c>
      <c r="J390">
        <v>0.47</v>
      </c>
      <c r="K390">
        <v>0.16420000000000001</v>
      </c>
      <c r="L390">
        <v>6</v>
      </c>
      <c r="M390">
        <v>76</v>
      </c>
      <c r="N390">
        <v>82</v>
      </c>
    </row>
    <row r="391" spans="1:14" x14ac:dyDescent="0.3">
      <c r="A391">
        <v>390</v>
      </c>
      <c r="B391">
        <v>40560</v>
      </c>
      <c r="C391">
        <v>0.70833333333333326</v>
      </c>
      <c r="D391" t="s">
        <v>8</v>
      </c>
      <c r="E391" t="s">
        <v>10</v>
      </c>
      <c r="F391" t="s">
        <v>13</v>
      </c>
      <c r="G391" t="s">
        <v>18</v>
      </c>
      <c r="H391">
        <v>0.2</v>
      </c>
      <c r="I391">
        <v>0.19700000000000001</v>
      </c>
      <c r="J391">
        <v>0.51</v>
      </c>
      <c r="K391">
        <v>0.19400000000000001</v>
      </c>
      <c r="L391">
        <v>4</v>
      </c>
      <c r="M391">
        <v>67</v>
      </c>
      <c r="N391">
        <v>71</v>
      </c>
    </row>
    <row r="392" spans="1:14" x14ac:dyDescent="0.3">
      <c r="A392">
        <v>391</v>
      </c>
      <c r="B392">
        <v>40560</v>
      </c>
      <c r="C392">
        <v>0.75</v>
      </c>
      <c r="D392" t="s">
        <v>8</v>
      </c>
      <c r="E392" t="s">
        <v>10</v>
      </c>
      <c r="F392" t="s">
        <v>13</v>
      </c>
      <c r="G392" t="s">
        <v>19</v>
      </c>
      <c r="H392">
        <v>0.18</v>
      </c>
      <c r="I392">
        <v>0.16669999999999999</v>
      </c>
      <c r="J392">
        <v>0.55000000000000004</v>
      </c>
      <c r="K392">
        <v>0.25369999999999998</v>
      </c>
      <c r="L392">
        <v>7</v>
      </c>
      <c r="M392">
        <v>85</v>
      </c>
      <c r="N392">
        <v>92</v>
      </c>
    </row>
    <row r="393" spans="1:14" x14ac:dyDescent="0.3">
      <c r="A393">
        <v>392</v>
      </c>
      <c r="B393">
        <v>40560</v>
      </c>
      <c r="C393">
        <v>0.79166666666666674</v>
      </c>
      <c r="D393" t="s">
        <v>8</v>
      </c>
      <c r="E393" t="s">
        <v>10</v>
      </c>
      <c r="F393" t="s">
        <v>13</v>
      </c>
      <c r="G393" t="s">
        <v>20</v>
      </c>
      <c r="H393">
        <v>0.18</v>
      </c>
      <c r="I393">
        <v>0.18179999999999999</v>
      </c>
      <c r="J393">
        <v>0.59</v>
      </c>
      <c r="K393">
        <v>0.19400000000000001</v>
      </c>
      <c r="L393">
        <v>2</v>
      </c>
      <c r="M393">
        <v>58</v>
      </c>
      <c r="N393">
        <v>60</v>
      </c>
    </row>
    <row r="394" spans="1:14" x14ac:dyDescent="0.3">
      <c r="A394">
        <v>393</v>
      </c>
      <c r="B394">
        <v>40560</v>
      </c>
      <c r="C394">
        <v>0.83333333333333326</v>
      </c>
      <c r="D394" t="s">
        <v>8</v>
      </c>
      <c r="E394" t="s">
        <v>10</v>
      </c>
      <c r="F394" t="s">
        <v>13</v>
      </c>
      <c r="G394" t="s">
        <v>20</v>
      </c>
      <c r="H394">
        <v>0.16</v>
      </c>
      <c r="I394">
        <v>0.1515</v>
      </c>
      <c r="J394">
        <v>0.8</v>
      </c>
      <c r="K394">
        <v>0.19400000000000001</v>
      </c>
      <c r="L394">
        <v>4</v>
      </c>
      <c r="M394">
        <v>29</v>
      </c>
      <c r="N394">
        <v>33</v>
      </c>
    </row>
    <row r="395" spans="1:14" x14ac:dyDescent="0.3">
      <c r="A395">
        <v>394</v>
      </c>
      <c r="B395">
        <v>40560</v>
      </c>
      <c r="C395">
        <v>0.875</v>
      </c>
      <c r="D395" t="s">
        <v>8</v>
      </c>
      <c r="E395" t="s">
        <v>10</v>
      </c>
      <c r="F395" t="s">
        <v>13</v>
      </c>
      <c r="G395" t="s">
        <v>20</v>
      </c>
      <c r="H395">
        <v>0.16</v>
      </c>
      <c r="I395">
        <v>0.1515</v>
      </c>
      <c r="J395">
        <v>0.8</v>
      </c>
      <c r="K395">
        <v>0.19400000000000001</v>
      </c>
      <c r="L395">
        <v>3</v>
      </c>
      <c r="M395">
        <v>24</v>
      </c>
      <c r="N395">
        <v>27</v>
      </c>
    </row>
    <row r="396" spans="1:14" x14ac:dyDescent="0.3">
      <c r="A396">
        <v>395</v>
      </c>
      <c r="B396">
        <v>40560</v>
      </c>
      <c r="C396">
        <v>0.91666666666666674</v>
      </c>
      <c r="D396" t="s">
        <v>8</v>
      </c>
      <c r="E396" t="s">
        <v>10</v>
      </c>
      <c r="F396" t="s">
        <v>13</v>
      </c>
      <c r="G396" t="s">
        <v>20</v>
      </c>
      <c r="H396">
        <v>0.14000000000000001</v>
      </c>
      <c r="I396">
        <v>0.1212</v>
      </c>
      <c r="J396">
        <v>0.93</v>
      </c>
      <c r="K396">
        <v>0.25369999999999998</v>
      </c>
      <c r="L396">
        <v>0</v>
      </c>
      <c r="M396">
        <v>13</v>
      </c>
      <c r="N396">
        <v>13</v>
      </c>
    </row>
    <row r="397" spans="1:14" x14ac:dyDescent="0.3">
      <c r="A397">
        <v>396</v>
      </c>
      <c r="B397">
        <v>40560</v>
      </c>
      <c r="C397">
        <v>0.95833333333333326</v>
      </c>
      <c r="D397" t="s">
        <v>8</v>
      </c>
      <c r="E397" t="s">
        <v>10</v>
      </c>
      <c r="F397" t="s">
        <v>13</v>
      </c>
      <c r="G397" t="s">
        <v>20</v>
      </c>
      <c r="H397">
        <v>0.16</v>
      </c>
      <c r="I397">
        <v>0.13639999999999999</v>
      </c>
      <c r="J397">
        <v>0.86</v>
      </c>
      <c r="K397">
        <v>0.28360000000000002</v>
      </c>
      <c r="L397">
        <v>1</v>
      </c>
      <c r="M397">
        <v>3</v>
      </c>
      <c r="N397">
        <v>4</v>
      </c>
    </row>
    <row r="398" spans="1:14" x14ac:dyDescent="0.3">
      <c r="A398">
        <v>397</v>
      </c>
      <c r="B398">
        <v>40561</v>
      </c>
      <c r="C398">
        <v>0.5</v>
      </c>
      <c r="D398" t="s">
        <v>8</v>
      </c>
      <c r="E398" t="s">
        <v>9</v>
      </c>
      <c r="F398" t="s">
        <v>14</v>
      </c>
      <c r="G398" t="s">
        <v>19</v>
      </c>
      <c r="H398">
        <v>0.2</v>
      </c>
      <c r="I398">
        <v>0.18179999999999999</v>
      </c>
      <c r="J398">
        <v>0.86</v>
      </c>
      <c r="K398">
        <v>0.32840000000000003</v>
      </c>
      <c r="L398">
        <v>0</v>
      </c>
      <c r="M398">
        <v>3</v>
      </c>
      <c r="N398">
        <v>3</v>
      </c>
    </row>
    <row r="399" spans="1:14" x14ac:dyDescent="0.3">
      <c r="A399">
        <v>398</v>
      </c>
      <c r="B399">
        <v>40561</v>
      </c>
      <c r="C399">
        <v>0.54166666666666674</v>
      </c>
      <c r="D399" t="s">
        <v>8</v>
      </c>
      <c r="E399" t="s">
        <v>9</v>
      </c>
      <c r="F399" t="s">
        <v>14</v>
      </c>
      <c r="G399" t="s">
        <v>19</v>
      </c>
      <c r="H399">
        <v>0.2</v>
      </c>
      <c r="I399">
        <v>0.19700000000000001</v>
      </c>
      <c r="J399">
        <v>0.86</v>
      </c>
      <c r="K399">
        <v>0.22389999999999999</v>
      </c>
      <c r="L399">
        <v>0</v>
      </c>
      <c r="M399">
        <v>22</v>
      </c>
      <c r="N399">
        <v>22</v>
      </c>
    </row>
    <row r="400" spans="1:14" x14ac:dyDescent="0.3">
      <c r="A400">
        <v>399</v>
      </c>
      <c r="B400">
        <v>40561</v>
      </c>
      <c r="C400">
        <v>0.58333333333333326</v>
      </c>
      <c r="D400" t="s">
        <v>8</v>
      </c>
      <c r="E400" t="s">
        <v>9</v>
      </c>
      <c r="F400" t="s">
        <v>14</v>
      </c>
      <c r="G400" t="s">
        <v>19</v>
      </c>
      <c r="H400">
        <v>0.22</v>
      </c>
      <c r="I400">
        <v>0.2273</v>
      </c>
      <c r="J400">
        <v>0.8</v>
      </c>
      <c r="K400">
        <v>0.16420000000000001</v>
      </c>
      <c r="L400">
        <v>2</v>
      </c>
      <c r="M400">
        <v>26</v>
      </c>
      <c r="N400">
        <v>28</v>
      </c>
    </row>
    <row r="401" spans="1:14" x14ac:dyDescent="0.3">
      <c r="A401">
        <v>400</v>
      </c>
      <c r="B401">
        <v>40561</v>
      </c>
      <c r="C401">
        <v>0.625</v>
      </c>
      <c r="D401" t="s">
        <v>8</v>
      </c>
      <c r="E401" t="s">
        <v>9</v>
      </c>
      <c r="F401" t="s">
        <v>14</v>
      </c>
      <c r="G401" t="s">
        <v>19</v>
      </c>
      <c r="H401">
        <v>0.22</v>
      </c>
      <c r="I401">
        <v>0.2273</v>
      </c>
      <c r="J401">
        <v>0.87</v>
      </c>
      <c r="K401">
        <v>0.16420000000000001</v>
      </c>
      <c r="L401">
        <v>3</v>
      </c>
      <c r="M401">
        <v>32</v>
      </c>
      <c r="N401">
        <v>35</v>
      </c>
    </row>
    <row r="402" spans="1:14" x14ac:dyDescent="0.3">
      <c r="A402">
        <v>401</v>
      </c>
      <c r="B402">
        <v>40561</v>
      </c>
      <c r="C402">
        <v>0.66666666666666674</v>
      </c>
      <c r="D402" t="s">
        <v>8</v>
      </c>
      <c r="E402" t="s">
        <v>9</v>
      </c>
      <c r="F402" t="s">
        <v>14</v>
      </c>
      <c r="G402" t="s">
        <v>19</v>
      </c>
      <c r="H402">
        <v>0.22</v>
      </c>
      <c r="I402">
        <v>0.2273</v>
      </c>
      <c r="J402">
        <v>0.87</v>
      </c>
      <c r="K402">
        <v>0.19400000000000001</v>
      </c>
      <c r="L402">
        <v>0</v>
      </c>
      <c r="M402">
        <v>61</v>
      </c>
      <c r="N402">
        <v>61</v>
      </c>
    </row>
    <row r="403" spans="1:14" x14ac:dyDescent="0.3">
      <c r="A403">
        <v>402</v>
      </c>
      <c r="B403">
        <v>40561</v>
      </c>
      <c r="C403">
        <v>0.70833333333333326</v>
      </c>
      <c r="D403" t="s">
        <v>8</v>
      </c>
      <c r="E403" t="s">
        <v>9</v>
      </c>
      <c r="F403" t="s">
        <v>14</v>
      </c>
      <c r="G403" t="s">
        <v>19</v>
      </c>
      <c r="H403">
        <v>0.22</v>
      </c>
      <c r="I403">
        <v>0.2273</v>
      </c>
      <c r="J403">
        <v>0.82</v>
      </c>
      <c r="K403">
        <v>0.19400000000000001</v>
      </c>
      <c r="L403">
        <v>1</v>
      </c>
      <c r="M403">
        <v>124</v>
      </c>
      <c r="N403">
        <v>125</v>
      </c>
    </row>
    <row r="404" spans="1:14" x14ac:dyDescent="0.3">
      <c r="A404">
        <v>403</v>
      </c>
      <c r="B404">
        <v>40561</v>
      </c>
      <c r="C404">
        <v>0.75</v>
      </c>
      <c r="D404" t="s">
        <v>8</v>
      </c>
      <c r="E404" t="s">
        <v>9</v>
      </c>
      <c r="F404" t="s">
        <v>14</v>
      </c>
      <c r="G404" t="s">
        <v>19</v>
      </c>
      <c r="H404">
        <v>0.22</v>
      </c>
      <c r="I404">
        <v>0.2273</v>
      </c>
      <c r="J404">
        <v>0.8</v>
      </c>
      <c r="K404">
        <v>0.16420000000000001</v>
      </c>
      <c r="L404">
        <v>1</v>
      </c>
      <c r="M404">
        <v>132</v>
      </c>
      <c r="N404">
        <v>133</v>
      </c>
    </row>
    <row r="405" spans="1:14" x14ac:dyDescent="0.3">
      <c r="A405">
        <v>404</v>
      </c>
      <c r="B405">
        <v>40561</v>
      </c>
      <c r="C405">
        <v>0.79166666666666674</v>
      </c>
      <c r="D405" t="s">
        <v>8</v>
      </c>
      <c r="E405" t="s">
        <v>9</v>
      </c>
      <c r="F405" t="s">
        <v>14</v>
      </c>
      <c r="G405" t="s">
        <v>19</v>
      </c>
      <c r="H405">
        <v>0.22</v>
      </c>
      <c r="I405">
        <v>0.2273</v>
      </c>
      <c r="J405">
        <v>0.8</v>
      </c>
      <c r="K405">
        <v>0.1343</v>
      </c>
      <c r="L405">
        <v>1</v>
      </c>
      <c r="M405">
        <v>98</v>
      </c>
      <c r="N405">
        <v>99</v>
      </c>
    </row>
    <row r="406" spans="1:14" x14ac:dyDescent="0.3">
      <c r="A406">
        <v>405</v>
      </c>
      <c r="B406">
        <v>40561</v>
      </c>
      <c r="C406">
        <v>0.83333333333333326</v>
      </c>
      <c r="D406" t="s">
        <v>8</v>
      </c>
      <c r="E406" t="s">
        <v>9</v>
      </c>
      <c r="F406" t="s">
        <v>14</v>
      </c>
      <c r="G406" t="s">
        <v>19</v>
      </c>
      <c r="H406">
        <v>0.22</v>
      </c>
      <c r="I406">
        <v>0.2727</v>
      </c>
      <c r="J406">
        <v>0.87</v>
      </c>
      <c r="K406">
        <v>0</v>
      </c>
      <c r="L406">
        <v>0</v>
      </c>
      <c r="M406">
        <v>83</v>
      </c>
      <c r="N406">
        <v>83</v>
      </c>
    </row>
    <row r="407" spans="1:14" x14ac:dyDescent="0.3">
      <c r="A407">
        <v>406</v>
      </c>
      <c r="B407">
        <v>40561</v>
      </c>
      <c r="C407">
        <v>0.875</v>
      </c>
      <c r="D407" t="s">
        <v>8</v>
      </c>
      <c r="E407" t="s">
        <v>9</v>
      </c>
      <c r="F407" t="s">
        <v>14</v>
      </c>
      <c r="G407" t="s">
        <v>19</v>
      </c>
      <c r="H407">
        <v>0.22</v>
      </c>
      <c r="I407">
        <v>0.2424</v>
      </c>
      <c r="J407">
        <v>0.93</v>
      </c>
      <c r="K407">
        <v>0.1045</v>
      </c>
      <c r="L407">
        <v>0</v>
      </c>
      <c r="M407">
        <v>41</v>
      </c>
      <c r="N407">
        <v>41</v>
      </c>
    </row>
    <row r="408" spans="1:14" x14ac:dyDescent="0.3">
      <c r="A408">
        <v>407</v>
      </c>
      <c r="B408">
        <v>40561</v>
      </c>
      <c r="C408">
        <v>0.91666666666666674</v>
      </c>
      <c r="D408" t="s">
        <v>8</v>
      </c>
      <c r="E408" t="s">
        <v>9</v>
      </c>
      <c r="F408" t="s">
        <v>14</v>
      </c>
      <c r="G408" t="s">
        <v>19</v>
      </c>
      <c r="H408">
        <v>0.22</v>
      </c>
      <c r="I408">
        <v>0.2576</v>
      </c>
      <c r="J408">
        <v>0.93</v>
      </c>
      <c r="K408">
        <v>8.9599999999999999E-2</v>
      </c>
      <c r="L408">
        <v>0</v>
      </c>
      <c r="M408">
        <v>33</v>
      </c>
      <c r="N408">
        <v>33</v>
      </c>
    </row>
    <row r="409" spans="1:14" x14ac:dyDescent="0.3">
      <c r="A409">
        <v>408</v>
      </c>
      <c r="B409">
        <v>40561</v>
      </c>
      <c r="C409">
        <v>0.95833333333333326</v>
      </c>
      <c r="D409" t="s">
        <v>8</v>
      </c>
      <c r="E409" t="s">
        <v>9</v>
      </c>
      <c r="F409" t="s">
        <v>14</v>
      </c>
      <c r="G409" t="s">
        <v>19</v>
      </c>
      <c r="H409">
        <v>0.22</v>
      </c>
      <c r="I409">
        <v>0.2727</v>
      </c>
      <c r="J409">
        <v>0.93</v>
      </c>
      <c r="K409">
        <v>0</v>
      </c>
      <c r="L409">
        <v>1</v>
      </c>
      <c r="M409">
        <v>19</v>
      </c>
      <c r="N409">
        <v>20</v>
      </c>
    </row>
    <row r="410" spans="1:14" x14ac:dyDescent="0.3">
      <c r="A410">
        <v>409</v>
      </c>
      <c r="B410">
        <v>40562</v>
      </c>
      <c r="C410">
        <v>0</v>
      </c>
      <c r="D410" t="s">
        <v>8</v>
      </c>
      <c r="E410" t="s">
        <v>9</v>
      </c>
      <c r="F410" t="s">
        <v>15</v>
      </c>
      <c r="G410" t="s">
        <v>19</v>
      </c>
      <c r="H410">
        <v>0.22</v>
      </c>
      <c r="I410">
        <v>0.2727</v>
      </c>
      <c r="J410">
        <v>0.93</v>
      </c>
      <c r="K410">
        <v>0</v>
      </c>
      <c r="L410">
        <v>0</v>
      </c>
      <c r="M410">
        <v>3</v>
      </c>
      <c r="N410">
        <v>3</v>
      </c>
    </row>
    <row r="411" spans="1:14" x14ac:dyDescent="0.3">
      <c r="A411">
        <v>410</v>
      </c>
      <c r="B411">
        <v>40562</v>
      </c>
      <c r="C411">
        <v>4.1666666666666741E-2</v>
      </c>
      <c r="D411" t="s">
        <v>8</v>
      </c>
      <c r="E411" t="s">
        <v>9</v>
      </c>
      <c r="F411" t="s">
        <v>15</v>
      </c>
      <c r="G411" t="s">
        <v>20</v>
      </c>
      <c r="H411">
        <v>0.22</v>
      </c>
      <c r="I411">
        <v>0.2273</v>
      </c>
      <c r="J411">
        <v>0.93</v>
      </c>
      <c r="K411">
        <v>0.1343</v>
      </c>
      <c r="L411">
        <v>1</v>
      </c>
      <c r="M411">
        <v>6</v>
      </c>
      <c r="N411">
        <v>7</v>
      </c>
    </row>
    <row r="412" spans="1:14" x14ac:dyDescent="0.3">
      <c r="A412">
        <v>411</v>
      </c>
      <c r="B412">
        <v>40562</v>
      </c>
      <c r="C412">
        <v>8.3333333333333259E-2</v>
      </c>
      <c r="D412" t="s">
        <v>8</v>
      </c>
      <c r="E412" t="s">
        <v>9</v>
      </c>
      <c r="F412" t="s">
        <v>15</v>
      </c>
      <c r="G412" t="s">
        <v>20</v>
      </c>
      <c r="H412">
        <v>0.22</v>
      </c>
      <c r="I412">
        <v>0.2273</v>
      </c>
      <c r="J412">
        <v>0.93</v>
      </c>
      <c r="K412">
        <v>0.1343</v>
      </c>
      <c r="L412">
        <v>0</v>
      </c>
      <c r="M412">
        <v>3</v>
      </c>
      <c r="N412">
        <v>3</v>
      </c>
    </row>
    <row r="413" spans="1:14" x14ac:dyDescent="0.3">
      <c r="A413">
        <v>412</v>
      </c>
      <c r="B413">
        <v>40562</v>
      </c>
      <c r="C413">
        <v>0.16666666666666674</v>
      </c>
      <c r="D413" t="s">
        <v>8</v>
      </c>
      <c r="E413" t="s">
        <v>9</v>
      </c>
      <c r="F413" t="s">
        <v>15</v>
      </c>
      <c r="G413" t="s">
        <v>20</v>
      </c>
      <c r="H413">
        <v>0.22</v>
      </c>
      <c r="I413">
        <v>0.2273</v>
      </c>
      <c r="J413">
        <v>0.93</v>
      </c>
      <c r="K413">
        <v>0.1343</v>
      </c>
      <c r="L413">
        <v>1</v>
      </c>
      <c r="M413">
        <v>1</v>
      </c>
      <c r="N413">
        <v>2</v>
      </c>
    </row>
    <row r="414" spans="1:14" x14ac:dyDescent="0.3">
      <c r="A414">
        <v>413</v>
      </c>
      <c r="B414">
        <v>40562</v>
      </c>
      <c r="C414">
        <v>0.20833333333333326</v>
      </c>
      <c r="D414" t="s">
        <v>8</v>
      </c>
      <c r="E414" t="s">
        <v>9</v>
      </c>
      <c r="F414" t="s">
        <v>15</v>
      </c>
      <c r="G414" t="s">
        <v>19</v>
      </c>
      <c r="H414">
        <v>0.22</v>
      </c>
      <c r="I414">
        <v>0.2576</v>
      </c>
      <c r="J414">
        <v>0.93</v>
      </c>
      <c r="K414">
        <v>8.9599999999999999E-2</v>
      </c>
      <c r="L414">
        <v>0</v>
      </c>
      <c r="M414">
        <v>7</v>
      </c>
      <c r="N414">
        <v>7</v>
      </c>
    </row>
    <row r="415" spans="1:14" x14ac:dyDescent="0.3">
      <c r="A415">
        <v>414</v>
      </c>
      <c r="B415">
        <v>40562</v>
      </c>
      <c r="C415">
        <v>0.25</v>
      </c>
      <c r="D415" t="s">
        <v>8</v>
      </c>
      <c r="E415" t="s">
        <v>9</v>
      </c>
      <c r="F415" t="s">
        <v>15</v>
      </c>
      <c r="G415" t="s">
        <v>19</v>
      </c>
      <c r="H415">
        <v>0.22</v>
      </c>
      <c r="I415">
        <v>0.2576</v>
      </c>
      <c r="J415">
        <v>0.93</v>
      </c>
      <c r="K415">
        <v>8.9599999999999999E-2</v>
      </c>
      <c r="L415">
        <v>0</v>
      </c>
      <c r="M415">
        <v>32</v>
      </c>
      <c r="N415">
        <v>32</v>
      </c>
    </row>
    <row r="416" spans="1:14" x14ac:dyDescent="0.3">
      <c r="A416">
        <v>415</v>
      </c>
      <c r="B416">
        <v>40562</v>
      </c>
      <c r="C416">
        <v>0.29166666666666674</v>
      </c>
      <c r="D416" t="s">
        <v>8</v>
      </c>
      <c r="E416" t="s">
        <v>9</v>
      </c>
      <c r="F416" t="s">
        <v>15</v>
      </c>
      <c r="G416" t="s">
        <v>19</v>
      </c>
      <c r="H416">
        <v>0.24</v>
      </c>
      <c r="I416">
        <v>0.2576</v>
      </c>
      <c r="J416">
        <v>0.92</v>
      </c>
      <c r="K416">
        <v>0.1045</v>
      </c>
      <c r="L416">
        <v>1</v>
      </c>
      <c r="M416">
        <v>89</v>
      </c>
      <c r="N416">
        <v>90</v>
      </c>
    </row>
    <row r="417" spans="1:14" x14ac:dyDescent="0.3">
      <c r="A417">
        <v>416</v>
      </c>
      <c r="B417">
        <v>40562</v>
      </c>
      <c r="C417">
        <v>0.33333333333333326</v>
      </c>
      <c r="D417" t="s">
        <v>8</v>
      </c>
      <c r="E417" t="s">
        <v>9</v>
      </c>
      <c r="F417" t="s">
        <v>15</v>
      </c>
      <c r="G417" t="s">
        <v>19</v>
      </c>
      <c r="H417">
        <v>0.24</v>
      </c>
      <c r="I417">
        <v>0.2576</v>
      </c>
      <c r="J417">
        <v>0.93</v>
      </c>
      <c r="K417">
        <v>0.1045</v>
      </c>
      <c r="L417">
        <v>1</v>
      </c>
      <c r="M417">
        <v>196</v>
      </c>
      <c r="N417">
        <v>197</v>
      </c>
    </row>
    <row r="418" spans="1:14" x14ac:dyDescent="0.3">
      <c r="A418">
        <v>417</v>
      </c>
      <c r="B418">
        <v>40562</v>
      </c>
      <c r="C418">
        <v>0.375</v>
      </c>
      <c r="D418" t="s">
        <v>8</v>
      </c>
      <c r="E418" t="s">
        <v>9</v>
      </c>
      <c r="F418" t="s">
        <v>15</v>
      </c>
      <c r="G418" t="s">
        <v>19</v>
      </c>
      <c r="H418">
        <v>0.24</v>
      </c>
      <c r="I418">
        <v>0.2576</v>
      </c>
      <c r="J418">
        <v>0.93</v>
      </c>
      <c r="K418">
        <v>0.1045</v>
      </c>
      <c r="L418">
        <v>2</v>
      </c>
      <c r="M418">
        <v>107</v>
      </c>
      <c r="N418">
        <v>109</v>
      </c>
    </row>
    <row r="419" spans="1:14" x14ac:dyDescent="0.3">
      <c r="A419">
        <v>418</v>
      </c>
      <c r="B419">
        <v>40562</v>
      </c>
      <c r="C419">
        <v>0.41666666666666674</v>
      </c>
      <c r="D419" t="s">
        <v>8</v>
      </c>
      <c r="E419" t="s">
        <v>9</v>
      </c>
      <c r="F419" t="s">
        <v>15</v>
      </c>
      <c r="G419" t="s">
        <v>19</v>
      </c>
      <c r="H419">
        <v>0.26</v>
      </c>
      <c r="I419">
        <v>0.2727</v>
      </c>
      <c r="J419">
        <v>0.93</v>
      </c>
      <c r="K419">
        <v>0.1343</v>
      </c>
      <c r="L419">
        <v>1</v>
      </c>
      <c r="M419">
        <v>46</v>
      </c>
      <c r="N419">
        <v>47</v>
      </c>
    </row>
    <row r="420" spans="1:14" x14ac:dyDescent="0.3">
      <c r="A420">
        <v>419</v>
      </c>
      <c r="B420">
        <v>40562</v>
      </c>
      <c r="C420">
        <v>0.45833333333333326</v>
      </c>
      <c r="D420" t="s">
        <v>8</v>
      </c>
      <c r="E420" t="s">
        <v>9</v>
      </c>
      <c r="F420" t="s">
        <v>15</v>
      </c>
      <c r="G420" t="s">
        <v>19</v>
      </c>
      <c r="H420">
        <v>0.28000000000000003</v>
      </c>
      <c r="I420">
        <v>0.30299999999999999</v>
      </c>
      <c r="J420">
        <v>0.87</v>
      </c>
      <c r="K420">
        <v>8.9599999999999999E-2</v>
      </c>
      <c r="L420">
        <v>5</v>
      </c>
      <c r="M420">
        <v>47</v>
      </c>
      <c r="N420">
        <v>52</v>
      </c>
    </row>
    <row r="421" spans="1:14" x14ac:dyDescent="0.3">
      <c r="A421">
        <v>420</v>
      </c>
      <c r="B421">
        <v>40562</v>
      </c>
      <c r="C421">
        <v>0.5</v>
      </c>
      <c r="D421" t="s">
        <v>8</v>
      </c>
      <c r="E421" t="s">
        <v>9</v>
      </c>
      <c r="F421" t="s">
        <v>15</v>
      </c>
      <c r="G421" t="s">
        <v>19</v>
      </c>
      <c r="H421">
        <v>0.3</v>
      </c>
      <c r="I421">
        <v>0.31819999999999998</v>
      </c>
      <c r="J421">
        <v>0.81</v>
      </c>
      <c r="K421">
        <v>8.9599999999999999E-2</v>
      </c>
      <c r="L421">
        <v>5</v>
      </c>
      <c r="M421">
        <v>65</v>
      </c>
      <c r="N421">
        <v>70</v>
      </c>
    </row>
    <row r="422" spans="1:14" x14ac:dyDescent="0.3">
      <c r="A422">
        <v>421</v>
      </c>
      <c r="B422">
        <v>40562</v>
      </c>
      <c r="C422">
        <v>0.54166666666666674</v>
      </c>
      <c r="D422" t="s">
        <v>8</v>
      </c>
      <c r="E422" t="s">
        <v>9</v>
      </c>
      <c r="F422" t="s">
        <v>15</v>
      </c>
      <c r="G422" t="s">
        <v>18</v>
      </c>
      <c r="H422">
        <v>0.4</v>
      </c>
      <c r="I422">
        <v>0.40910000000000002</v>
      </c>
      <c r="J422">
        <v>0.62</v>
      </c>
      <c r="K422">
        <v>0.28360000000000002</v>
      </c>
      <c r="L422">
        <v>11</v>
      </c>
      <c r="M422">
        <v>67</v>
      </c>
      <c r="N422">
        <v>78</v>
      </c>
    </row>
    <row r="423" spans="1:14" x14ac:dyDescent="0.3">
      <c r="A423">
        <v>422</v>
      </c>
      <c r="B423">
        <v>40562</v>
      </c>
      <c r="C423">
        <v>0.58333333333333326</v>
      </c>
      <c r="D423" t="s">
        <v>8</v>
      </c>
      <c r="E423" t="s">
        <v>9</v>
      </c>
      <c r="F423" t="s">
        <v>15</v>
      </c>
      <c r="G423" t="s">
        <v>18</v>
      </c>
      <c r="H423">
        <v>0.4</v>
      </c>
      <c r="I423">
        <v>0.40910000000000002</v>
      </c>
      <c r="J423">
        <v>0.57999999999999996</v>
      </c>
      <c r="K423">
        <v>0.25369999999999998</v>
      </c>
      <c r="L423">
        <v>7</v>
      </c>
      <c r="M423">
        <v>68</v>
      </c>
      <c r="N423">
        <v>75</v>
      </c>
    </row>
    <row r="424" spans="1:14" x14ac:dyDescent="0.3">
      <c r="A424">
        <v>423</v>
      </c>
      <c r="B424">
        <v>40562</v>
      </c>
      <c r="C424">
        <v>0.625</v>
      </c>
      <c r="D424" t="s">
        <v>8</v>
      </c>
      <c r="E424" t="s">
        <v>9</v>
      </c>
      <c r="F424" t="s">
        <v>15</v>
      </c>
      <c r="G424" t="s">
        <v>18</v>
      </c>
      <c r="H424">
        <v>0.4</v>
      </c>
      <c r="I424">
        <v>0.40910000000000002</v>
      </c>
      <c r="J424">
        <v>0.54</v>
      </c>
      <c r="K424">
        <v>0.28360000000000002</v>
      </c>
      <c r="L424">
        <v>4</v>
      </c>
      <c r="M424">
        <v>78</v>
      </c>
      <c r="N424">
        <v>82</v>
      </c>
    </row>
    <row r="425" spans="1:14" x14ac:dyDescent="0.3">
      <c r="A425">
        <v>424</v>
      </c>
      <c r="B425">
        <v>40562</v>
      </c>
      <c r="C425">
        <v>0.66666666666666674</v>
      </c>
      <c r="D425" t="s">
        <v>8</v>
      </c>
      <c r="E425" t="s">
        <v>9</v>
      </c>
      <c r="F425" t="s">
        <v>15</v>
      </c>
      <c r="G425" t="s">
        <v>18</v>
      </c>
      <c r="H425">
        <v>0.38</v>
      </c>
      <c r="I425">
        <v>0.39389999999999997</v>
      </c>
      <c r="J425">
        <v>0.57999999999999996</v>
      </c>
      <c r="K425">
        <v>0.3881</v>
      </c>
      <c r="L425">
        <v>10</v>
      </c>
      <c r="M425">
        <v>94</v>
      </c>
      <c r="N425">
        <v>104</v>
      </c>
    </row>
    <row r="426" spans="1:14" x14ac:dyDescent="0.3">
      <c r="A426">
        <v>425</v>
      </c>
      <c r="B426">
        <v>40562</v>
      </c>
      <c r="C426">
        <v>0.70833333333333326</v>
      </c>
      <c r="D426" t="s">
        <v>8</v>
      </c>
      <c r="E426" t="s">
        <v>9</v>
      </c>
      <c r="F426" t="s">
        <v>15</v>
      </c>
      <c r="G426" t="s">
        <v>18</v>
      </c>
      <c r="H426">
        <v>0.36</v>
      </c>
      <c r="I426">
        <v>0.33329999999999999</v>
      </c>
      <c r="J426">
        <v>0.56999999999999995</v>
      </c>
      <c r="K426">
        <v>0.32840000000000003</v>
      </c>
      <c r="L426">
        <v>7</v>
      </c>
      <c r="M426">
        <v>190</v>
      </c>
      <c r="N426">
        <v>197</v>
      </c>
    </row>
    <row r="427" spans="1:14" x14ac:dyDescent="0.3">
      <c r="A427">
        <v>426</v>
      </c>
      <c r="B427">
        <v>40562</v>
      </c>
      <c r="C427">
        <v>0.75</v>
      </c>
      <c r="D427" t="s">
        <v>8</v>
      </c>
      <c r="E427" t="s">
        <v>9</v>
      </c>
      <c r="F427" t="s">
        <v>15</v>
      </c>
      <c r="G427" t="s">
        <v>18</v>
      </c>
      <c r="H427">
        <v>0.34</v>
      </c>
      <c r="I427">
        <v>0.31819999999999998</v>
      </c>
      <c r="J427">
        <v>0.61</v>
      </c>
      <c r="K427">
        <v>0.28360000000000002</v>
      </c>
      <c r="L427">
        <v>5</v>
      </c>
      <c r="M427">
        <v>156</v>
      </c>
      <c r="N427">
        <v>161</v>
      </c>
    </row>
    <row r="428" spans="1:14" x14ac:dyDescent="0.3">
      <c r="A428">
        <v>427</v>
      </c>
      <c r="B428">
        <v>40562</v>
      </c>
      <c r="C428">
        <v>0.79166666666666674</v>
      </c>
      <c r="D428" t="s">
        <v>8</v>
      </c>
      <c r="E428" t="s">
        <v>9</v>
      </c>
      <c r="F428" t="s">
        <v>15</v>
      </c>
      <c r="G428" t="s">
        <v>18</v>
      </c>
      <c r="H428">
        <v>0.32</v>
      </c>
      <c r="I428">
        <v>0.28789999999999999</v>
      </c>
      <c r="J428">
        <v>0.56999999999999995</v>
      </c>
      <c r="K428">
        <v>0.41789999999999999</v>
      </c>
      <c r="L428">
        <v>4</v>
      </c>
      <c r="M428">
        <v>108</v>
      </c>
      <c r="N428">
        <v>112</v>
      </c>
    </row>
    <row r="429" spans="1:14" x14ac:dyDescent="0.3">
      <c r="A429">
        <v>428</v>
      </c>
      <c r="B429">
        <v>40562</v>
      </c>
      <c r="C429">
        <v>0.83333333333333326</v>
      </c>
      <c r="D429" t="s">
        <v>8</v>
      </c>
      <c r="E429" t="s">
        <v>9</v>
      </c>
      <c r="F429" t="s">
        <v>15</v>
      </c>
      <c r="G429" t="s">
        <v>18</v>
      </c>
      <c r="H429">
        <v>0.32</v>
      </c>
      <c r="I429">
        <v>0.30299999999999999</v>
      </c>
      <c r="J429">
        <v>0.49</v>
      </c>
      <c r="K429">
        <v>0.29849999999999999</v>
      </c>
      <c r="L429">
        <v>2</v>
      </c>
      <c r="M429">
        <v>74</v>
      </c>
      <c r="N429">
        <v>76</v>
      </c>
    </row>
    <row r="430" spans="1:14" x14ac:dyDescent="0.3">
      <c r="A430">
        <v>429</v>
      </c>
      <c r="B430">
        <v>40562</v>
      </c>
      <c r="C430">
        <v>0.875</v>
      </c>
      <c r="D430" t="s">
        <v>8</v>
      </c>
      <c r="E430" t="s">
        <v>9</v>
      </c>
      <c r="F430" t="s">
        <v>15</v>
      </c>
      <c r="G430" t="s">
        <v>18</v>
      </c>
      <c r="H430">
        <v>0.32</v>
      </c>
      <c r="I430">
        <v>0.28789999999999999</v>
      </c>
      <c r="J430">
        <v>0.49</v>
      </c>
      <c r="K430">
        <v>0.41789999999999999</v>
      </c>
      <c r="L430">
        <v>4</v>
      </c>
      <c r="M430">
        <v>55</v>
      </c>
      <c r="N430">
        <v>59</v>
      </c>
    </row>
    <row r="431" spans="1:14" x14ac:dyDescent="0.3">
      <c r="A431">
        <v>430</v>
      </c>
      <c r="B431">
        <v>40562</v>
      </c>
      <c r="C431">
        <v>0.91666666666666674</v>
      </c>
      <c r="D431" t="s">
        <v>8</v>
      </c>
      <c r="E431" t="s">
        <v>9</v>
      </c>
      <c r="F431" t="s">
        <v>15</v>
      </c>
      <c r="G431" t="s">
        <v>18</v>
      </c>
      <c r="H431">
        <v>0.3</v>
      </c>
      <c r="I431">
        <v>0.30299999999999999</v>
      </c>
      <c r="J431">
        <v>0.52</v>
      </c>
      <c r="K431">
        <v>0.16420000000000001</v>
      </c>
      <c r="L431">
        <v>6</v>
      </c>
      <c r="M431">
        <v>53</v>
      </c>
      <c r="N431">
        <v>59</v>
      </c>
    </row>
    <row r="432" spans="1:14" x14ac:dyDescent="0.3">
      <c r="A432">
        <v>431</v>
      </c>
      <c r="B432">
        <v>40562</v>
      </c>
      <c r="C432">
        <v>0.95833333333333326</v>
      </c>
      <c r="D432" t="s">
        <v>8</v>
      </c>
      <c r="E432" t="s">
        <v>9</v>
      </c>
      <c r="F432" t="s">
        <v>15</v>
      </c>
      <c r="G432" t="s">
        <v>18</v>
      </c>
      <c r="H432">
        <v>0.3</v>
      </c>
      <c r="I432">
        <v>0.2727</v>
      </c>
      <c r="J432">
        <v>0.52</v>
      </c>
      <c r="K432">
        <v>0.4627</v>
      </c>
      <c r="L432">
        <v>1</v>
      </c>
      <c r="M432">
        <v>27</v>
      </c>
      <c r="N432">
        <v>28</v>
      </c>
    </row>
    <row r="433" spans="1:14" x14ac:dyDescent="0.3">
      <c r="A433">
        <v>432</v>
      </c>
      <c r="B433">
        <v>40563</v>
      </c>
      <c r="C433">
        <v>0</v>
      </c>
      <c r="D433" t="s">
        <v>8</v>
      </c>
      <c r="E433" t="s">
        <v>9</v>
      </c>
      <c r="F433" t="s">
        <v>16</v>
      </c>
      <c r="G433" t="s">
        <v>18</v>
      </c>
      <c r="H433">
        <v>0.26</v>
      </c>
      <c r="I433">
        <v>0.2273</v>
      </c>
      <c r="J433">
        <v>0.56000000000000005</v>
      </c>
      <c r="K433">
        <v>0.3881</v>
      </c>
      <c r="L433">
        <v>5</v>
      </c>
      <c r="M433">
        <v>8</v>
      </c>
      <c r="N433">
        <v>13</v>
      </c>
    </row>
    <row r="434" spans="1:14" x14ac:dyDescent="0.3">
      <c r="A434">
        <v>433</v>
      </c>
      <c r="B434">
        <v>40563</v>
      </c>
      <c r="C434">
        <v>4.1666666666666741E-2</v>
      </c>
      <c r="D434" t="s">
        <v>8</v>
      </c>
      <c r="E434" t="s">
        <v>9</v>
      </c>
      <c r="F434" t="s">
        <v>16</v>
      </c>
      <c r="G434" t="s">
        <v>18</v>
      </c>
      <c r="H434">
        <v>0.26</v>
      </c>
      <c r="I434">
        <v>0.2727</v>
      </c>
      <c r="J434">
        <v>0.56000000000000005</v>
      </c>
      <c r="K434">
        <v>0</v>
      </c>
      <c r="L434">
        <v>2</v>
      </c>
      <c r="M434">
        <v>3</v>
      </c>
      <c r="N434">
        <v>5</v>
      </c>
    </row>
    <row r="435" spans="1:14" x14ac:dyDescent="0.3">
      <c r="A435">
        <v>434</v>
      </c>
      <c r="B435">
        <v>40563</v>
      </c>
      <c r="C435">
        <v>8.3333333333333259E-2</v>
      </c>
      <c r="D435" t="s">
        <v>8</v>
      </c>
      <c r="E435" t="s">
        <v>9</v>
      </c>
      <c r="F435" t="s">
        <v>16</v>
      </c>
      <c r="G435" t="s">
        <v>18</v>
      </c>
      <c r="H435">
        <v>0.26</v>
      </c>
      <c r="I435">
        <v>0.2727</v>
      </c>
      <c r="J435">
        <v>0.56000000000000005</v>
      </c>
      <c r="K435">
        <v>0</v>
      </c>
      <c r="L435">
        <v>0</v>
      </c>
      <c r="M435">
        <v>2</v>
      </c>
      <c r="N435">
        <v>2</v>
      </c>
    </row>
    <row r="436" spans="1:14" x14ac:dyDescent="0.3">
      <c r="A436">
        <v>435</v>
      </c>
      <c r="B436">
        <v>40563</v>
      </c>
      <c r="C436">
        <v>0.125</v>
      </c>
      <c r="D436" t="s">
        <v>8</v>
      </c>
      <c r="E436" t="s">
        <v>9</v>
      </c>
      <c r="F436" t="s">
        <v>16</v>
      </c>
      <c r="G436" t="s">
        <v>18</v>
      </c>
      <c r="H436">
        <v>0.26</v>
      </c>
      <c r="I436">
        <v>0.2576</v>
      </c>
      <c r="J436">
        <v>0.56000000000000005</v>
      </c>
      <c r="K436">
        <v>0.16420000000000001</v>
      </c>
      <c r="L436">
        <v>0</v>
      </c>
      <c r="M436">
        <v>1</v>
      </c>
      <c r="N436">
        <v>1</v>
      </c>
    </row>
    <row r="437" spans="1:14" x14ac:dyDescent="0.3">
      <c r="A437">
        <v>436</v>
      </c>
      <c r="B437">
        <v>40563</v>
      </c>
      <c r="C437">
        <v>0.16666666666666674</v>
      </c>
      <c r="D437" t="s">
        <v>8</v>
      </c>
      <c r="E437" t="s">
        <v>9</v>
      </c>
      <c r="F437" t="s">
        <v>16</v>
      </c>
      <c r="G437" t="s">
        <v>18</v>
      </c>
      <c r="H437">
        <v>0.26</v>
      </c>
      <c r="I437">
        <v>0.2576</v>
      </c>
      <c r="J437">
        <v>0.56000000000000005</v>
      </c>
      <c r="K437">
        <v>0.16420000000000001</v>
      </c>
      <c r="L437">
        <v>0</v>
      </c>
      <c r="M437">
        <v>1</v>
      </c>
      <c r="N437">
        <v>1</v>
      </c>
    </row>
    <row r="438" spans="1:14" x14ac:dyDescent="0.3">
      <c r="A438">
        <v>437</v>
      </c>
      <c r="B438">
        <v>40563</v>
      </c>
      <c r="C438">
        <v>0.20833333333333326</v>
      </c>
      <c r="D438" t="s">
        <v>8</v>
      </c>
      <c r="E438" t="s">
        <v>9</v>
      </c>
      <c r="F438" t="s">
        <v>16</v>
      </c>
      <c r="G438" t="s">
        <v>18</v>
      </c>
      <c r="H438">
        <v>0.24</v>
      </c>
      <c r="I438">
        <v>0.2273</v>
      </c>
      <c r="J438">
        <v>0.6</v>
      </c>
      <c r="K438">
        <v>0.22389999999999999</v>
      </c>
      <c r="L438">
        <v>0</v>
      </c>
      <c r="M438">
        <v>6</v>
      </c>
      <c r="N438">
        <v>6</v>
      </c>
    </row>
    <row r="439" spans="1:14" x14ac:dyDescent="0.3">
      <c r="A439">
        <v>438</v>
      </c>
      <c r="B439">
        <v>40563</v>
      </c>
      <c r="C439">
        <v>0.25</v>
      </c>
      <c r="D439" t="s">
        <v>8</v>
      </c>
      <c r="E439" t="s">
        <v>9</v>
      </c>
      <c r="F439" t="s">
        <v>16</v>
      </c>
      <c r="G439" t="s">
        <v>18</v>
      </c>
      <c r="H439">
        <v>0.22</v>
      </c>
      <c r="I439">
        <v>0.21210000000000001</v>
      </c>
      <c r="J439">
        <v>0.6</v>
      </c>
      <c r="K439">
        <v>0.22389999999999999</v>
      </c>
      <c r="L439">
        <v>0</v>
      </c>
      <c r="M439">
        <v>35</v>
      </c>
      <c r="N439">
        <v>35</v>
      </c>
    </row>
    <row r="440" spans="1:14" x14ac:dyDescent="0.3">
      <c r="A440">
        <v>439</v>
      </c>
      <c r="B440">
        <v>40563</v>
      </c>
      <c r="C440">
        <v>0.29166666666666674</v>
      </c>
      <c r="D440" t="s">
        <v>8</v>
      </c>
      <c r="E440" t="s">
        <v>9</v>
      </c>
      <c r="F440" t="s">
        <v>16</v>
      </c>
      <c r="G440" t="s">
        <v>18</v>
      </c>
      <c r="H440">
        <v>0.22</v>
      </c>
      <c r="I440">
        <v>0.21210000000000001</v>
      </c>
      <c r="J440">
        <v>0.55000000000000004</v>
      </c>
      <c r="K440">
        <v>0.22389999999999999</v>
      </c>
      <c r="L440">
        <v>1</v>
      </c>
      <c r="M440">
        <v>100</v>
      </c>
      <c r="N440">
        <v>101</v>
      </c>
    </row>
    <row r="441" spans="1:14" x14ac:dyDescent="0.3">
      <c r="A441">
        <v>440</v>
      </c>
      <c r="B441">
        <v>40563</v>
      </c>
      <c r="C441">
        <v>0.33333333333333326</v>
      </c>
      <c r="D441" t="s">
        <v>8</v>
      </c>
      <c r="E441" t="s">
        <v>9</v>
      </c>
      <c r="F441" t="s">
        <v>16</v>
      </c>
      <c r="G441" t="s">
        <v>18</v>
      </c>
      <c r="H441">
        <v>0.22</v>
      </c>
      <c r="I441">
        <v>0.21210000000000001</v>
      </c>
      <c r="J441">
        <v>0.55000000000000004</v>
      </c>
      <c r="K441">
        <v>0.28360000000000002</v>
      </c>
      <c r="L441">
        <v>2</v>
      </c>
      <c r="M441">
        <v>247</v>
      </c>
      <c r="N441">
        <v>249</v>
      </c>
    </row>
    <row r="442" spans="1:14" x14ac:dyDescent="0.3">
      <c r="A442">
        <v>441</v>
      </c>
      <c r="B442">
        <v>40563</v>
      </c>
      <c r="C442">
        <v>0.375</v>
      </c>
      <c r="D442" t="s">
        <v>8</v>
      </c>
      <c r="E442" t="s">
        <v>9</v>
      </c>
      <c r="F442" t="s">
        <v>16</v>
      </c>
      <c r="G442" t="s">
        <v>19</v>
      </c>
      <c r="H442">
        <v>0.24</v>
      </c>
      <c r="I442">
        <v>0.2273</v>
      </c>
      <c r="J442">
        <v>0.52</v>
      </c>
      <c r="K442">
        <v>0.22389999999999999</v>
      </c>
      <c r="L442">
        <v>3</v>
      </c>
      <c r="M442">
        <v>140</v>
      </c>
      <c r="N442">
        <v>143</v>
      </c>
    </row>
    <row r="443" spans="1:14" x14ac:dyDescent="0.3">
      <c r="A443">
        <v>442</v>
      </c>
      <c r="B443">
        <v>40563</v>
      </c>
      <c r="C443">
        <v>0.41666666666666674</v>
      </c>
      <c r="D443" t="s">
        <v>8</v>
      </c>
      <c r="E443" t="s">
        <v>9</v>
      </c>
      <c r="F443" t="s">
        <v>16</v>
      </c>
      <c r="G443" t="s">
        <v>18</v>
      </c>
      <c r="H443">
        <v>0.26</v>
      </c>
      <c r="I443">
        <v>0.2273</v>
      </c>
      <c r="J443">
        <v>0.48</v>
      </c>
      <c r="K443">
        <v>0.29849999999999999</v>
      </c>
      <c r="L443">
        <v>1</v>
      </c>
      <c r="M443">
        <v>56</v>
      </c>
      <c r="N443">
        <v>57</v>
      </c>
    </row>
    <row r="444" spans="1:14" x14ac:dyDescent="0.3">
      <c r="A444">
        <v>443</v>
      </c>
      <c r="B444">
        <v>40563</v>
      </c>
      <c r="C444">
        <v>0.45833333333333326</v>
      </c>
      <c r="D444" t="s">
        <v>8</v>
      </c>
      <c r="E444" t="s">
        <v>9</v>
      </c>
      <c r="F444" t="s">
        <v>16</v>
      </c>
      <c r="G444" t="s">
        <v>19</v>
      </c>
      <c r="H444">
        <v>0.28000000000000003</v>
      </c>
      <c r="I444">
        <v>0.2727</v>
      </c>
      <c r="J444">
        <v>0.45</v>
      </c>
      <c r="K444">
        <v>0.16420000000000001</v>
      </c>
      <c r="L444">
        <v>5</v>
      </c>
      <c r="M444">
        <v>63</v>
      </c>
      <c r="N444">
        <v>68</v>
      </c>
    </row>
    <row r="445" spans="1:14" x14ac:dyDescent="0.3">
      <c r="A445">
        <v>444</v>
      </c>
      <c r="B445">
        <v>40563</v>
      </c>
      <c r="C445">
        <v>0.5</v>
      </c>
      <c r="D445" t="s">
        <v>8</v>
      </c>
      <c r="E445" t="s">
        <v>9</v>
      </c>
      <c r="F445" t="s">
        <v>16</v>
      </c>
      <c r="G445" t="s">
        <v>19</v>
      </c>
      <c r="H445">
        <v>0.3</v>
      </c>
      <c r="I445">
        <v>0.33329999999999999</v>
      </c>
      <c r="J445">
        <v>0.42</v>
      </c>
      <c r="K445">
        <v>0</v>
      </c>
      <c r="L445">
        <v>7</v>
      </c>
      <c r="M445">
        <v>77</v>
      </c>
      <c r="N445">
        <v>84</v>
      </c>
    </row>
    <row r="446" spans="1:14" x14ac:dyDescent="0.3">
      <c r="A446">
        <v>445</v>
      </c>
      <c r="B446">
        <v>40563</v>
      </c>
      <c r="C446">
        <v>0.54166666666666674</v>
      </c>
      <c r="D446" t="s">
        <v>8</v>
      </c>
      <c r="E446" t="s">
        <v>9</v>
      </c>
      <c r="F446" t="s">
        <v>16</v>
      </c>
      <c r="G446" t="s">
        <v>19</v>
      </c>
      <c r="H446">
        <v>0.28000000000000003</v>
      </c>
      <c r="I446">
        <v>0.28789999999999999</v>
      </c>
      <c r="J446">
        <v>0.45</v>
      </c>
      <c r="K446">
        <v>0.1045</v>
      </c>
      <c r="L446">
        <v>12</v>
      </c>
      <c r="M446">
        <v>86</v>
      </c>
      <c r="N446">
        <v>98</v>
      </c>
    </row>
    <row r="447" spans="1:14" x14ac:dyDescent="0.3">
      <c r="A447">
        <v>446</v>
      </c>
      <c r="B447">
        <v>40563</v>
      </c>
      <c r="C447">
        <v>0.58333333333333326</v>
      </c>
      <c r="D447" t="s">
        <v>8</v>
      </c>
      <c r="E447" t="s">
        <v>9</v>
      </c>
      <c r="F447" t="s">
        <v>16</v>
      </c>
      <c r="G447" t="s">
        <v>19</v>
      </c>
      <c r="H447">
        <v>0.3</v>
      </c>
      <c r="I447">
        <v>0.30299999999999999</v>
      </c>
      <c r="J447">
        <v>0.45</v>
      </c>
      <c r="K447">
        <v>0.1343</v>
      </c>
      <c r="L447">
        <v>6</v>
      </c>
      <c r="M447">
        <v>75</v>
      </c>
      <c r="N447">
        <v>81</v>
      </c>
    </row>
    <row r="448" spans="1:14" x14ac:dyDescent="0.3">
      <c r="A448">
        <v>447</v>
      </c>
      <c r="B448">
        <v>40563</v>
      </c>
      <c r="C448">
        <v>0.625</v>
      </c>
      <c r="D448" t="s">
        <v>8</v>
      </c>
      <c r="E448" t="s">
        <v>9</v>
      </c>
      <c r="F448" t="s">
        <v>16</v>
      </c>
      <c r="G448" t="s">
        <v>19</v>
      </c>
      <c r="H448">
        <v>0.32</v>
      </c>
      <c r="I448">
        <v>0.31819999999999998</v>
      </c>
      <c r="J448">
        <v>0.45</v>
      </c>
      <c r="K448">
        <v>0.19400000000000001</v>
      </c>
      <c r="L448">
        <v>8</v>
      </c>
      <c r="M448">
        <v>62</v>
      </c>
      <c r="N448">
        <v>70</v>
      </c>
    </row>
    <row r="449" spans="1:14" x14ac:dyDescent="0.3">
      <c r="A449">
        <v>448</v>
      </c>
      <c r="B449">
        <v>40563</v>
      </c>
      <c r="C449">
        <v>0.66666666666666674</v>
      </c>
      <c r="D449" t="s">
        <v>8</v>
      </c>
      <c r="E449" t="s">
        <v>9</v>
      </c>
      <c r="F449" t="s">
        <v>16</v>
      </c>
      <c r="G449" t="s">
        <v>19</v>
      </c>
      <c r="H449">
        <v>0.3</v>
      </c>
      <c r="I449">
        <v>0.30299999999999999</v>
      </c>
      <c r="J449">
        <v>0.49</v>
      </c>
      <c r="K449">
        <v>0.1343</v>
      </c>
      <c r="L449">
        <v>8</v>
      </c>
      <c r="M449">
        <v>83</v>
      </c>
      <c r="N449">
        <v>91</v>
      </c>
    </row>
    <row r="450" spans="1:14" x14ac:dyDescent="0.3">
      <c r="A450">
        <v>449</v>
      </c>
      <c r="B450">
        <v>40563</v>
      </c>
      <c r="C450">
        <v>0.70833333333333326</v>
      </c>
      <c r="D450" t="s">
        <v>8</v>
      </c>
      <c r="E450" t="s">
        <v>9</v>
      </c>
      <c r="F450" t="s">
        <v>16</v>
      </c>
      <c r="G450" t="s">
        <v>19</v>
      </c>
      <c r="H450">
        <v>0.3</v>
      </c>
      <c r="I450">
        <v>0.31819999999999998</v>
      </c>
      <c r="J450">
        <v>0.49</v>
      </c>
      <c r="K450">
        <v>0.1045</v>
      </c>
      <c r="L450">
        <v>8</v>
      </c>
      <c r="M450">
        <v>207</v>
      </c>
      <c r="N450">
        <v>215</v>
      </c>
    </row>
    <row r="451" spans="1:14" x14ac:dyDescent="0.3">
      <c r="A451">
        <v>450</v>
      </c>
      <c r="B451">
        <v>40563</v>
      </c>
      <c r="C451">
        <v>0.75</v>
      </c>
      <c r="D451" t="s">
        <v>8</v>
      </c>
      <c r="E451" t="s">
        <v>9</v>
      </c>
      <c r="F451" t="s">
        <v>16</v>
      </c>
      <c r="G451" t="s">
        <v>19</v>
      </c>
      <c r="H451">
        <v>0.26</v>
      </c>
      <c r="I451">
        <v>0.2576</v>
      </c>
      <c r="J451">
        <v>0.56000000000000005</v>
      </c>
      <c r="K451">
        <v>0.19400000000000001</v>
      </c>
      <c r="L451">
        <v>1</v>
      </c>
      <c r="M451">
        <v>184</v>
      </c>
      <c r="N451">
        <v>185</v>
      </c>
    </row>
    <row r="452" spans="1:14" x14ac:dyDescent="0.3">
      <c r="A452">
        <v>451</v>
      </c>
      <c r="B452">
        <v>40563</v>
      </c>
      <c r="C452">
        <v>0.79166666666666674</v>
      </c>
      <c r="D452" t="s">
        <v>8</v>
      </c>
      <c r="E452" t="s">
        <v>9</v>
      </c>
      <c r="F452" t="s">
        <v>16</v>
      </c>
      <c r="G452" t="s">
        <v>18</v>
      </c>
      <c r="H452">
        <v>0.26</v>
      </c>
      <c r="I452">
        <v>0.2273</v>
      </c>
      <c r="J452">
        <v>0.56000000000000005</v>
      </c>
      <c r="K452">
        <v>0.32840000000000003</v>
      </c>
      <c r="L452">
        <v>6</v>
      </c>
      <c r="M452">
        <v>146</v>
      </c>
      <c r="N452">
        <v>152</v>
      </c>
    </row>
    <row r="453" spans="1:14" x14ac:dyDescent="0.3">
      <c r="A453">
        <v>452</v>
      </c>
      <c r="B453">
        <v>40563</v>
      </c>
      <c r="C453">
        <v>0.83333333333333326</v>
      </c>
      <c r="D453" t="s">
        <v>8</v>
      </c>
      <c r="E453" t="s">
        <v>9</v>
      </c>
      <c r="F453" t="s">
        <v>16</v>
      </c>
      <c r="G453" t="s">
        <v>19</v>
      </c>
      <c r="H453">
        <v>0.26</v>
      </c>
      <c r="I453">
        <v>0.2424</v>
      </c>
      <c r="J453">
        <v>0.6</v>
      </c>
      <c r="K453">
        <v>0.28360000000000002</v>
      </c>
      <c r="L453">
        <v>2</v>
      </c>
      <c r="M453">
        <v>124</v>
      </c>
      <c r="N453">
        <v>126</v>
      </c>
    </row>
    <row r="454" spans="1:14" x14ac:dyDescent="0.3">
      <c r="A454">
        <v>453</v>
      </c>
      <c r="B454">
        <v>40563</v>
      </c>
      <c r="C454">
        <v>0.875</v>
      </c>
      <c r="D454" t="s">
        <v>8</v>
      </c>
      <c r="E454" t="s">
        <v>9</v>
      </c>
      <c r="F454" t="s">
        <v>16</v>
      </c>
      <c r="G454" t="s">
        <v>19</v>
      </c>
      <c r="H454">
        <v>0.24</v>
      </c>
      <c r="I454">
        <v>0.2273</v>
      </c>
      <c r="J454">
        <v>0.6</v>
      </c>
      <c r="K454">
        <v>0.25369999999999998</v>
      </c>
      <c r="L454">
        <v>3</v>
      </c>
      <c r="M454">
        <v>54</v>
      </c>
      <c r="N454">
        <v>57</v>
      </c>
    </row>
    <row r="455" spans="1:14" x14ac:dyDescent="0.3">
      <c r="A455">
        <v>454</v>
      </c>
      <c r="B455">
        <v>40563</v>
      </c>
      <c r="C455">
        <v>0.91666666666666674</v>
      </c>
      <c r="D455" t="s">
        <v>8</v>
      </c>
      <c r="E455" t="s">
        <v>9</v>
      </c>
      <c r="F455" t="s">
        <v>16</v>
      </c>
      <c r="G455" t="s">
        <v>19</v>
      </c>
      <c r="H455">
        <v>0.24</v>
      </c>
      <c r="I455">
        <v>0.21210000000000001</v>
      </c>
      <c r="J455">
        <v>0.65</v>
      </c>
      <c r="K455">
        <v>0.28360000000000002</v>
      </c>
      <c r="L455">
        <v>0</v>
      </c>
      <c r="M455">
        <v>56</v>
      </c>
      <c r="N455">
        <v>56</v>
      </c>
    </row>
    <row r="456" spans="1:14" x14ac:dyDescent="0.3">
      <c r="A456">
        <v>455</v>
      </c>
      <c r="B456">
        <v>40563</v>
      </c>
      <c r="C456">
        <v>0.95833333333333326</v>
      </c>
      <c r="D456" t="s">
        <v>8</v>
      </c>
      <c r="E456" t="s">
        <v>9</v>
      </c>
      <c r="F456" t="s">
        <v>16</v>
      </c>
      <c r="G456" t="s">
        <v>19</v>
      </c>
      <c r="H456">
        <v>0.24</v>
      </c>
      <c r="I456">
        <v>0.21210000000000001</v>
      </c>
      <c r="J456">
        <v>0.65</v>
      </c>
      <c r="K456">
        <v>0.32840000000000003</v>
      </c>
      <c r="L456">
        <v>3</v>
      </c>
      <c r="M456">
        <v>28</v>
      </c>
      <c r="N456">
        <v>31</v>
      </c>
    </row>
    <row r="457" spans="1:14" x14ac:dyDescent="0.3">
      <c r="A457">
        <v>456</v>
      </c>
      <c r="B457">
        <v>40564</v>
      </c>
      <c r="C457">
        <v>0</v>
      </c>
      <c r="D457" t="s">
        <v>8</v>
      </c>
      <c r="E457" t="s">
        <v>9</v>
      </c>
      <c r="F457" t="s">
        <v>17</v>
      </c>
      <c r="G457" t="s">
        <v>19</v>
      </c>
      <c r="H457">
        <v>0.24</v>
      </c>
      <c r="I457">
        <v>0.2273</v>
      </c>
      <c r="J457">
        <v>0.7</v>
      </c>
      <c r="K457">
        <v>0.25369999999999998</v>
      </c>
      <c r="L457">
        <v>1</v>
      </c>
      <c r="M457">
        <v>20</v>
      </c>
      <c r="N457">
        <v>21</v>
      </c>
    </row>
    <row r="458" spans="1:14" x14ac:dyDescent="0.3">
      <c r="A458">
        <v>457</v>
      </c>
      <c r="B458">
        <v>40564</v>
      </c>
      <c r="C458">
        <v>4.1666666666666741E-2</v>
      </c>
      <c r="D458" t="s">
        <v>8</v>
      </c>
      <c r="E458" t="s">
        <v>9</v>
      </c>
      <c r="F458" t="s">
        <v>17</v>
      </c>
      <c r="G458" t="s">
        <v>19</v>
      </c>
      <c r="H458">
        <v>0.24</v>
      </c>
      <c r="I458">
        <v>0.2273</v>
      </c>
      <c r="J458">
        <v>0.7</v>
      </c>
      <c r="K458">
        <v>0.25369999999999998</v>
      </c>
      <c r="L458">
        <v>0</v>
      </c>
      <c r="M458">
        <v>6</v>
      </c>
      <c r="N458">
        <v>6</v>
      </c>
    </row>
    <row r="459" spans="1:14" x14ac:dyDescent="0.3">
      <c r="A459">
        <v>458</v>
      </c>
      <c r="B459">
        <v>40564</v>
      </c>
      <c r="C459">
        <v>8.3333333333333259E-2</v>
      </c>
      <c r="D459" t="s">
        <v>8</v>
      </c>
      <c r="E459" t="s">
        <v>9</v>
      </c>
      <c r="F459" t="s">
        <v>17</v>
      </c>
      <c r="G459" t="s">
        <v>20</v>
      </c>
      <c r="H459">
        <v>0.24</v>
      </c>
      <c r="I459">
        <v>0.2424</v>
      </c>
      <c r="J459">
        <v>0.75</v>
      </c>
      <c r="K459">
        <v>0.16420000000000001</v>
      </c>
      <c r="L459">
        <v>0</v>
      </c>
      <c r="M459">
        <v>2</v>
      </c>
      <c r="N459">
        <v>2</v>
      </c>
    </row>
    <row r="460" spans="1:14" x14ac:dyDescent="0.3">
      <c r="A460">
        <v>459</v>
      </c>
      <c r="B460">
        <v>40564</v>
      </c>
      <c r="C460">
        <v>0.125</v>
      </c>
      <c r="D460" t="s">
        <v>8</v>
      </c>
      <c r="E460" t="s">
        <v>9</v>
      </c>
      <c r="F460" t="s">
        <v>17</v>
      </c>
      <c r="G460" t="s">
        <v>20</v>
      </c>
      <c r="H460">
        <v>0.22</v>
      </c>
      <c r="I460">
        <v>0.21210000000000001</v>
      </c>
      <c r="J460">
        <v>0.8</v>
      </c>
      <c r="K460">
        <v>0.29849999999999999</v>
      </c>
      <c r="L460">
        <v>0</v>
      </c>
      <c r="M460">
        <v>1</v>
      </c>
      <c r="N460">
        <v>1</v>
      </c>
    </row>
    <row r="461" spans="1:14" x14ac:dyDescent="0.3">
      <c r="A461">
        <v>460</v>
      </c>
      <c r="B461">
        <v>40564</v>
      </c>
      <c r="C461">
        <v>0.16666666666666674</v>
      </c>
      <c r="D461" t="s">
        <v>8</v>
      </c>
      <c r="E461" t="s">
        <v>9</v>
      </c>
      <c r="F461" t="s">
        <v>17</v>
      </c>
      <c r="G461" t="s">
        <v>19</v>
      </c>
      <c r="H461">
        <v>0.22</v>
      </c>
      <c r="I461">
        <v>0.2576</v>
      </c>
      <c r="J461">
        <v>0.87</v>
      </c>
      <c r="K461">
        <v>8.9599999999999999E-2</v>
      </c>
      <c r="L461">
        <v>0</v>
      </c>
      <c r="M461">
        <v>1</v>
      </c>
      <c r="N461">
        <v>1</v>
      </c>
    </row>
    <row r="462" spans="1:14" x14ac:dyDescent="0.3">
      <c r="A462">
        <v>461</v>
      </c>
      <c r="B462">
        <v>40564</v>
      </c>
      <c r="C462">
        <v>0.20833333333333326</v>
      </c>
      <c r="D462" t="s">
        <v>8</v>
      </c>
      <c r="E462" t="s">
        <v>9</v>
      </c>
      <c r="F462" t="s">
        <v>17</v>
      </c>
      <c r="G462" t="s">
        <v>18</v>
      </c>
      <c r="H462">
        <v>0.24</v>
      </c>
      <c r="I462">
        <v>0.19700000000000001</v>
      </c>
      <c r="J462">
        <v>0.6</v>
      </c>
      <c r="K462">
        <v>0.41789999999999999</v>
      </c>
      <c r="L462">
        <v>1</v>
      </c>
      <c r="M462">
        <v>4</v>
      </c>
      <c r="N462">
        <v>5</v>
      </c>
    </row>
    <row r="463" spans="1:14" x14ac:dyDescent="0.3">
      <c r="A463">
        <v>462</v>
      </c>
      <c r="B463">
        <v>40564</v>
      </c>
      <c r="C463">
        <v>0.25</v>
      </c>
      <c r="D463" t="s">
        <v>8</v>
      </c>
      <c r="E463" t="s">
        <v>9</v>
      </c>
      <c r="F463" t="s">
        <v>17</v>
      </c>
      <c r="G463" t="s">
        <v>18</v>
      </c>
      <c r="H463">
        <v>0.22</v>
      </c>
      <c r="I463">
        <v>0.21210000000000001</v>
      </c>
      <c r="J463">
        <v>0.55000000000000004</v>
      </c>
      <c r="K463">
        <v>0.25369999999999998</v>
      </c>
      <c r="L463">
        <v>0</v>
      </c>
      <c r="M463">
        <v>27</v>
      </c>
      <c r="N463">
        <v>27</v>
      </c>
    </row>
    <row r="464" spans="1:14" x14ac:dyDescent="0.3">
      <c r="A464">
        <v>463</v>
      </c>
      <c r="B464">
        <v>40564</v>
      </c>
      <c r="C464">
        <v>0.29166666666666674</v>
      </c>
      <c r="D464" t="s">
        <v>8</v>
      </c>
      <c r="E464" t="s">
        <v>9</v>
      </c>
      <c r="F464" t="s">
        <v>17</v>
      </c>
      <c r="G464" t="s">
        <v>18</v>
      </c>
      <c r="H464">
        <v>0.2</v>
      </c>
      <c r="I464">
        <v>0.18179999999999999</v>
      </c>
      <c r="J464">
        <v>0.51</v>
      </c>
      <c r="K464">
        <v>0.28360000000000002</v>
      </c>
      <c r="L464">
        <v>2</v>
      </c>
      <c r="M464">
        <v>66</v>
      </c>
      <c r="N464">
        <v>68</v>
      </c>
    </row>
    <row r="465" spans="1:14" x14ac:dyDescent="0.3">
      <c r="A465">
        <v>464</v>
      </c>
      <c r="B465">
        <v>40564</v>
      </c>
      <c r="C465">
        <v>0.33333333333333326</v>
      </c>
      <c r="D465" t="s">
        <v>8</v>
      </c>
      <c r="E465" t="s">
        <v>9</v>
      </c>
      <c r="F465" t="s">
        <v>17</v>
      </c>
      <c r="G465" t="s">
        <v>18</v>
      </c>
      <c r="H465">
        <v>0.2</v>
      </c>
      <c r="I465">
        <v>0.18179999999999999</v>
      </c>
      <c r="J465">
        <v>0.47</v>
      </c>
      <c r="K465">
        <v>0.32840000000000003</v>
      </c>
      <c r="L465">
        <v>7</v>
      </c>
      <c r="M465">
        <v>210</v>
      </c>
      <c r="N465">
        <v>217</v>
      </c>
    </row>
    <row r="466" spans="1:14" x14ac:dyDescent="0.3">
      <c r="A466">
        <v>465</v>
      </c>
      <c r="B466">
        <v>40564</v>
      </c>
      <c r="C466">
        <v>0.375</v>
      </c>
      <c r="D466" t="s">
        <v>8</v>
      </c>
      <c r="E466" t="s">
        <v>9</v>
      </c>
      <c r="F466" t="s">
        <v>17</v>
      </c>
      <c r="G466" t="s">
        <v>18</v>
      </c>
      <c r="H466">
        <v>0.2</v>
      </c>
      <c r="I466">
        <v>0.18179999999999999</v>
      </c>
      <c r="J466">
        <v>0.51</v>
      </c>
      <c r="K466">
        <v>0.35820000000000002</v>
      </c>
      <c r="L466">
        <v>7</v>
      </c>
      <c r="M466">
        <v>159</v>
      </c>
      <c r="N466">
        <v>166</v>
      </c>
    </row>
    <row r="467" spans="1:14" x14ac:dyDescent="0.3">
      <c r="A467">
        <v>466</v>
      </c>
      <c r="B467">
        <v>40564</v>
      </c>
      <c r="C467">
        <v>0.41666666666666674</v>
      </c>
      <c r="D467" t="s">
        <v>8</v>
      </c>
      <c r="E467" t="s">
        <v>9</v>
      </c>
      <c r="F467" t="s">
        <v>17</v>
      </c>
      <c r="G467" t="s">
        <v>18</v>
      </c>
      <c r="H467">
        <v>0.2</v>
      </c>
      <c r="I467">
        <v>0.16669999999999999</v>
      </c>
      <c r="J467">
        <v>0.47</v>
      </c>
      <c r="K467">
        <v>0.4627</v>
      </c>
      <c r="L467">
        <v>6</v>
      </c>
      <c r="M467">
        <v>57</v>
      </c>
      <c r="N467">
        <v>63</v>
      </c>
    </row>
    <row r="468" spans="1:14" x14ac:dyDescent="0.3">
      <c r="A468">
        <v>467</v>
      </c>
      <c r="B468">
        <v>40564</v>
      </c>
      <c r="C468">
        <v>0.45833333333333326</v>
      </c>
      <c r="D468" t="s">
        <v>8</v>
      </c>
      <c r="E468" t="s">
        <v>9</v>
      </c>
      <c r="F468" t="s">
        <v>17</v>
      </c>
      <c r="G468" t="s">
        <v>18</v>
      </c>
      <c r="H468">
        <v>0.22</v>
      </c>
      <c r="I468">
        <v>0.18179999999999999</v>
      </c>
      <c r="J468">
        <v>0.41</v>
      </c>
      <c r="K468">
        <v>0.4627</v>
      </c>
      <c r="L468">
        <v>6</v>
      </c>
      <c r="M468">
        <v>53</v>
      </c>
      <c r="N468">
        <v>59</v>
      </c>
    </row>
    <row r="469" spans="1:14" x14ac:dyDescent="0.3">
      <c r="A469">
        <v>468</v>
      </c>
      <c r="B469">
        <v>40564</v>
      </c>
      <c r="C469">
        <v>0.5</v>
      </c>
      <c r="D469" t="s">
        <v>8</v>
      </c>
      <c r="E469" t="s">
        <v>9</v>
      </c>
      <c r="F469" t="s">
        <v>17</v>
      </c>
      <c r="G469" t="s">
        <v>18</v>
      </c>
      <c r="H469">
        <v>0.22</v>
      </c>
      <c r="I469">
        <v>0.18179999999999999</v>
      </c>
      <c r="J469">
        <v>0.27</v>
      </c>
      <c r="K469">
        <v>0.58209999999999995</v>
      </c>
      <c r="L469">
        <v>11</v>
      </c>
      <c r="M469">
        <v>67</v>
      </c>
      <c r="N469">
        <v>78</v>
      </c>
    </row>
    <row r="470" spans="1:14" x14ac:dyDescent="0.3">
      <c r="A470">
        <v>469</v>
      </c>
      <c r="B470">
        <v>40564</v>
      </c>
      <c r="C470">
        <v>0.54166666666666674</v>
      </c>
      <c r="D470" t="s">
        <v>8</v>
      </c>
      <c r="E470" t="s">
        <v>9</v>
      </c>
      <c r="F470" t="s">
        <v>17</v>
      </c>
      <c r="G470" t="s">
        <v>18</v>
      </c>
      <c r="H470">
        <v>0.2</v>
      </c>
      <c r="I470">
        <v>0.1515</v>
      </c>
      <c r="J470">
        <v>0.21</v>
      </c>
      <c r="K470">
        <v>0.58209999999999995</v>
      </c>
      <c r="L470">
        <v>8</v>
      </c>
      <c r="M470">
        <v>65</v>
      </c>
      <c r="N470">
        <v>73</v>
      </c>
    </row>
    <row r="471" spans="1:14" x14ac:dyDescent="0.3">
      <c r="A471">
        <v>470</v>
      </c>
      <c r="B471">
        <v>40564</v>
      </c>
      <c r="C471">
        <v>0.58333333333333326</v>
      </c>
      <c r="D471" t="s">
        <v>8</v>
      </c>
      <c r="E471" t="s">
        <v>9</v>
      </c>
      <c r="F471" t="s">
        <v>17</v>
      </c>
      <c r="G471" t="s">
        <v>18</v>
      </c>
      <c r="H471">
        <v>0.2</v>
      </c>
      <c r="I471">
        <v>0.1515</v>
      </c>
      <c r="J471">
        <v>0.25</v>
      </c>
      <c r="K471">
        <v>0.52239999999999998</v>
      </c>
      <c r="L471">
        <v>6</v>
      </c>
      <c r="M471">
        <v>56</v>
      </c>
      <c r="N471">
        <v>62</v>
      </c>
    </row>
    <row r="472" spans="1:14" x14ac:dyDescent="0.3">
      <c r="A472">
        <v>471</v>
      </c>
      <c r="B472">
        <v>40564</v>
      </c>
      <c r="C472">
        <v>0.625</v>
      </c>
      <c r="D472" t="s">
        <v>8</v>
      </c>
      <c r="E472" t="s">
        <v>9</v>
      </c>
      <c r="F472" t="s">
        <v>17</v>
      </c>
      <c r="G472" t="s">
        <v>18</v>
      </c>
      <c r="H472">
        <v>0.16</v>
      </c>
      <c r="I472">
        <v>0.1212</v>
      </c>
      <c r="J472">
        <v>0.26</v>
      </c>
      <c r="K472">
        <v>0.44779999999999998</v>
      </c>
      <c r="L472">
        <v>4</v>
      </c>
      <c r="M472">
        <v>61</v>
      </c>
      <c r="N472">
        <v>65</v>
      </c>
    </row>
    <row r="473" spans="1:14" x14ac:dyDescent="0.3">
      <c r="A473">
        <v>472</v>
      </c>
      <c r="B473">
        <v>40564</v>
      </c>
      <c r="C473">
        <v>0.66666666666666674</v>
      </c>
      <c r="D473" t="s">
        <v>8</v>
      </c>
      <c r="E473" t="s">
        <v>9</v>
      </c>
      <c r="F473" t="s">
        <v>17</v>
      </c>
      <c r="G473" t="s">
        <v>18</v>
      </c>
      <c r="H473">
        <v>0.16</v>
      </c>
      <c r="I473">
        <v>0.13639999999999999</v>
      </c>
      <c r="J473">
        <v>0.26</v>
      </c>
      <c r="K473">
        <v>0.35820000000000002</v>
      </c>
      <c r="L473">
        <v>0</v>
      </c>
      <c r="M473">
        <v>97</v>
      </c>
      <c r="N473">
        <v>97</v>
      </c>
    </row>
    <row r="474" spans="1:14" x14ac:dyDescent="0.3">
      <c r="A474">
        <v>473</v>
      </c>
      <c r="B474">
        <v>40564</v>
      </c>
      <c r="C474">
        <v>0.70833333333333326</v>
      </c>
      <c r="D474" t="s">
        <v>8</v>
      </c>
      <c r="E474" t="s">
        <v>9</v>
      </c>
      <c r="F474" t="s">
        <v>17</v>
      </c>
      <c r="G474" t="s">
        <v>18</v>
      </c>
      <c r="H474">
        <v>0.14000000000000001</v>
      </c>
      <c r="I474">
        <v>0.1212</v>
      </c>
      <c r="J474">
        <v>0.28000000000000003</v>
      </c>
      <c r="K474">
        <v>0.35820000000000002</v>
      </c>
      <c r="L474">
        <v>10</v>
      </c>
      <c r="M474">
        <v>151</v>
      </c>
      <c r="N474">
        <v>161</v>
      </c>
    </row>
    <row r="475" spans="1:14" x14ac:dyDescent="0.3">
      <c r="A475">
        <v>474</v>
      </c>
      <c r="B475">
        <v>40564</v>
      </c>
      <c r="C475">
        <v>0.75</v>
      </c>
      <c r="D475" t="s">
        <v>8</v>
      </c>
      <c r="E475" t="s">
        <v>9</v>
      </c>
      <c r="F475" t="s">
        <v>17</v>
      </c>
      <c r="G475" t="s">
        <v>18</v>
      </c>
      <c r="H475">
        <v>0.12</v>
      </c>
      <c r="I475">
        <v>0.1212</v>
      </c>
      <c r="J475">
        <v>0.3</v>
      </c>
      <c r="K475">
        <v>0.25369999999999998</v>
      </c>
      <c r="L475">
        <v>1</v>
      </c>
      <c r="M475">
        <v>119</v>
      </c>
      <c r="N475">
        <v>120</v>
      </c>
    </row>
    <row r="476" spans="1:14" x14ac:dyDescent="0.3">
      <c r="A476">
        <v>475</v>
      </c>
      <c r="B476">
        <v>40564</v>
      </c>
      <c r="C476">
        <v>0.79166666666666674</v>
      </c>
      <c r="D476" t="s">
        <v>8</v>
      </c>
      <c r="E476" t="s">
        <v>9</v>
      </c>
      <c r="F476" t="s">
        <v>17</v>
      </c>
      <c r="G476" t="s">
        <v>18</v>
      </c>
      <c r="H476">
        <v>0.12</v>
      </c>
      <c r="I476">
        <v>0.1061</v>
      </c>
      <c r="J476">
        <v>0.3</v>
      </c>
      <c r="K476">
        <v>0.32840000000000003</v>
      </c>
      <c r="L476">
        <v>3</v>
      </c>
      <c r="M476">
        <v>93</v>
      </c>
      <c r="N476">
        <v>96</v>
      </c>
    </row>
    <row r="477" spans="1:14" x14ac:dyDescent="0.3">
      <c r="A477">
        <v>476</v>
      </c>
      <c r="B477">
        <v>40564</v>
      </c>
      <c r="C477">
        <v>0.83333333333333326</v>
      </c>
      <c r="D477" t="s">
        <v>8</v>
      </c>
      <c r="E477" t="s">
        <v>9</v>
      </c>
      <c r="F477" t="s">
        <v>17</v>
      </c>
      <c r="G477" t="s">
        <v>18</v>
      </c>
      <c r="H477">
        <v>0.1</v>
      </c>
      <c r="I477">
        <v>7.5800000000000006E-2</v>
      </c>
      <c r="J477">
        <v>0.33</v>
      </c>
      <c r="K477">
        <v>0.41789999999999999</v>
      </c>
      <c r="L477">
        <v>1</v>
      </c>
      <c r="M477">
        <v>52</v>
      </c>
      <c r="N477">
        <v>53</v>
      </c>
    </row>
    <row r="478" spans="1:14" x14ac:dyDescent="0.3">
      <c r="A478">
        <v>477</v>
      </c>
      <c r="B478">
        <v>40564</v>
      </c>
      <c r="C478">
        <v>0.875</v>
      </c>
      <c r="D478" t="s">
        <v>8</v>
      </c>
      <c r="E478" t="s">
        <v>9</v>
      </c>
      <c r="F478" t="s">
        <v>17</v>
      </c>
      <c r="G478" t="s">
        <v>18</v>
      </c>
      <c r="H478">
        <v>0.08</v>
      </c>
      <c r="I478">
        <v>7.5800000000000006E-2</v>
      </c>
      <c r="J478">
        <v>0.38</v>
      </c>
      <c r="K478">
        <v>0.28360000000000002</v>
      </c>
      <c r="L478">
        <v>0</v>
      </c>
      <c r="M478">
        <v>41</v>
      </c>
      <c r="N478">
        <v>41</v>
      </c>
    </row>
    <row r="479" spans="1:14" x14ac:dyDescent="0.3">
      <c r="A479">
        <v>478</v>
      </c>
      <c r="B479">
        <v>40564</v>
      </c>
      <c r="C479">
        <v>0.91666666666666674</v>
      </c>
      <c r="D479" t="s">
        <v>8</v>
      </c>
      <c r="E479" t="s">
        <v>9</v>
      </c>
      <c r="F479" t="s">
        <v>17</v>
      </c>
      <c r="G479" t="s">
        <v>18</v>
      </c>
      <c r="H479">
        <v>0.06</v>
      </c>
      <c r="I479">
        <v>3.0300000000000001E-2</v>
      </c>
      <c r="J479">
        <v>0.41</v>
      </c>
      <c r="K479">
        <v>0.3881</v>
      </c>
      <c r="L479">
        <v>1</v>
      </c>
      <c r="M479">
        <v>33</v>
      </c>
      <c r="N479">
        <v>34</v>
      </c>
    </row>
    <row r="480" spans="1:14" x14ac:dyDescent="0.3">
      <c r="A480">
        <v>479</v>
      </c>
      <c r="B480">
        <v>40564</v>
      </c>
      <c r="C480">
        <v>0.95833333333333326</v>
      </c>
      <c r="D480" t="s">
        <v>8</v>
      </c>
      <c r="E480" t="s">
        <v>9</v>
      </c>
      <c r="F480" t="s">
        <v>17</v>
      </c>
      <c r="G480" t="s">
        <v>18</v>
      </c>
      <c r="H480">
        <v>0.06</v>
      </c>
      <c r="I480">
        <v>4.5499999999999999E-2</v>
      </c>
      <c r="J480">
        <v>0.38</v>
      </c>
      <c r="K480">
        <v>0.32840000000000003</v>
      </c>
      <c r="L480">
        <v>0</v>
      </c>
      <c r="M480">
        <v>27</v>
      </c>
      <c r="N480">
        <v>27</v>
      </c>
    </row>
    <row r="481" spans="1:14" x14ac:dyDescent="0.3">
      <c r="A481">
        <v>480</v>
      </c>
      <c r="B481">
        <v>40565</v>
      </c>
      <c r="C481">
        <v>0</v>
      </c>
      <c r="D481" t="s">
        <v>8</v>
      </c>
      <c r="E481" t="s">
        <v>9</v>
      </c>
      <c r="F481" t="s">
        <v>11</v>
      </c>
      <c r="G481" t="s">
        <v>18</v>
      </c>
      <c r="H481">
        <v>0.04</v>
      </c>
      <c r="I481">
        <v>3.0300000000000001E-2</v>
      </c>
      <c r="J481">
        <v>0.45</v>
      </c>
      <c r="K481">
        <v>0.25369999999999998</v>
      </c>
      <c r="L481">
        <v>0</v>
      </c>
      <c r="M481">
        <v>13</v>
      </c>
      <c r="N481">
        <v>13</v>
      </c>
    </row>
    <row r="482" spans="1:14" x14ac:dyDescent="0.3">
      <c r="A482">
        <v>481</v>
      </c>
      <c r="B482">
        <v>40565</v>
      </c>
      <c r="C482">
        <v>4.1666666666666741E-2</v>
      </c>
      <c r="D482" t="s">
        <v>8</v>
      </c>
      <c r="E482" t="s">
        <v>9</v>
      </c>
      <c r="F482" t="s">
        <v>11</v>
      </c>
      <c r="G482" t="s">
        <v>19</v>
      </c>
      <c r="H482">
        <v>0.04</v>
      </c>
      <c r="I482">
        <v>0</v>
      </c>
      <c r="J482">
        <v>0.41</v>
      </c>
      <c r="K482">
        <v>0.3881</v>
      </c>
      <c r="L482">
        <v>3</v>
      </c>
      <c r="M482">
        <v>9</v>
      </c>
      <c r="N482">
        <v>12</v>
      </c>
    </row>
    <row r="483" spans="1:14" x14ac:dyDescent="0.3">
      <c r="A483">
        <v>482</v>
      </c>
      <c r="B483">
        <v>40565</v>
      </c>
      <c r="C483">
        <v>8.3333333333333259E-2</v>
      </c>
      <c r="D483" t="s">
        <v>8</v>
      </c>
      <c r="E483" t="s">
        <v>9</v>
      </c>
      <c r="F483" t="s">
        <v>11</v>
      </c>
      <c r="G483" t="s">
        <v>19</v>
      </c>
      <c r="H483">
        <v>0.04</v>
      </c>
      <c r="I483">
        <v>3.0300000000000001E-2</v>
      </c>
      <c r="J483">
        <v>0.41</v>
      </c>
      <c r="K483">
        <v>0.25369999999999998</v>
      </c>
      <c r="L483">
        <v>0</v>
      </c>
      <c r="M483">
        <v>11</v>
      </c>
      <c r="N483">
        <v>11</v>
      </c>
    </row>
    <row r="484" spans="1:14" x14ac:dyDescent="0.3">
      <c r="A484">
        <v>483</v>
      </c>
      <c r="B484">
        <v>40565</v>
      </c>
      <c r="C484">
        <v>0.125</v>
      </c>
      <c r="D484" t="s">
        <v>8</v>
      </c>
      <c r="E484" t="s">
        <v>9</v>
      </c>
      <c r="F484" t="s">
        <v>11</v>
      </c>
      <c r="G484" t="s">
        <v>19</v>
      </c>
      <c r="H484">
        <v>0.04</v>
      </c>
      <c r="I484">
        <v>3.0300000000000001E-2</v>
      </c>
      <c r="J484">
        <v>0.41</v>
      </c>
      <c r="K484">
        <v>0.28360000000000002</v>
      </c>
      <c r="L484">
        <v>1</v>
      </c>
      <c r="M484">
        <v>6</v>
      </c>
      <c r="N484">
        <v>7</v>
      </c>
    </row>
    <row r="485" spans="1:14" x14ac:dyDescent="0.3">
      <c r="A485">
        <v>484</v>
      </c>
      <c r="B485">
        <v>40565</v>
      </c>
      <c r="C485">
        <v>0.16666666666666674</v>
      </c>
      <c r="D485" t="s">
        <v>8</v>
      </c>
      <c r="E485" t="s">
        <v>9</v>
      </c>
      <c r="F485" t="s">
        <v>11</v>
      </c>
      <c r="G485" t="s">
        <v>19</v>
      </c>
      <c r="H485">
        <v>0.02</v>
      </c>
      <c r="I485">
        <v>1.52E-2</v>
      </c>
      <c r="J485">
        <v>0.48</v>
      </c>
      <c r="K485">
        <v>0.29849999999999999</v>
      </c>
      <c r="L485">
        <v>0</v>
      </c>
      <c r="M485">
        <v>3</v>
      </c>
      <c r="N485">
        <v>3</v>
      </c>
    </row>
    <row r="486" spans="1:14" x14ac:dyDescent="0.3">
      <c r="A486">
        <v>485</v>
      </c>
      <c r="B486">
        <v>40565</v>
      </c>
      <c r="C486">
        <v>0.25</v>
      </c>
      <c r="D486" t="s">
        <v>8</v>
      </c>
      <c r="E486" t="s">
        <v>9</v>
      </c>
      <c r="F486" t="s">
        <v>11</v>
      </c>
      <c r="G486" t="s">
        <v>19</v>
      </c>
      <c r="H486">
        <v>0.02</v>
      </c>
      <c r="I486">
        <v>3.0300000000000001E-2</v>
      </c>
      <c r="J486">
        <v>0.44</v>
      </c>
      <c r="K486">
        <v>0.22389999999999999</v>
      </c>
      <c r="L486">
        <v>0</v>
      </c>
      <c r="M486">
        <v>2</v>
      </c>
      <c r="N486">
        <v>2</v>
      </c>
    </row>
    <row r="487" spans="1:14" x14ac:dyDescent="0.3">
      <c r="A487">
        <v>486</v>
      </c>
      <c r="B487">
        <v>40565</v>
      </c>
      <c r="C487">
        <v>0.29166666666666674</v>
      </c>
      <c r="D487" t="s">
        <v>8</v>
      </c>
      <c r="E487" t="s">
        <v>9</v>
      </c>
      <c r="F487" t="s">
        <v>11</v>
      </c>
      <c r="G487" t="s">
        <v>18</v>
      </c>
      <c r="H487">
        <v>0.02</v>
      </c>
      <c r="I487">
        <v>1.52E-2</v>
      </c>
      <c r="J487">
        <v>0.44</v>
      </c>
      <c r="K487">
        <v>0.28360000000000002</v>
      </c>
      <c r="L487">
        <v>0</v>
      </c>
      <c r="M487">
        <v>8</v>
      </c>
      <c r="N487">
        <v>8</v>
      </c>
    </row>
    <row r="488" spans="1:14" x14ac:dyDescent="0.3">
      <c r="A488">
        <v>487</v>
      </c>
      <c r="B488">
        <v>40565</v>
      </c>
      <c r="C488">
        <v>0.33333333333333326</v>
      </c>
      <c r="D488" t="s">
        <v>8</v>
      </c>
      <c r="E488" t="s">
        <v>9</v>
      </c>
      <c r="F488" t="s">
        <v>11</v>
      </c>
      <c r="G488" t="s">
        <v>18</v>
      </c>
      <c r="H488">
        <v>0.02</v>
      </c>
      <c r="I488">
        <v>0</v>
      </c>
      <c r="J488">
        <v>0.44</v>
      </c>
      <c r="K488">
        <v>0.32840000000000003</v>
      </c>
      <c r="L488">
        <v>1</v>
      </c>
      <c r="M488">
        <v>26</v>
      </c>
      <c r="N488">
        <v>27</v>
      </c>
    </row>
    <row r="489" spans="1:14" x14ac:dyDescent="0.3">
      <c r="A489">
        <v>488</v>
      </c>
      <c r="B489">
        <v>40565</v>
      </c>
      <c r="C489">
        <v>0.375</v>
      </c>
      <c r="D489" t="s">
        <v>8</v>
      </c>
      <c r="E489" t="s">
        <v>9</v>
      </c>
      <c r="F489" t="s">
        <v>11</v>
      </c>
      <c r="G489" t="s">
        <v>18</v>
      </c>
      <c r="H489">
        <v>0.04</v>
      </c>
      <c r="I489">
        <v>3.0300000000000001E-2</v>
      </c>
      <c r="J489">
        <v>0.41</v>
      </c>
      <c r="K489">
        <v>0.25369999999999998</v>
      </c>
      <c r="L489">
        <v>3</v>
      </c>
      <c r="M489">
        <v>37</v>
      </c>
      <c r="N489">
        <v>40</v>
      </c>
    </row>
    <row r="490" spans="1:14" x14ac:dyDescent="0.3">
      <c r="A490">
        <v>489</v>
      </c>
      <c r="B490">
        <v>40565</v>
      </c>
      <c r="C490">
        <v>0.41666666666666674</v>
      </c>
      <c r="D490" t="s">
        <v>8</v>
      </c>
      <c r="E490" t="s">
        <v>9</v>
      </c>
      <c r="F490" t="s">
        <v>11</v>
      </c>
      <c r="G490" t="s">
        <v>19</v>
      </c>
      <c r="H490">
        <v>0.04</v>
      </c>
      <c r="I490">
        <v>6.0600000000000001E-2</v>
      </c>
      <c r="J490">
        <v>0.41</v>
      </c>
      <c r="K490">
        <v>0.16420000000000001</v>
      </c>
      <c r="L490">
        <v>3</v>
      </c>
      <c r="M490">
        <v>50</v>
      </c>
      <c r="N490">
        <v>53</v>
      </c>
    </row>
    <row r="491" spans="1:14" x14ac:dyDescent="0.3">
      <c r="A491">
        <v>490</v>
      </c>
      <c r="B491">
        <v>40565</v>
      </c>
      <c r="C491">
        <v>0.45833333333333326</v>
      </c>
      <c r="D491" t="s">
        <v>8</v>
      </c>
      <c r="E491" t="s">
        <v>9</v>
      </c>
      <c r="F491" t="s">
        <v>11</v>
      </c>
      <c r="G491" t="s">
        <v>19</v>
      </c>
      <c r="H491">
        <v>0.06</v>
      </c>
      <c r="I491">
        <v>7.5800000000000006E-2</v>
      </c>
      <c r="J491">
        <v>0.38</v>
      </c>
      <c r="K491">
        <v>0.1343</v>
      </c>
      <c r="L491">
        <v>4</v>
      </c>
      <c r="M491">
        <v>59</v>
      </c>
      <c r="N491">
        <v>63</v>
      </c>
    </row>
    <row r="492" spans="1:14" x14ac:dyDescent="0.3">
      <c r="A492">
        <v>491</v>
      </c>
      <c r="B492">
        <v>40565</v>
      </c>
      <c r="C492">
        <v>0.5</v>
      </c>
      <c r="D492" t="s">
        <v>8</v>
      </c>
      <c r="E492" t="s">
        <v>9</v>
      </c>
      <c r="F492" t="s">
        <v>11</v>
      </c>
      <c r="G492" t="s">
        <v>19</v>
      </c>
      <c r="H492">
        <v>0.06</v>
      </c>
      <c r="I492">
        <v>0.1061</v>
      </c>
      <c r="J492">
        <v>0.38</v>
      </c>
      <c r="K492">
        <v>0.1045</v>
      </c>
      <c r="L492">
        <v>10</v>
      </c>
      <c r="M492">
        <v>60</v>
      </c>
      <c r="N492">
        <v>70</v>
      </c>
    </row>
    <row r="493" spans="1:14" x14ac:dyDescent="0.3">
      <c r="A493">
        <v>492</v>
      </c>
      <c r="B493">
        <v>40565</v>
      </c>
      <c r="C493">
        <v>0.54166666666666674</v>
      </c>
      <c r="D493" t="s">
        <v>8</v>
      </c>
      <c r="E493" t="s">
        <v>9</v>
      </c>
      <c r="F493" t="s">
        <v>11</v>
      </c>
      <c r="G493" t="s">
        <v>18</v>
      </c>
      <c r="H493">
        <v>0.08</v>
      </c>
      <c r="I493">
        <v>0.16669999999999999</v>
      </c>
      <c r="J493">
        <v>0.35</v>
      </c>
      <c r="K493">
        <v>0</v>
      </c>
      <c r="L493">
        <v>12</v>
      </c>
      <c r="M493">
        <v>72</v>
      </c>
      <c r="N493">
        <v>84</v>
      </c>
    </row>
    <row r="494" spans="1:14" x14ac:dyDescent="0.3">
      <c r="A494">
        <v>493</v>
      </c>
      <c r="B494">
        <v>40565</v>
      </c>
      <c r="C494">
        <v>0.58333333333333326</v>
      </c>
      <c r="D494" t="s">
        <v>8</v>
      </c>
      <c r="E494" t="s">
        <v>9</v>
      </c>
      <c r="F494" t="s">
        <v>11</v>
      </c>
      <c r="G494" t="s">
        <v>18</v>
      </c>
      <c r="H494">
        <v>0.1</v>
      </c>
      <c r="I494">
        <v>0.13639999999999999</v>
      </c>
      <c r="J494">
        <v>0.33</v>
      </c>
      <c r="K494">
        <v>0.1045</v>
      </c>
      <c r="L494">
        <v>11</v>
      </c>
      <c r="M494">
        <v>64</v>
      </c>
      <c r="N494">
        <v>75</v>
      </c>
    </row>
    <row r="495" spans="1:14" x14ac:dyDescent="0.3">
      <c r="A495">
        <v>494</v>
      </c>
      <c r="B495">
        <v>40565</v>
      </c>
      <c r="C495">
        <v>0.625</v>
      </c>
      <c r="D495" t="s">
        <v>8</v>
      </c>
      <c r="E495" t="s">
        <v>9</v>
      </c>
      <c r="F495" t="s">
        <v>11</v>
      </c>
      <c r="G495" t="s">
        <v>18</v>
      </c>
      <c r="H495">
        <v>0.12</v>
      </c>
      <c r="I495">
        <v>0.1515</v>
      </c>
      <c r="J495">
        <v>0.28000000000000003</v>
      </c>
      <c r="K495">
        <v>0</v>
      </c>
      <c r="L495">
        <v>10</v>
      </c>
      <c r="M495">
        <v>93</v>
      </c>
      <c r="N495">
        <v>103</v>
      </c>
    </row>
    <row r="496" spans="1:14" x14ac:dyDescent="0.3">
      <c r="A496">
        <v>495</v>
      </c>
      <c r="B496">
        <v>40565</v>
      </c>
      <c r="C496">
        <v>0.66666666666666674</v>
      </c>
      <c r="D496" t="s">
        <v>8</v>
      </c>
      <c r="E496" t="s">
        <v>9</v>
      </c>
      <c r="F496" t="s">
        <v>11</v>
      </c>
      <c r="G496" t="s">
        <v>18</v>
      </c>
      <c r="H496">
        <v>0.12</v>
      </c>
      <c r="I496">
        <v>0.13639999999999999</v>
      </c>
      <c r="J496">
        <v>0.28000000000000003</v>
      </c>
      <c r="K496">
        <v>0.19400000000000001</v>
      </c>
      <c r="L496">
        <v>11</v>
      </c>
      <c r="M496">
        <v>72</v>
      </c>
      <c r="N496">
        <v>83</v>
      </c>
    </row>
    <row r="497" spans="1:14" x14ac:dyDescent="0.3">
      <c r="A497">
        <v>496</v>
      </c>
      <c r="B497">
        <v>40565</v>
      </c>
      <c r="C497">
        <v>0.70833333333333326</v>
      </c>
      <c r="D497" t="s">
        <v>8</v>
      </c>
      <c r="E497" t="s">
        <v>9</v>
      </c>
      <c r="F497" t="s">
        <v>11</v>
      </c>
      <c r="G497" t="s">
        <v>18</v>
      </c>
      <c r="H497">
        <v>0.12</v>
      </c>
      <c r="I497">
        <v>0.19700000000000001</v>
      </c>
      <c r="J497">
        <v>0.28000000000000003</v>
      </c>
      <c r="K497">
        <v>0</v>
      </c>
      <c r="L497">
        <v>8</v>
      </c>
      <c r="M497">
        <v>59</v>
      </c>
      <c r="N497">
        <v>67</v>
      </c>
    </row>
    <row r="498" spans="1:14" x14ac:dyDescent="0.3">
      <c r="A498">
        <v>497</v>
      </c>
      <c r="B498">
        <v>40565</v>
      </c>
      <c r="C498">
        <v>0.75</v>
      </c>
      <c r="D498" t="s">
        <v>8</v>
      </c>
      <c r="E498" t="s">
        <v>9</v>
      </c>
      <c r="F498" t="s">
        <v>11</v>
      </c>
      <c r="G498" t="s">
        <v>18</v>
      </c>
      <c r="H498">
        <v>0.08</v>
      </c>
      <c r="I498">
        <v>9.0899999999999995E-2</v>
      </c>
      <c r="J498">
        <v>0.35</v>
      </c>
      <c r="K498">
        <v>0.19400000000000001</v>
      </c>
      <c r="L498">
        <v>0</v>
      </c>
      <c r="M498">
        <v>54</v>
      </c>
      <c r="N498">
        <v>54</v>
      </c>
    </row>
    <row r="499" spans="1:14" x14ac:dyDescent="0.3">
      <c r="A499">
        <v>498</v>
      </c>
      <c r="B499">
        <v>40565</v>
      </c>
      <c r="C499">
        <v>0.79166666666666674</v>
      </c>
      <c r="D499" t="s">
        <v>8</v>
      </c>
      <c r="E499" t="s">
        <v>9</v>
      </c>
      <c r="F499" t="s">
        <v>11</v>
      </c>
      <c r="G499" t="s">
        <v>18</v>
      </c>
      <c r="H499">
        <v>0.08</v>
      </c>
      <c r="I499">
        <v>0.1061</v>
      </c>
      <c r="J499">
        <v>0.35</v>
      </c>
      <c r="K499">
        <v>0.1343</v>
      </c>
      <c r="L499">
        <v>6</v>
      </c>
      <c r="M499">
        <v>53</v>
      </c>
      <c r="N499">
        <v>59</v>
      </c>
    </row>
    <row r="500" spans="1:14" x14ac:dyDescent="0.3">
      <c r="A500">
        <v>499</v>
      </c>
      <c r="B500">
        <v>40565</v>
      </c>
      <c r="C500">
        <v>0.83333333333333326</v>
      </c>
      <c r="D500" t="s">
        <v>8</v>
      </c>
      <c r="E500" t="s">
        <v>9</v>
      </c>
      <c r="F500" t="s">
        <v>11</v>
      </c>
      <c r="G500" t="s">
        <v>18</v>
      </c>
      <c r="H500">
        <v>0.06</v>
      </c>
      <c r="I500">
        <v>7.5800000000000006E-2</v>
      </c>
      <c r="J500">
        <v>0.45</v>
      </c>
      <c r="K500">
        <v>0.16420000000000001</v>
      </c>
      <c r="L500">
        <v>1</v>
      </c>
      <c r="M500">
        <v>44</v>
      </c>
      <c r="N500">
        <v>45</v>
      </c>
    </row>
    <row r="501" spans="1:14" x14ac:dyDescent="0.3">
      <c r="A501">
        <v>500</v>
      </c>
      <c r="B501">
        <v>40565</v>
      </c>
      <c r="C501">
        <v>0.875</v>
      </c>
      <c r="D501" t="s">
        <v>8</v>
      </c>
      <c r="E501" t="s">
        <v>9</v>
      </c>
      <c r="F501" t="s">
        <v>11</v>
      </c>
      <c r="G501" t="s">
        <v>18</v>
      </c>
      <c r="H501">
        <v>0.06</v>
      </c>
      <c r="I501">
        <v>0.1061</v>
      </c>
      <c r="J501">
        <v>0.41</v>
      </c>
      <c r="K501">
        <v>8.9599999999999999E-2</v>
      </c>
      <c r="L501">
        <v>0</v>
      </c>
      <c r="M501">
        <v>39</v>
      </c>
      <c r="N501">
        <v>39</v>
      </c>
    </row>
    <row r="502" spans="1:14" x14ac:dyDescent="0.3">
      <c r="A502">
        <v>501</v>
      </c>
      <c r="B502">
        <v>40565</v>
      </c>
      <c r="C502">
        <v>0.91666666666666674</v>
      </c>
      <c r="D502" t="s">
        <v>8</v>
      </c>
      <c r="E502" t="s">
        <v>9</v>
      </c>
      <c r="F502" t="s">
        <v>11</v>
      </c>
      <c r="G502" t="s">
        <v>18</v>
      </c>
      <c r="H502">
        <v>0.06</v>
      </c>
      <c r="I502">
        <v>0.1515</v>
      </c>
      <c r="J502">
        <v>0.49</v>
      </c>
      <c r="K502">
        <v>0</v>
      </c>
      <c r="L502">
        <v>7</v>
      </c>
      <c r="M502">
        <v>23</v>
      </c>
      <c r="N502">
        <v>30</v>
      </c>
    </row>
    <row r="503" spans="1:14" x14ac:dyDescent="0.3">
      <c r="A503">
        <v>502</v>
      </c>
      <c r="B503">
        <v>40565</v>
      </c>
      <c r="C503">
        <v>0.95833333333333326</v>
      </c>
      <c r="D503" t="s">
        <v>8</v>
      </c>
      <c r="E503" t="s">
        <v>9</v>
      </c>
      <c r="F503" t="s">
        <v>11</v>
      </c>
      <c r="G503" t="s">
        <v>18</v>
      </c>
      <c r="H503">
        <v>0.04</v>
      </c>
      <c r="I503">
        <v>7.5800000000000006E-2</v>
      </c>
      <c r="J503">
        <v>0.56999999999999995</v>
      </c>
      <c r="K503">
        <v>0.1045</v>
      </c>
      <c r="L503">
        <v>2</v>
      </c>
      <c r="M503">
        <v>31</v>
      </c>
      <c r="N503">
        <v>33</v>
      </c>
    </row>
    <row r="504" spans="1:14" x14ac:dyDescent="0.3">
      <c r="A504">
        <v>503</v>
      </c>
      <c r="B504">
        <v>40566</v>
      </c>
      <c r="C504">
        <v>0</v>
      </c>
      <c r="D504" t="s">
        <v>8</v>
      </c>
      <c r="E504" t="s">
        <v>9</v>
      </c>
      <c r="F504" t="s">
        <v>12</v>
      </c>
      <c r="G504" t="s">
        <v>18</v>
      </c>
      <c r="H504">
        <v>0.04</v>
      </c>
      <c r="I504">
        <v>7.5800000000000006E-2</v>
      </c>
      <c r="J504">
        <v>0.56999999999999995</v>
      </c>
      <c r="K504">
        <v>0.1045</v>
      </c>
      <c r="L504">
        <v>2</v>
      </c>
      <c r="M504">
        <v>20</v>
      </c>
      <c r="N504">
        <v>22</v>
      </c>
    </row>
    <row r="505" spans="1:14" x14ac:dyDescent="0.3">
      <c r="A505">
        <v>504</v>
      </c>
      <c r="B505">
        <v>40566</v>
      </c>
      <c r="C505">
        <v>4.1666666666666741E-2</v>
      </c>
      <c r="D505" t="s">
        <v>8</v>
      </c>
      <c r="E505" t="s">
        <v>9</v>
      </c>
      <c r="F505" t="s">
        <v>12</v>
      </c>
      <c r="G505" t="s">
        <v>18</v>
      </c>
      <c r="H505">
        <v>0.04</v>
      </c>
      <c r="I505">
        <v>7.5800000000000006E-2</v>
      </c>
      <c r="J505">
        <v>0.56999999999999995</v>
      </c>
      <c r="K505">
        <v>0.1045</v>
      </c>
      <c r="L505">
        <v>1</v>
      </c>
      <c r="M505">
        <v>12</v>
      </c>
      <c r="N505">
        <v>13</v>
      </c>
    </row>
    <row r="506" spans="1:14" x14ac:dyDescent="0.3">
      <c r="A506">
        <v>505</v>
      </c>
      <c r="B506">
        <v>40566</v>
      </c>
      <c r="C506">
        <v>8.3333333333333259E-2</v>
      </c>
      <c r="D506" t="s">
        <v>8</v>
      </c>
      <c r="E506" t="s">
        <v>9</v>
      </c>
      <c r="F506" t="s">
        <v>12</v>
      </c>
      <c r="G506" t="s">
        <v>18</v>
      </c>
      <c r="H506">
        <v>0.02</v>
      </c>
      <c r="I506">
        <v>6.0600000000000001E-2</v>
      </c>
      <c r="J506">
        <v>0.62</v>
      </c>
      <c r="K506">
        <v>0.1343</v>
      </c>
      <c r="L506">
        <v>3</v>
      </c>
      <c r="M506">
        <v>15</v>
      </c>
      <c r="N506">
        <v>18</v>
      </c>
    </row>
    <row r="507" spans="1:14" x14ac:dyDescent="0.3">
      <c r="A507">
        <v>506</v>
      </c>
      <c r="B507">
        <v>40566</v>
      </c>
      <c r="C507">
        <v>0.125</v>
      </c>
      <c r="D507" t="s">
        <v>8</v>
      </c>
      <c r="E507" t="s">
        <v>9</v>
      </c>
      <c r="F507" t="s">
        <v>12</v>
      </c>
      <c r="G507" t="s">
        <v>18</v>
      </c>
      <c r="H507">
        <v>0.02</v>
      </c>
      <c r="I507">
        <v>6.0600000000000001E-2</v>
      </c>
      <c r="J507">
        <v>0.62</v>
      </c>
      <c r="K507">
        <v>0.1343</v>
      </c>
      <c r="L507">
        <v>1</v>
      </c>
      <c r="M507">
        <v>4</v>
      </c>
      <c r="N507">
        <v>5</v>
      </c>
    </row>
    <row r="508" spans="1:14" x14ac:dyDescent="0.3">
      <c r="A508">
        <v>507</v>
      </c>
      <c r="B508">
        <v>40566</v>
      </c>
      <c r="C508">
        <v>0.20833333333333326</v>
      </c>
      <c r="D508" t="s">
        <v>8</v>
      </c>
      <c r="E508" t="s">
        <v>9</v>
      </c>
      <c r="F508" t="s">
        <v>12</v>
      </c>
      <c r="G508" t="s">
        <v>19</v>
      </c>
      <c r="H508">
        <v>0.04</v>
      </c>
      <c r="I508">
        <v>7.5800000000000006E-2</v>
      </c>
      <c r="J508">
        <v>0.56999999999999995</v>
      </c>
      <c r="K508">
        <v>0.1045</v>
      </c>
      <c r="L508">
        <v>0</v>
      </c>
      <c r="M508">
        <v>3</v>
      </c>
      <c r="N508">
        <v>3</v>
      </c>
    </row>
    <row r="509" spans="1:14" x14ac:dyDescent="0.3">
      <c r="A509">
        <v>508</v>
      </c>
      <c r="B509">
        <v>40566</v>
      </c>
      <c r="C509">
        <v>0.25</v>
      </c>
      <c r="D509" t="s">
        <v>8</v>
      </c>
      <c r="E509" t="s">
        <v>9</v>
      </c>
      <c r="F509" t="s">
        <v>12</v>
      </c>
      <c r="G509" t="s">
        <v>19</v>
      </c>
      <c r="H509">
        <v>0.04</v>
      </c>
      <c r="I509">
        <v>7.5800000000000006E-2</v>
      </c>
      <c r="J509">
        <v>0.56999999999999995</v>
      </c>
      <c r="K509">
        <v>0.1045</v>
      </c>
      <c r="L509">
        <v>0</v>
      </c>
      <c r="M509">
        <v>1</v>
      </c>
      <c r="N509">
        <v>1</v>
      </c>
    </row>
    <row r="510" spans="1:14" x14ac:dyDescent="0.3">
      <c r="A510">
        <v>509</v>
      </c>
      <c r="B510">
        <v>40566</v>
      </c>
      <c r="C510">
        <v>0.29166666666666674</v>
      </c>
      <c r="D510" t="s">
        <v>8</v>
      </c>
      <c r="E510" t="s">
        <v>9</v>
      </c>
      <c r="F510" t="s">
        <v>12</v>
      </c>
      <c r="G510" t="s">
        <v>18</v>
      </c>
      <c r="H510">
        <v>0.08</v>
      </c>
      <c r="I510">
        <v>0.1061</v>
      </c>
      <c r="J510">
        <v>0.57999999999999996</v>
      </c>
      <c r="K510">
        <v>0.16420000000000001</v>
      </c>
      <c r="L510">
        <v>1</v>
      </c>
      <c r="M510">
        <v>1</v>
      </c>
      <c r="N510">
        <v>2</v>
      </c>
    </row>
    <row r="511" spans="1:14" x14ac:dyDescent="0.3">
      <c r="A511">
        <v>510</v>
      </c>
      <c r="B511">
        <v>40566</v>
      </c>
      <c r="C511">
        <v>0.33333333333333326</v>
      </c>
      <c r="D511" t="s">
        <v>8</v>
      </c>
      <c r="E511" t="s">
        <v>9</v>
      </c>
      <c r="F511" t="s">
        <v>12</v>
      </c>
      <c r="G511" t="s">
        <v>18</v>
      </c>
      <c r="H511">
        <v>0.06</v>
      </c>
      <c r="I511">
        <v>7.5800000000000006E-2</v>
      </c>
      <c r="J511">
        <v>0.62</v>
      </c>
      <c r="K511">
        <v>0.16420000000000001</v>
      </c>
      <c r="L511">
        <v>2</v>
      </c>
      <c r="M511">
        <v>17</v>
      </c>
      <c r="N511">
        <v>19</v>
      </c>
    </row>
    <row r="512" spans="1:14" x14ac:dyDescent="0.3">
      <c r="A512">
        <v>511</v>
      </c>
      <c r="B512">
        <v>40566</v>
      </c>
      <c r="C512">
        <v>0.375</v>
      </c>
      <c r="D512" t="s">
        <v>8</v>
      </c>
      <c r="E512" t="s">
        <v>9</v>
      </c>
      <c r="F512" t="s">
        <v>12</v>
      </c>
      <c r="G512" t="s">
        <v>18</v>
      </c>
      <c r="H512">
        <v>0.1</v>
      </c>
      <c r="I512">
        <v>7.5800000000000006E-2</v>
      </c>
      <c r="J512">
        <v>0.54</v>
      </c>
      <c r="K512">
        <v>0.35820000000000002</v>
      </c>
      <c r="L512">
        <v>3</v>
      </c>
      <c r="M512">
        <v>25</v>
      </c>
      <c r="N512">
        <v>28</v>
      </c>
    </row>
    <row r="513" spans="1:14" x14ac:dyDescent="0.3">
      <c r="A513">
        <v>512</v>
      </c>
      <c r="B513">
        <v>40566</v>
      </c>
      <c r="C513">
        <v>0.41666666666666674</v>
      </c>
      <c r="D513" t="s">
        <v>8</v>
      </c>
      <c r="E513" t="s">
        <v>9</v>
      </c>
      <c r="F513" t="s">
        <v>12</v>
      </c>
      <c r="G513" t="s">
        <v>18</v>
      </c>
      <c r="H513">
        <v>0.14000000000000001</v>
      </c>
      <c r="I513">
        <v>0.1061</v>
      </c>
      <c r="J513">
        <v>0.46</v>
      </c>
      <c r="K513">
        <v>0.3881</v>
      </c>
      <c r="L513">
        <v>7</v>
      </c>
      <c r="M513">
        <v>51</v>
      </c>
      <c r="N513">
        <v>58</v>
      </c>
    </row>
    <row r="514" spans="1:14" x14ac:dyDescent="0.3">
      <c r="A514">
        <v>513</v>
      </c>
      <c r="B514">
        <v>40566</v>
      </c>
      <c r="C514">
        <v>0.45833333333333326</v>
      </c>
      <c r="D514" t="s">
        <v>8</v>
      </c>
      <c r="E514" t="s">
        <v>9</v>
      </c>
      <c r="F514" t="s">
        <v>12</v>
      </c>
      <c r="G514" t="s">
        <v>18</v>
      </c>
      <c r="H514">
        <v>0.14000000000000001</v>
      </c>
      <c r="I514">
        <v>0.13639999999999999</v>
      </c>
      <c r="J514">
        <v>0.43</v>
      </c>
      <c r="K514">
        <v>0.22389999999999999</v>
      </c>
      <c r="L514">
        <v>22</v>
      </c>
      <c r="M514">
        <v>77</v>
      </c>
      <c r="N514">
        <v>99</v>
      </c>
    </row>
    <row r="515" spans="1:14" x14ac:dyDescent="0.3">
      <c r="A515">
        <v>514</v>
      </c>
      <c r="B515">
        <v>40566</v>
      </c>
      <c r="C515">
        <v>0.5</v>
      </c>
      <c r="D515" t="s">
        <v>8</v>
      </c>
      <c r="E515" t="s">
        <v>9</v>
      </c>
      <c r="F515" t="s">
        <v>12</v>
      </c>
      <c r="G515" t="s">
        <v>18</v>
      </c>
      <c r="H515">
        <v>0.16</v>
      </c>
      <c r="I515">
        <v>0.1212</v>
      </c>
      <c r="J515">
        <v>0.37</v>
      </c>
      <c r="K515">
        <v>0.4627</v>
      </c>
      <c r="L515">
        <v>24</v>
      </c>
      <c r="M515">
        <v>92</v>
      </c>
      <c r="N515">
        <v>116</v>
      </c>
    </row>
    <row r="516" spans="1:14" x14ac:dyDescent="0.3">
      <c r="A516">
        <v>515</v>
      </c>
      <c r="B516">
        <v>40566</v>
      </c>
      <c r="C516">
        <v>0.54166666666666674</v>
      </c>
      <c r="D516" t="s">
        <v>8</v>
      </c>
      <c r="E516" t="s">
        <v>9</v>
      </c>
      <c r="F516" t="s">
        <v>12</v>
      </c>
      <c r="G516" t="s">
        <v>18</v>
      </c>
      <c r="H516">
        <v>0.14000000000000001</v>
      </c>
      <c r="I516">
        <v>0.1061</v>
      </c>
      <c r="J516">
        <v>0.33</v>
      </c>
      <c r="K516">
        <v>0.3881</v>
      </c>
      <c r="L516">
        <v>12</v>
      </c>
      <c r="M516">
        <v>75</v>
      </c>
      <c r="N516">
        <v>87</v>
      </c>
    </row>
    <row r="517" spans="1:14" x14ac:dyDescent="0.3">
      <c r="A517">
        <v>516</v>
      </c>
      <c r="B517">
        <v>40566</v>
      </c>
      <c r="C517">
        <v>0.58333333333333326</v>
      </c>
      <c r="D517" t="s">
        <v>8</v>
      </c>
      <c r="E517" t="s">
        <v>9</v>
      </c>
      <c r="F517" t="s">
        <v>12</v>
      </c>
      <c r="G517" t="s">
        <v>18</v>
      </c>
      <c r="H517">
        <v>0.16</v>
      </c>
      <c r="I517">
        <v>0.13639999999999999</v>
      </c>
      <c r="J517">
        <v>0.28000000000000003</v>
      </c>
      <c r="K517">
        <v>0.35820000000000002</v>
      </c>
      <c r="L517">
        <v>17</v>
      </c>
      <c r="M517">
        <v>93</v>
      </c>
      <c r="N517">
        <v>110</v>
      </c>
    </row>
    <row r="518" spans="1:14" x14ac:dyDescent="0.3">
      <c r="A518">
        <v>517</v>
      </c>
      <c r="B518">
        <v>40566</v>
      </c>
      <c r="C518">
        <v>0.625</v>
      </c>
      <c r="D518" t="s">
        <v>8</v>
      </c>
      <c r="E518" t="s">
        <v>9</v>
      </c>
      <c r="F518" t="s">
        <v>12</v>
      </c>
      <c r="G518" t="s">
        <v>18</v>
      </c>
      <c r="H518">
        <v>0.16</v>
      </c>
      <c r="I518">
        <v>0.13639999999999999</v>
      </c>
      <c r="J518">
        <v>0.28000000000000003</v>
      </c>
      <c r="K518">
        <v>0.35820000000000002</v>
      </c>
      <c r="L518">
        <v>13</v>
      </c>
      <c r="M518">
        <v>64</v>
      </c>
      <c r="N518">
        <v>77</v>
      </c>
    </row>
    <row r="519" spans="1:14" x14ac:dyDescent="0.3">
      <c r="A519">
        <v>518</v>
      </c>
      <c r="B519">
        <v>40566</v>
      </c>
      <c r="C519">
        <v>0.66666666666666674</v>
      </c>
      <c r="D519" t="s">
        <v>8</v>
      </c>
      <c r="E519" t="s">
        <v>9</v>
      </c>
      <c r="F519" t="s">
        <v>12</v>
      </c>
      <c r="G519" t="s">
        <v>18</v>
      </c>
      <c r="H519">
        <v>0.16</v>
      </c>
      <c r="I519">
        <v>0.13639999999999999</v>
      </c>
      <c r="J519">
        <v>0.26</v>
      </c>
      <c r="K519">
        <v>0.32840000000000003</v>
      </c>
      <c r="L519">
        <v>9</v>
      </c>
      <c r="M519">
        <v>56</v>
      </c>
      <c r="N519">
        <v>65</v>
      </c>
    </row>
    <row r="520" spans="1:14" x14ac:dyDescent="0.3">
      <c r="A520">
        <v>519</v>
      </c>
      <c r="B520">
        <v>40566</v>
      </c>
      <c r="C520">
        <v>0.70833333333333326</v>
      </c>
      <c r="D520" t="s">
        <v>8</v>
      </c>
      <c r="E520" t="s">
        <v>9</v>
      </c>
      <c r="F520" t="s">
        <v>12</v>
      </c>
      <c r="G520" t="s">
        <v>18</v>
      </c>
      <c r="H520">
        <v>0.14000000000000001</v>
      </c>
      <c r="I520">
        <v>0.1061</v>
      </c>
      <c r="J520">
        <v>0.26</v>
      </c>
      <c r="K520">
        <v>0.3881</v>
      </c>
      <c r="L520">
        <v>5</v>
      </c>
      <c r="M520">
        <v>50</v>
      </c>
      <c r="N520">
        <v>55</v>
      </c>
    </row>
    <row r="521" spans="1:14" x14ac:dyDescent="0.3">
      <c r="A521">
        <v>520</v>
      </c>
      <c r="B521">
        <v>40566</v>
      </c>
      <c r="C521">
        <v>0.75</v>
      </c>
      <c r="D521" t="s">
        <v>8</v>
      </c>
      <c r="E521" t="s">
        <v>9</v>
      </c>
      <c r="F521" t="s">
        <v>12</v>
      </c>
      <c r="G521" t="s">
        <v>18</v>
      </c>
      <c r="H521">
        <v>0.12</v>
      </c>
      <c r="I521">
        <v>0.1212</v>
      </c>
      <c r="J521">
        <v>0.3</v>
      </c>
      <c r="K521">
        <v>0.25369999999999998</v>
      </c>
      <c r="L521">
        <v>5</v>
      </c>
      <c r="M521">
        <v>44</v>
      </c>
      <c r="N521">
        <v>49</v>
      </c>
    </row>
    <row r="522" spans="1:14" x14ac:dyDescent="0.3">
      <c r="A522">
        <v>521</v>
      </c>
      <c r="B522">
        <v>40566</v>
      </c>
      <c r="C522">
        <v>0.79166666666666674</v>
      </c>
      <c r="D522" t="s">
        <v>8</v>
      </c>
      <c r="E522" t="s">
        <v>9</v>
      </c>
      <c r="F522" t="s">
        <v>12</v>
      </c>
      <c r="G522" t="s">
        <v>18</v>
      </c>
      <c r="H522">
        <v>0.12</v>
      </c>
      <c r="I522">
        <v>0.1212</v>
      </c>
      <c r="J522">
        <v>0.3</v>
      </c>
      <c r="K522">
        <v>0.28360000000000002</v>
      </c>
      <c r="L522">
        <v>5</v>
      </c>
      <c r="M522">
        <v>45</v>
      </c>
      <c r="N522">
        <v>50</v>
      </c>
    </row>
    <row r="523" spans="1:14" x14ac:dyDescent="0.3">
      <c r="A523">
        <v>522</v>
      </c>
      <c r="B523">
        <v>40566</v>
      </c>
      <c r="C523">
        <v>0.83333333333333326</v>
      </c>
      <c r="D523" t="s">
        <v>8</v>
      </c>
      <c r="E523" t="s">
        <v>9</v>
      </c>
      <c r="F523" t="s">
        <v>12</v>
      </c>
      <c r="G523" t="s">
        <v>18</v>
      </c>
      <c r="H523">
        <v>0.1</v>
      </c>
      <c r="I523">
        <v>0.1061</v>
      </c>
      <c r="J523">
        <v>0.36</v>
      </c>
      <c r="K523">
        <v>0.25369999999999998</v>
      </c>
      <c r="L523">
        <v>4</v>
      </c>
      <c r="M523">
        <v>31</v>
      </c>
      <c r="N523">
        <v>35</v>
      </c>
    </row>
    <row r="524" spans="1:14" x14ac:dyDescent="0.3">
      <c r="A524">
        <v>523</v>
      </c>
      <c r="B524">
        <v>40566</v>
      </c>
      <c r="C524">
        <v>0.875</v>
      </c>
      <c r="D524" t="s">
        <v>8</v>
      </c>
      <c r="E524" t="s">
        <v>9</v>
      </c>
      <c r="F524" t="s">
        <v>12</v>
      </c>
      <c r="G524" t="s">
        <v>18</v>
      </c>
      <c r="H524">
        <v>0.1</v>
      </c>
      <c r="I524">
        <v>0.1061</v>
      </c>
      <c r="J524">
        <v>0.36</v>
      </c>
      <c r="K524">
        <v>0.19400000000000001</v>
      </c>
      <c r="L524">
        <v>5</v>
      </c>
      <c r="M524">
        <v>20</v>
      </c>
      <c r="N524">
        <v>25</v>
      </c>
    </row>
    <row r="525" spans="1:14" x14ac:dyDescent="0.3">
      <c r="A525">
        <v>524</v>
      </c>
      <c r="B525">
        <v>40566</v>
      </c>
      <c r="C525">
        <v>0.91666666666666674</v>
      </c>
      <c r="D525" t="s">
        <v>8</v>
      </c>
      <c r="E525" t="s">
        <v>9</v>
      </c>
      <c r="F525" t="s">
        <v>12</v>
      </c>
      <c r="G525" t="s">
        <v>18</v>
      </c>
      <c r="H525">
        <v>0.08</v>
      </c>
      <c r="I525">
        <v>9.0899999999999995E-2</v>
      </c>
      <c r="J525">
        <v>0.38</v>
      </c>
      <c r="K525">
        <v>0.19400000000000001</v>
      </c>
      <c r="L525">
        <v>5</v>
      </c>
      <c r="M525">
        <v>23</v>
      </c>
      <c r="N525">
        <v>28</v>
      </c>
    </row>
    <row r="526" spans="1:14" x14ac:dyDescent="0.3">
      <c r="A526">
        <v>525</v>
      </c>
      <c r="B526">
        <v>40566</v>
      </c>
      <c r="C526">
        <v>0.95833333333333326</v>
      </c>
      <c r="D526" t="s">
        <v>8</v>
      </c>
      <c r="E526" t="s">
        <v>9</v>
      </c>
      <c r="F526" t="s">
        <v>12</v>
      </c>
      <c r="G526" t="s">
        <v>18</v>
      </c>
      <c r="H526">
        <v>0.06</v>
      </c>
      <c r="I526">
        <v>6.0600000000000001E-2</v>
      </c>
      <c r="J526">
        <v>0.41</v>
      </c>
      <c r="K526">
        <v>0.22389999999999999</v>
      </c>
      <c r="L526">
        <v>4</v>
      </c>
      <c r="M526">
        <v>17</v>
      </c>
      <c r="N526">
        <v>21</v>
      </c>
    </row>
    <row r="527" spans="1:14" x14ac:dyDescent="0.3">
      <c r="A527">
        <v>526</v>
      </c>
      <c r="B527">
        <v>40567</v>
      </c>
      <c r="C527">
        <v>0</v>
      </c>
      <c r="D527" t="s">
        <v>8</v>
      </c>
      <c r="E527" t="s">
        <v>9</v>
      </c>
      <c r="F527" t="s">
        <v>13</v>
      </c>
      <c r="G527" t="s">
        <v>18</v>
      </c>
      <c r="H527">
        <v>0.06</v>
      </c>
      <c r="I527">
        <v>6.0600000000000001E-2</v>
      </c>
      <c r="J527">
        <v>0.41</v>
      </c>
      <c r="K527">
        <v>0.19400000000000001</v>
      </c>
      <c r="L527">
        <v>0</v>
      </c>
      <c r="M527">
        <v>7</v>
      </c>
      <c r="N527">
        <v>7</v>
      </c>
    </row>
    <row r="528" spans="1:14" x14ac:dyDescent="0.3">
      <c r="A528">
        <v>527</v>
      </c>
      <c r="B528">
        <v>40567</v>
      </c>
      <c r="C528">
        <v>4.1666666666666741E-2</v>
      </c>
      <c r="D528" t="s">
        <v>8</v>
      </c>
      <c r="E528" t="s">
        <v>9</v>
      </c>
      <c r="F528" t="s">
        <v>13</v>
      </c>
      <c r="G528" t="s">
        <v>18</v>
      </c>
      <c r="H528">
        <v>0.04</v>
      </c>
      <c r="I528">
        <v>4.5499999999999999E-2</v>
      </c>
      <c r="J528">
        <v>0.45</v>
      </c>
      <c r="K528">
        <v>0.19400000000000001</v>
      </c>
      <c r="L528">
        <v>0</v>
      </c>
      <c r="M528">
        <v>1</v>
      </c>
      <c r="N528">
        <v>1</v>
      </c>
    </row>
    <row r="529" spans="1:14" x14ac:dyDescent="0.3">
      <c r="A529">
        <v>528</v>
      </c>
      <c r="B529">
        <v>40567</v>
      </c>
      <c r="C529">
        <v>0.125</v>
      </c>
      <c r="D529" t="s">
        <v>8</v>
      </c>
      <c r="E529" t="s">
        <v>9</v>
      </c>
      <c r="F529" t="s">
        <v>13</v>
      </c>
      <c r="G529" t="s">
        <v>18</v>
      </c>
      <c r="H529">
        <v>0.04</v>
      </c>
      <c r="I529">
        <v>3.0300000000000001E-2</v>
      </c>
      <c r="J529">
        <v>0.45</v>
      </c>
      <c r="K529">
        <v>0.25369999999999998</v>
      </c>
      <c r="L529">
        <v>0</v>
      </c>
      <c r="M529">
        <v>1</v>
      </c>
      <c r="N529">
        <v>1</v>
      </c>
    </row>
    <row r="530" spans="1:14" x14ac:dyDescent="0.3">
      <c r="A530">
        <v>529</v>
      </c>
      <c r="B530">
        <v>40567</v>
      </c>
      <c r="C530">
        <v>0.16666666666666674</v>
      </c>
      <c r="D530" t="s">
        <v>8</v>
      </c>
      <c r="E530" t="s">
        <v>9</v>
      </c>
      <c r="F530" t="s">
        <v>13</v>
      </c>
      <c r="G530" t="s">
        <v>18</v>
      </c>
      <c r="H530">
        <v>0.02</v>
      </c>
      <c r="I530">
        <v>6.0600000000000001E-2</v>
      </c>
      <c r="J530">
        <v>0.48</v>
      </c>
      <c r="K530">
        <v>0.1343</v>
      </c>
      <c r="L530">
        <v>0</v>
      </c>
      <c r="M530">
        <v>1</v>
      </c>
      <c r="N530">
        <v>1</v>
      </c>
    </row>
    <row r="531" spans="1:14" x14ac:dyDescent="0.3">
      <c r="A531">
        <v>530</v>
      </c>
      <c r="B531">
        <v>40567</v>
      </c>
      <c r="C531">
        <v>0.20833333333333326</v>
      </c>
      <c r="D531" t="s">
        <v>8</v>
      </c>
      <c r="E531" t="s">
        <v>9</v>
      </c>
      <c r="F531" t="s">
        <v>13</v>
      </c>
      <c r="G531" t="s">
        <v>18</v>
      </c>
      <c r="H531">
        <v>0.02</v>
      </c>
      <c r="I531">
        <v>6.0600000000000001E-2</v>
      </c>
      <c r="J531">
        <v>0.48</v>
      </c>
      <c r="K531">
        <v>0.1343</v>
      </c>
      <c r="L531">
        <v>0</v>
      </c>
      <c r="M531">
        <v>5</v>
      </c>
      <c r="N531">
        <v>5</v>
      </c>
    </row>
    <row r="532" spans="1:14" x14ac:dyDescent="0.3">
      <c r="A532">
        <v>531</v>
      </c>
      <c r="B532">
        <v>40567</v>
      </c>
      <c r="C532">
        <v>0.25</v>
      </c>
      <c r="D532" t="s">
        <v>8</v>
      </c>
      <c r="E532" t="s">
        <v>9</v>
      </c>
      <c r="F532" t="s">
        <v>13</v>
      </c>
      <c r="G532" t="s">
        <v>18</v>
      </c>
      <c r="H532">
        <v>0.02</v>
      </c>
      <c r="I532">
        <v>7.5800000000000006E-2</v>
      </c>
      <c r="J532">
        <v>0.48</v>
      </c>
      <c r="K532">
        <v>8.9599999999999999E-2</v>
      </c>
      <c r="L532">
        <v>0</v>
      </c>
      <c r="M532">
        <v>15</v>
      </c>
      <c r="N532">
        <v>15</v>
      </c>
    </row>
    <row r="533" spans="1:14" x14ac:dyDescent="0.3">
      <c r="A533">
        <v>532</v>
      </c>
      <c r="B533">
        <v>40567</v>
      </c>
      <c r="C533">
        <v>0.29166666666666674</v>
      </c>
      <c r="D533" t="s">
        <v>8</v>
      </c>
      <c r="E533" t="s">
        <v>9</v>
      </c>
      <c r="F533" t="s">
        <v>13</v>
      </c>
      <c r="G533" t="s">
        <v>18</v>
      </c>
      <c r="H533">
        <v>0.02</v>
      </c>
      <c r="I533">
        <v>0.1212</v>
      </c>
      <c r="J533">
        <v>0.48</v>
      </c>
      <c r="K533">
        <v>0</v>
      </c>
      <c r="L533">
        <v>5</v>
      </c>
      <c r="M533">
        <v>79</v>
      </c>
      <c r="N533">
        <v>84</v>
      </c>
    </row>
    <row r="534" spans="1:14" x14ac:dyDescent="0.3">
      <c r="A534">
        <v>533</v>
      </c>
      <c r="B534">
        <v>40567</v>
      </c>
      <c r="C534">
        <v>0.33333333333333326</v>
      </c>
      <c r="D534" t="s">
        <v>8</v>
      </c>
      <c r="E534" t="s">
        <v>9</v>
      </c>
      <c r="F534" t="s">
        <v>13</v>
      </c>
      <c r="G534" t="s">
        <v>18</v>
      </c>
      <c r="H534">
        <v>0.04</v>
      </c>
      <c r="I534">
        <v>0.13639999999999999</v>
      </c>
      <c r="J534">
        <v>0.49</v>
      </c>
      <c r="K534">
        <v>0</v>
      </c>
      <c r="L534">
        <v>6</v>
      </c>
      <c r="M534">
        <v>171</v>
      </c>
      <c r="N534">
        <v>177</v>
      </c>
    </row>
    <row r="535" spans="1:14" x14ac:dyDescent="0.3">
      <c r="A535">
        <v>534</v>
      </c>
      <c r="B535">
        <v>40567</v>
      </c>
      <c r="C535">
        <v>0.375</v>
      </c>
      <c r="D535" t="s">
        <v>8</v>
      </c>
      <c r="E535" t="s">
        <v>9</v>
      </c>
      <c r="F535" t="s">
        <v>13</v>
      </c>
      <c r="G535" t="s">
        <v>18</v>
      </c>
      <c r="H535">
        <v>0.06</v>
      </c>
      <c r="I535">
        <v>0.1515</v>
      </c>
      <c r="J535">
        <v>0.41</v>
      </c>
      <c r="K535">
        <v>0</v>
      </c>
      <c r="L535">
        <v>4</v>
      </c>
      <c r="M535">
        <v>98</v>
      </c>
      <c r="N535">
        <v>102</v>
      </c>
    </row>
    <row r="536" spans="1:14" x14ac:dyDescent="0.3">
      <c r="A536">
        <v>535</v>
      </c>
      <c r="B536">
        <v>40567</v>
      </c>
      <c r="C536">
        <v>0.41666666666666674</v>
      </c>
      <c r="D536" t="s">
        <v>8</v>
      </c>
      <c r="E536" t="s">
        <v>9</v>
      </c>
      <c r="F536" t="s">
        <v>13</v>
      </c>
      <c r="G536" t="s">
        <v>18</v>
      </c>
      <c r="H536">
        <v>0.1</v>
      </c>
      <c r="I536">
        <v>0.13639999999999999</v>
      </c>
      <c r="J536">
        <v>0.42</v>
      </c>
      <c r="K536">
        <v>0</v>
      </c>
      <c r="L536">
        <v>6</v>
      </c>
      <c r="M536">
        <v>34</v>
      </c>
      <c r="N536">
        <v>40</v>
      </c>
    </row>
    <row r="537" spans="1:14" x14ac:dyDescent="0.3">
      <c r="A537">
        <v>536</v>
      </c>
      <c r="B537">
        <v>40567</v>
      </c>
      <c r="C537">
        <v>0.45833333333333326</v>
      </c>
      <c r="D537" t="s">
        <v>8</v>
      </c>
      <c r="E537" t="s">
        <v>9</v>
      </c>
      <c r="F537" t="s">
        <v>13</v>
      </c>
      <c r="G537" t="s">
        <v>18</v>
      </c>
      <c r="H537">
        <v>0.1</v>
      </c>
      <c r="I537">
        <v>0.1212</v>
      </c>
      <c r="J537">
        <v>0.46</v>
      </c>
      <c r="K537">
        <v>0.1343</v>
      </c>
      <c r="L537">
        <v>3</v>
      </c>
      <c r="M537">
        <v>43</v>
      </c>
      <c r="N537">
        <v>46</v>
      </c>
    </row>
    <row r="538" spans="1:14" x14ac:dyDescent="0.3">
      <c r="A538">
        <v>537</v>
      </c>
      <c r="B538">
        <v>40567</v>
      </c>
      <c r="C538">
        <v>0.5</v>
      </c>
      <c r="D538" t="s">
        <v>8</v>
      </c>
      <c r="E538" t="s">
        <v>9</v>
      </c>
      <c r="F538" t="s">
        <v>13</v>
      </c>
      <c r="G538" t="s">
        <v>19</v>
      </c>
      <c r="H538">
        <v>0.12</v>
      </c>
      <c r="I538">
        <v>0.13639999999999999</v>
      </c>
      <c r="J538">
        <v>0.42</v>
      </c>
      <c r="K538">
        <v>0.19400000000000001</v>
      </c>
      <c r="L538">
        <v>11</v>
      </c>
      <c r="M538">
        <v>52</v>
      </c>
      <c r="N538">
        <v>63</v>
      </c>
    </row>
    <row r="539" spans="1:14" x14ac:dyDescent="0.3">
      <c r="A539">
        <v>538</v>
      </c>
      <c r="B539">
        <v>40567</v>
      </c>
      <c r="C539">
        <v>0.54166666666666674</v>
      </c>
      <c r="D539" t="s">
        <v>8</v>
      </c>
      <c r="E539" t="s">
        <v>9</v>
      </c>
      <c r="F539" t="s">
        <v>13</v>
      </c>
      <c r="G539" t="s">
        <v>19</v>
      </c>
      <c r="H539">
        <v>0.14000000000000001</v>
      </c>
      <c r="I539">
        <v>0.13639999999999999</v>
      </c>
      <c r="J539">
        <v>0.43</v>
      </c>
      <c r="K539">
        <v>0.22389999999999999</v>
      </c>
      <c r="L539">
        <v>6</v>
      </c>
      <c r="M539">
        <v>54</v>
      </c>
      <c r="N539">
        <v>60</v>
      </c>
    </row>
    <row r="540" spans="1:14" x14ac:dyDescent="0.3">
      <c r="A540">
        <v>539</v>
      </c>
      <c r="B540">
        <v>40567</v>
      </c>
      <c r="C540">
        <v>0.58333333333333326</v>
      </c>
      <c r="D540" t="s">
        <v>8</v>
      </c>
      <c r="E540" t="s">
        <v>9</v>
      </c>
      <c r="F540" t="s">
        <v>13</v>
      </c>
      <c r="G540" t="s">
        <v>19</v>
      </c>
      <c r="H540">
        <v>0.14000000000000001</v>
      </c>
      <c r="I540">
        <v>0.13639999999999999</v>
      </c>
      <c r="J540">
        <v>0.46</v>
      </c>
      <c r="K540">
        <v>0.22389999999999999</v>
      </c>
      <c r="L540">
        <v>2</v>
      </c>
      <c r="M540">
        <v>43</v>
      </c>
      <c r="N540">
        <v>45</v>
      </c>
    </row>
    <row r="541" spans="1:14" x14ac:dyDescent="0.3">
      <c r="A541">
        <v>540</v>
      </c>
      <c r="B541">
        <v>40567</v>
      </c>
      <c r="C541">
        <v>0.625</v>
      </c>
      <c r="D541" t="s">
        <v>8</v>
      </c>
      <c r="E541" t="s">
        <v>9</v>
      </c>
      <c r="F541" t="s">
        <v>13</v>
      </c>
      <c r="G541" t="s">
        <v>18</v>
      </c>
      <c r="H541">
        <v>0.16</v>
      </c>
      <c r="I541">
        <v>0.16669999999999999</v>
      </c>
      <c r="J541">
        <v>0.4</v>
      </c>
      <c r="K541">
        <v>0.16420000000000001</v>
      </c>
      <c r="L541">
        <v>7</v>
      </c>
      <c r="M541">
        <v>50</v>
      </c>
      <c r="N541">
        <v>57</v>
      </c>
    </row>
    <row r="542" spans="1:14" x14ac:dyDescent="0.3">
      <c r="A542">
        <v>541</v>
      </c>
      <c r="B542">
        <v>40567</v>
      </c>
      <c r="C542">
        <v>0.66666666666666674</v>
      </c>
      <c r="D542" t="s">
        <v>8</v>
      </c>
      <c r="E542" t="s">
        <v>9</v>
      </c>
      <c r="F542" t="s">
        <v>13</v>
      </c>
      <c r="G542" t="s">
        <v>18</v>
      </c>
      <c r="H542">
        <v>0.16</v>
      </c>
      <c r="I542">
        <v>0.1515</v>
      </c>
      <c r="J542">
        <v>0.47</v>
      </c>
      <c r="K542">
        <v>0.25369999999999998</v>
      </c>
      <c r="L542">
        <v>4</v>
      </c>
      <c r="M542">
        <v>66</v>
      </c>
      <c r="N542">
        <v>70</v>
      </c>
    </row>
    <row r="543" spans="1:14" x14ac:dyDescent="0.3">
      <c r="A543">
        <v>542</v>
      </c>
      <c r="B543">
        <v>40567</v>
      </c>
      <c r="C543">
        <v>0.70833333333333326</v>
      </c>
      <c r="D543" t="s">
        <v>8</v>
      </c>
      <c r="E543" t="s">
        <v>9</v>
      </c>
      <c r="F543" t="s">
        <v>13</v>
      </c>
      <c r="G543" t="s">
        <v>18</v>
      </c>
      <c r="H543">
        <v>0.14000000000000001</v>
      </c>
      <c r="I543">
        <v>0.1212</v>
      </c>
      <c r="J543">
        <v>0.5</v>
      </c>
      <c r="K543">
        <v>0.25369999999999998</v>
      </c>
      <c r="L543">
        <v>6</v>
      </c>
      <c r="M543">
        <v>178</v>
      </c>
      <c r="N543">
        <v>184</v>
      </c>
    </row>
    <row r="544" spans="1:14" x14ac:dyDescent="0.3">
      <c r="A544">
        <v>543</v>
      </c>
      <c r="B544">
        <v>40567</v>
      </c>
      <c r="C544">
        <v>0.75</v>
      </c>
      <c r="D544" t="s">
        <v>8</v>
      </c>
      <c r="E544" t="s">
        <v>9</v>
      </c>
      <c r="F544" t="s">
        <v>13</v>
      </c>
      <c r="G544" t="s">
        <v>18</v>
      </c>
      <c r="H544">
        <v>0.14000000000000001</v>
      </c>
      <c r="I544">
        <v>0.13639999999999999</v>
      </c>
      <c r="J544">
        <v>0.59</v>
      </c>
      <c r="K544">
        <v>0.19400000000000001</v>
      </c>
      <c r="L544">
        <v>8</v>
      </c>
      <c r="M544">
        <v>145</v>
      </c>
      <c r="N544">
        <v>153</v>
      </c>
    </row>
    <row r="545" spans="1:14" x14ac:dyDescent="0.3">
      <c r="A545">
        <v>544</v>
      </c>
      <c r="B545">
        <v>40567</v>
      </c>
      <c r="C545">
        <v>0.79166666666666674</v>
      </c>
      <c r="D545" t="s">
        <v>8</v>
      </c>
      <c r="E545" t="s">
        <v>9</v>
      </c>
      <c r="F545" t="s">
        <v>13</v>
      </c>
      <c r="G545" t="s">
        <v>18</v>
      </c>
      <c r="H545">
        <v>0.14000000000000001</v>
      </c>
      <c r="I545">
        <v>0.1515</v>
      </c>
      <c r="J545">
        <v>0.54</v>
      </c>
      <c r="K545">
        <v>0.16420000000000001</v>
      </c>
      <c r="L545">
        <v>5</v>
      </c>
      <c r="M545">
        <v>101</v>
      </c>
      <c r="N545">
        <v>106</v>
      </c>
    </row>
    <row r="546" spans="1:14" x14ac:dyDescent="0.3">
      <c r="A546">
        <v>545</v>
      </c>
      <c r="B546">
        <v>40567</v>
      </c>
      <c r="C546">
        <v>0.83333333333333326</v>
      </c>
      <c r="D546" t="s">
        <v>8</v>
      </c>
      <c r="E546" t="s">
        <v>9</v>
      </c>
      <c r="F546" t="s">
        <v>13</v>
      </c>
      <c r="G546" t="s">
        <v>18</v>
      </c>
      <c r="H546">
        <v>0.14000000000000001</v>
      </c>
      <c r="I546">
        <v>0.13639999999999999</v>
      </c>
      <c r="J546">
        <v>0.59</v>
      </c>
      <c r="K546">
        <v>0.19400000000000001</v>
      </c>
      <c r="L546">
        <v>1</v>
      </c>
      <c r="M546">
        <v>80</v>
      </c>
      <c r="N546">
        <v>81</v>
      </c>
    </row>
    <row r="547" spans="1:14" x14ac:dyDescent="0.3">
      <c r="A547">
        <v>546</v>
      </c>
      <c r="B547">
        <v>40567</v>
      </c>
      <c r="C547">
        <v>0.875</v>
      </c>
      <c r="D547" t="s">
        <v>8</v>
      </c>
      <c r="E547" t="s">
        <v>9</v>
      </c>
      <c r="F547" t="s">
        <v>13</v>
      </c>
      <c r="G547" t="s">
        <v>18</v>
      </c>
      <c r="H547">
        <v>0.14000000000000001</v>
      </c>
      <c r="I547">
        <v>0.1515</v>
      </c>
      <c r="J547">
        <v>0.63</v>
      </c>
      <c r="K547">
        <v>0.16420000000000001</v>
      </c>
      <c r="L547">
        <v>6</v>
      </c>
      <c r="M547">
        <v>53</v>
      </c>
      <c r="N547">
        <v>59</v>
      </c>
    </row>
    <row r="548" spans="1:14" x14ac:dyDescent="0.3">
      <c r="A548">
        <v>547</v>
      </c>
      <c r="B548">
        <v>40567</v>
      </c>
      <c r="C548">
        <v>0.91666666666666674</v>
      </c>
      <c r="D548" t="s">
        <v>8</v>
      </c>
      <c r="E548" t="s">
        <v>9</v>
      </c>
      <c r="F548" t="s">
        <v>13</v>
      </c>
      <c r="G548" t="s">
        <v>19</v>
      </c>
      <c r="H548">
        <v>0.14000000000000001</v>
      </c>
      <c r="I548">
        <v>0.13639999999999999</v>
      </c>
      <c r="J548">
        <v>0.63</v>
      </c>
      <c r="K548">
        <v>0.22389999999999999</v>
      </c>
      <c r="L548">
        <v>3</v>
      </c>
      <c r="M548">
        <v>32</v>
      </c>
      <c r="N548">
        <v>35</v>
      </c>
    </row>
    <row r="549" spans="1:14" x14ac:dyDescent="0.3">
      <c r="A549">
        <v>548</v>
      </c>
      <c r="B549">
        <v>40567</v>
      </c>
      <c r="C549">
        <v>0.95833333333333326</v>
      </c>
      <c r="D549" t="s">
        <v>8</v>
      </c>
      <c r="E549" t="s">
        <v>9</v>
      </c>
      <c r="F549" t="s">
        <v>13</v>
      </c>
      <c r="G549" t="s">
        <v>19</v>
      </c>
      <c r="H549">
        <v>0.16</v>
      </c>
      <c r="I549">
        <v>0.1515</v>
      </c>
      <c r="J549">
        <v>0.64</v>
      </c>
      <c r="K549">
        <v>0.25369999999999998</v>
      </c>
      <c r="L549">
        <v>3</v>
      </c>
      <c r="M549">
        <v>21</v>
      </c>
      <c r="N549">
        <v>24</v>
      </c>
    </row>
    <row r="550" spans="1:14" x14ac:dyDescent="0.3">
      <c r="A550">
        <v>549</v>
      </c>
      <c r="B550">
        <v>40568</v>
      </c>
      <c r="C550">
        <v>0</v>
      </c>
      <c r="D550" t="s">
        <v>8</v>
      </c>
      <c r="E550" t="s">
        <v>9</v>
      </c>
      <c r="F550" t="s">
        <v>14</v>
      </c>
      <c r="G550" t="s">
        <v>19</v>
      </c>
      <c r="H550">
        <v>0.16</v>
      </c>
      <c r="I550">
        <v>0.13639999999999999</v>
      </c>
      <c r="J550">
        <v>0.69</v>
      </c>
      <c r="K550">
        <v>0.28360000000000002</v>
      </c>
      <c r="L550">
        <v>3</v>
      </c>
      <c r="M550">
        <v>6</v>
      </c>
      <c r="N550">
        <v>9</v>
      </c>
    </row>
    <row r="551" spans="1:14" x14ac:dyDescent="0.3">
      <c r="A551">
        <v>550</v>
      </c>
      <c r="B551">
        <v>40568</v>
      </c>
      <c r="C551">
        <v>4.1666666666666741E-2</v>
      </c>
      <c r="D551" t="s">
        <v>8</v>
      </c>
      <c r="E551" t="s">
        <v>9</v>
      </c>
      <c r="F551" t="s">
        <v>14</v>
      </c>
      <c r="G551" t="s">
        <v>19</v>
      </c>
      <c r="H551">
        <v>0.16</v>
      </c>
      <c r="I551">
        <v>0.16669999999999999</v>
      </c>
      <c r="J551">
        <v>0.69</v>
      </c>
      <c r="K551">
        <v>0.16420000000000001</v>
      </c>
      <c r="L551">
        <v>0</v>
      </c>
      <c r="M551">
        <v>5</v>
      </c>
      <c r="N551">
        <v>5</v>
      </c>
    </row>
    <row r="552" spans="1:14" x14ac:dyDescent="0.3">
      <c r="A552">
        <v>551</v>
      </c>
      <c r="B552">
        <v>40568</v>
      </c>
      <c r="C552">
        <v>8.3333333333333259E-2</v>
      </c>
      <c r="D552" t="s">
        <v>8</v>
      </c>
      <c r="E552" t="s">
        <v>9</v>
      </c>
      <c r="F552" t="s">
        <v>14</v>
      </c>
      <c r="G552" t="s">
        <v>18</v>
      </c>
      <c r="H552">
        <v>0.16</v>
      </c>
      <c r="I552">
        <v>0.1515</v>
      </c>
      <c r="J552">
        <v>0.69</v>
      </c>
      <c r="K552">
        <v>0.22389999999999999</v>
      </c>
      <c r="L552">
        <v>0</v>
      </c>
      <c r="M552">
        <v>2</v>
      </c>
      <c r="N552">
        <v>2</v>
      </c>
    </row>
    <row r="553" spans="1:14" x14ac:dyDescent="0.3">
      <c r="A553">
        <v>552</v>
      </c>
      <c r="B553">
        <v>40568</v>
      </c>
      <c r="C553">
        <v>0.16666666666666674</v>
      </c>
      <c r="D553" t="s">
        <v>8</v>
      </c>
      <c r="E553" t="s">
        <v>9</v>
      </c>
      <c r="F553" t="s">
        <v>14</v>
      </c>
      <c r="G553" t="s">
        <v>18</v>
      </c>
      <c r="H553">
        <v>0.14000000000000001</v>
      </c>
      <c r="I553">
        <v>0.16669999999999999</v>
      </c>
      <c r="J553">
        <v>0.74</v>
      </c>
      <c r="K553">
        <v>0.1045</v>
      </c>
      <c r="L553">
        <v>0</v>
      </c>
      <c r="M553">
        <v>1</v>
      </c>
      <c r="N553">
        <v>1</v>
      </c>
    </row>
    <row r="554" spans="1:14" x14ac:dyDescent="0.3">
      <c r="A554">
        <v>553</v>
      </c>
      <c r="B554">
        <v>40568</v>
      </c>
      <c r="C554">
        <v>0.20833333333333326</v>
      </c>
      <c r="D554" t="s">
        <v>8</v>
      </c>
      <c r="E554" t="s">
        <v>9</v>
      </c>
      <c r="F554" t="s">
        <v>14</v>
      </c>
      <c r="G554" t="s">
        <v>18</v>
      </c>
      <c r="H554">
        <v>0.14000000000000001</v>
      </c>
      <c r="I554">
        <v>0.13639999999999999</v>
      </c>
      <c r="J554">
        <v>0.74</v>
      </c>
      <c r="K554">
        <v>0.22389999999999999</v>
      </c>
      <c r="L554">
        <v>0</v>
      </c>
      <c r="M554">
        <v>9</v>
      </c>
      <c r="N554">
        <v>9</v>
      </c>
    </row>
    <row r="555" spans="1:14" x14ac:dyDescent="0.3">
      <c r="A555">
        <v>554</v>
      </c>
      <c r="B555">
        <v>40568</v>
      </c>
      <c r="C555">
        <v>0.25</v>
      </c>
      <c r="D555" t="s">
        <v>8</v>
      </c>
      <c r="E555" t="s">
        <v>9</v>
      </c>
      <c r="F555" t="s">
        <v>14</v>
      </c>
      <c r="G555" t="s">
        <v>18</v>
      </c>
      <c r="H555">
        <v>0.16</v>
      </c>
      <c r="I555">
        <v>0.18179999999999999</v>
      </c>
      <c r="J555">
        <v>0.74</v>
      </c>
      <c r="K555">
        <v>0.1045</v>
      </c>
      <c r="L555">
        <v>1</v>
      </c>
      <c r="M555">
        <v>35</v>
      </c>
      <c r="N555">
        <v>36</v>
      </c>
    </row>
    <row r="556" spans="1:14" x14ac:dyDescent="0.3">
      <c r="A556">
        <v>555</v>
      </c>
      <c r="B556">
        <v>40568</v>
      </c>
      <c r="C556">
        <v>0.29166666666666674</v>
      </c>
      <c r="D556" t="s">
        <v>8</v>
      </c>
      <c r="E556" t="s">
        <v>9</v>
      </c>
      <c r="F556" t="s">
        <v>14</v>
      </c>
      <c r="G556" t="s">
        <v>18</v>
      </c>
      <c r="H556">
        <v>0.16</v>
      </c>
      <c r="I556">
        <v>0.1515</v>
      </c>
      <c r="J556">
        <v>0.74</v>
      </c>
      <c r="K556">
        <v>0.22389999999999999</v>
      </c>
      <c r="L556">
        <v>5</v>
      </c>
      <c r="M556">
        <v>103</v>
      </c>
      <c r="N556">
        <v>108</v>
      </c>
    </row>
    <row r="557" spans="1:14" x14ac:dyDescent="0.3">
      <c r="A557">
        <v>556</v>
      </c>
      <c r="B557">
        <v>40568</v>
      </c>
      <c r="C557">
        <v>0.33333333333333326</v>
      </c>
      <c r="D557" t="s">
        <v>8</v>
      </c>
      <c r="E557" t="s">
        <v>9</v>
      </c>
      <c r="F557" t="s">
        <v>14</v>
      </c>
      <c r="G557" t="s">
        <v>19</v>
      </c>
      <c r="H557">
        <v>0.16</v>
      </c>
      <c r="I557">
        <v>0.18179999999999999</v>
      </c>
      <c r="J557">
        <v>0.74</v>
      </c>
      <c r="K557">
        <v>0.1343</v>
      </c>
      <c r="L557">
        <v>5</v>
      </c>
      <c r="M557">
        <v>233</v>
      </c>
      <c r="N557">
        <v>238</v>
      </c>
    </row>
    <row r="558" spans="1:14" x14ac:dyDescent="0.3">
      <c r="A558">
        <v>557</v>
      </c>
      <c r="B558">
        <v>40568</v>
      </c>
      <c r="C558">
        <v>0.375</v>
      </c>
      <c r="D558" t="s">
        <v>8</v>
      </c>
      <c r="E558" t="s">
        <v>9</v>
      </c>
      <c r="F558" t="s">
        <v>14</v>
      </c>
      <c r="G558" t="s">
        <v>19</v>
      </c>
      <c r="H558">
        <v>0.2</v>
      </c>
      <c r="I558">
        <v>0.2273</v>
      </c>
      <c r="J558">
        <v>0.64</v>
      </c>
      <c r="K558">
        <v>8.9599999999999999E-2</v>
      </c>
      <c r="L558">
        <v>10</v>
      </c>
      <c r="M558">
        <v>134</v>
      </c>
      <c r="N558">
        <v>144</v>
      </c>
    </row>
    <row r="559" spans="1:14" x14ac:dyDescent="0.3">
      <c r="A559">
        <v>558</v>
      </c>
      <c r="B559">
        <v>40568</v>
      </c>
      <c r="C559">
        <v>0.41666666666666674</v>
      </c>
      <c r="D559" t="s">
        <v>8</v>
      </c>
      <c r="E559" t="s">
        <v>9</v>
      </c>
      <c r="F559" t="s">
        <v>14</v>
      </c>
      <c r="G559" t="s">
        <v>19</v>
      </c>
      <c r="H559">
        <v>0.22</v>
      </c>
      <c r="I559">
        <v>0.2424</v>
      </c>
      <c r="J559">
        <v>0.6</v>
      </c>
      <c r="K559">
        <v>0.1045</v>
      </c>
      <c r="L559">
        <v>6</v>
      </c>
      <c r="M559">
        <v>49</v>
      </c>
      <c r="N559">
        <v>55</v>
      </c>
    </row>
    <row r="560" spans="1:14" x14ac:dyDescent="0.3">
      <c r="A560">
        <v>559</v>
      </c>
      <c r="B560">
        <v>40568</v>
      </c>
      <c r="C560">
        <v>0.45833333333333326</v>
      </c>
      <c r="D560" t="s">
        <v>8</v>
      </c>
      <c r="E560" t="s">
        <v>9</v>
      </c>
      <c r="F560" t="s">
        <v>14</v>
      </c>
      <c r="G560" t="s">
        <v>19</v>
      </c>
      <c r="H560">
        <v>0.24</v>
      </c>
      <c r="I560">
        <v>0.2424</v>
      </c>
      <c r="J560">
        <v>0.6</v>
      </c>
      <c r="K560">
        <v>0.1343</v>
      </c>
      <c r="L560">
        <v>6</v>
      </c>
      <c r="M560">
        <v>55</v>
      </c>
      <c r="N560">
        <v>61</v>
      </c>
    </row>
    <row r="561" spans="1:14" x14ac:dyDescent="0.3">
      <c r="A561">
        <v>560</v>
      </c>
      <c r="B561">
        <v>40568</v>
      </c>
      <c r="C561">
        <v>0.5</v>
      </c>
      <c r="D561" t="s">
        <v>8</v>
      </c>
      <c r="E561" t="s">
        <v>9</v>
      </c>
      <c r="F561" t="s">
        <v>14</v>
      </c>
      <c r="G561" t="s">
        <v>19</v>
      </c>
      <c r="H561">
        <v>0.26</v>
      </c>
      <c r="I561">
        <v>0.28789999999999999</v>
      </c>
      <c r="J561">
        <v>0.56000000000000005</v>
      </c>
      <c r="K561">
        <v>8.9599999999999999E-2</v>
      </c>
      <c r="L561">
        <v>21</v>
      </c>
      <c r="M561">
        <v>85</v>
      </c>
      <c r="N561">
        <v>106</v>
      </c>
    </row>
    <row r="562" spans="1:14" x14ac:dyDescent="0.3">
      <c r="A562">
        <v>561</v>
      </c>
      <c r="B562">
        <v>40568</v>
      </c>
      <c r="C562">
        <v>0.54166666666666674</v>
      </c>
      <c r="D562" t="s">
        <v>8</v>
      </c>
      <c r="E562" t="s">
        <v>9</v>
      </c>
      <c r="F562" t="s">
        <v>14</v>
      </c>
      <c r="G562" t="s">
        <v>19</v>
      </c>
      <c r="H562">
        <v>0.26</v>
      </c>
      <c r="I562">
        <v>0.2727</v>
      </c>
      <c r="J562">
        <v>0.56000000000000005</v>
      </c>
      <c r="K562">
        <v>0.1343</v>
      </c>
      <c r="L562">
        <v>21</v>
      </c>
      <c r="M562">
        <v>72</v>
      </c>
      <c r="N562">
        <v>93</v>
      </c>
    </row>
    <row r="563" spans="1:14" x14ac:dyDescent="0.3">
      <c r="A563">
        <v>562</v>
      </c>
      <c r="B563">
        <v>40568</v>
      </c>
      <c r="C563">
        <v>0.58333333333333326</v>
      </c>
      <c r="D563" t="s">
        <v>8</v>
      </c>
      <c r="E563" t="s">
        <v>9</v>
      </c>
      <c r="F563" t="s">
        <v>14</v>
      </c>
      <c r="G563" t="s">
        <v>19</v>
      </c>
      <c r="H563">
        <v>0.3</v>
      </c>
      <c r="I563">
        <v>0.33329999999999999</v>
      </c>
      <c r="J563">
        <v>0.45</v>
      </c>
      <c r="K563">
        <v>0</v>
      </c>
      <c r="L563">
        <v>11</v>
      </c>
      <c r="M563">
        <v>57</v>
      </c>
      <c r="N563">
        <v>68</v>
      </c>
    </row>
    <row r="564" spans="1:14" x14ac:dyDescent="0.3">
      <c r="A564">
        <v>563</v>
      </c>
      <c r="B564">
        <v>40568</v>
      </c>
      <c r="C564">
        <v>0.625</v>
      </c>
      <c r="D564" t="s">
        <v>8</v>
      </c>
      <c r="E564" t="s">
        <v>9</v>
      </c>
      <c r="F564" t="s">
        <v>14</v>
      </c>
      <c r="G564" t="s">
        <v>19</v>
      </c>
      <c r="H564">
        <v>0.32</v>
      </c>
      <c r="I564">
        <v>0.34849999999999998</v>
      </c>
      <c r="J564">
        <v>0.42</v>
      </c>
      <c r="K564">
        <v>0</v>
      </c>
      <c r="L564">
        <v>21</v>
      </c>
      <c r="M564">
        <v>63</v>
      </c>
      <c r="N564">
        <v>84</v>
      </c>
    </row>
    <row r="565" spans="1:14" x14ac:dyDescent="0.3">
      <c r="A565">
        <v>564</v>
      </c>
      <c r="B565">
        <v>40568</v>
      </c>
      <c r="C565">
        <v>0.66666666666666674</v>
      </c>
      <c r="D565" t="s">
        <v>8</v>
      </c>
      <c r="E565" t="s">
        <v>9</v>
      </c>
      <c r="F565" t="s">
        <v>14</v>
      </c>
      <c r="G565" t="s">
        <v>19</v>
      </c>
      <c r="H565">
        <v>0.32</v>
      </c>
      <c r="I565">
        <v>0.34849999999999998</v>
      </c>
      <c r="J565">
        <v>0.42</v>
      </c>
      <c r="K565">
        <v>0</v>
      </c>
      <c r="L565">
        <v>14</v>
      </c>
      <c r="M565">
        <v>102</v>
      </c>
      <c r="N565">
        <v>116</v>
      </c>
    </row>
    <row r="566" spans="1:14" x14ac:dyDescent="0.3">
      <c r="A566">
        <v>565</v>
      </c>
      <c r="B566">
        <v>40568</v>
      </c>
      <c r="C566">
        <v>0.70833333333333326</v>
      </c>
      <c r="D566" t="s">
        <v>8</v>
      </c>
      <c r="E566" t="s">
        <v>9</v>
      </c>
      <c r="F566" t="s">
        <v>14</v>
      </c>
      <c r="G566" t="s">
        <v>18</v>
      </c>
      <c r="H566">
        <v>0.3</v>
      </c>
      <c r="I566">
        <v>0.33329999999999999</v>
      </c>
      <c r="J566">
        <v>0.45</v>
      </c>
      <c r="K566">
        <v>0</v>
      </c>
      <c r="L566">
        <v>14</v>
      </c>
      <c r="M566">
        <v>208</v>
      </c>
      <c r="N566">
        <v>222</v>
      </c>
    </row>
    <row r="567" spans="1:14" x14ac:dyDescent="0.3">
      <c r="A567">
        <v>566</v>
      </c>
      <c r="B567">
        <v>40568</v>
      </c>
      <c r="C567">
        <v>0.75</v>
      </c>
      <c r="D567" t="s">
        <v>8</v>
      </c>
      <c r="E567" t="s">
        <v>9</v>
      </c>
      <c r="F567" t="s">
        <v>14</v>
      </c>
      <c r="G567" t="s">
        <v>19</v>
      </c>
      <c r="H567">
        <v>0.3</v>
      </c>
      <c r="I567">
        <v>0.31819999999999998</v>
      </c>
      <c r="J567">
        <v>0.49</v>
      </c>
      <c r="K567">
        <v>8.9599999999999999E-2</v>
      </c>
      <c r="L567">
        <v>7</v>
      </c>
      <c r="M567">
        <v>218</v>
      </c>
      <c r="N567">
        <v>225</v>
      </c>
    </row>
    <row r="568" spans="1:14" x14ac:dyDescent="0.3">
      <c r="A568">
        <v>567</v>
      </c>
      <c r="B568">
        <v>40568</v>
      </c>
      <c r="C568">
        <v>0.79166666666666674</v>
      </c>
      <c r="D568" t="s">
        <v>8</v>
      </c>
      <c r="E568" t="s">
        <v>9</v>
      </c>
      <c r="F568" t="s">
        <v>14</v>
      </c>
      <c r="G568" t="s">
        <v>19</v>
      </c>
      <c r="H568">
        <v>0.26</v>
      </c>
      <c r="I568">
        <v>0.2576</v>
      </c>
      <c r="J568">
        <v>0.65</v>
      </c>
      <c r="K568">
        <v>0.16420000000000001</v>
      </c>
      <c r="L568">
        <v>13</v>
      </c>
      <c r="M568">
        <v>133</v>
      </c>
      <c r="N568">
        <v>146</v>
      </c>
    </row>
    <row r="569" spans="1:14" x14ac:dyDescent="0.3">
      <c r="A569">
        <v>568</v>
      </c>
      <c r="B569">
        <v>40568</v>
      </c>
      <c r="C569">
        <v>0.83333333333333326</v>
      </c>
      <c r="D569" t="s">
        <v>8</v>
      </c>
      <c r="E569" t="s">
        <v>9</v>
      </c>
      <c r="F569" t="s">
        <v>14</v>
      </c>
      <c r="G569" t="s">
        <v>18</v>
      </c>
      <c r="H569">
        <v>0.24</v>
      </c>
      <c r="I569">
        <v>0.2273</v>
      </c>
      <c r="J569">
        <v>0.65</v>
      </c>
      <c r="K569">
        <v>0.19400000000000001</v>
      </c>
      <c r="L569">
        <v>16</v>
      </c>
      <c r="M569">
        <v>103</v>
      </c>
      <c r="N569">
        <v>119</v>
      </c>
    </row>
    <row r="570" spans="1:14" x14ac:dyDescent="0.3">
      <c r="A570">
        <v>569</v>
      </c>
      <c r="B570">
        <v>40568</v>
      </c>
      <c r="C570">
        <v>0.875</v>
      </c>
      <c r="D570" t="s">
        <v>8</v>
      </c>
      <c r="E570" t="s">
        <v>9</v>
      </c>
      <c r="F570" t="s">
        <v>14</v>
      </c>
      <c r="G570" t="s">
        <v>18</v>
      </c>
      <c r="H570">
        <v>0.24</v>
      </c>
      <c r="I570">
        <v>0.2273</v>
      </c>
      <c r="J570">
        <v>0.65</v>
      </c>
      <c r="K570">
        <v>0.19400000000000001</v>
      </c>
      <c r="L570">
        <v>5</v>
      </c>
      <c r="M570">
        <v>40</v>
      </c>
      <c r="N570">
        <v>45</v>
      </c>
    </row>
    <row r="571" spans="1:14" x14ac:dyDescent="0.3">
      <c r="A571">
        <v>570</v>
      </c>
      <c r="B571">
        <v>40568</v>
      </c>
      <c r="C571">
        <v>0.91666666666666674</v>
      </c>
      <c r="D571" t="s">
        <v>8</v>
      </c>
      <c r="E571" t="s">
        <v>9</v>
      </c>
      <c r="F571" t="s">
        <v>14</v>
      </c>
      <c r="G571" t="s">
        <v>18</v>
      </c>
      <c r="H571">
        <v>0.22</v>
      </c>
      <c r="I571">
        <v>0.2273</v>
      </c>
      <c r="J571">
        <v>0.64</v>
      </c>
      <c r="K571">
        <v>0.16420000000000001</v>
      </c>
      <c r="L571">
        <v>4</v>
      </c>
      <c r="M571">
        <v>49</v>
      </c>
      <c r="N571">
        <v>53</v>
      </c>
    </row>
    <row r="572" spans="1:14" x14ac:dyDescent="0.3">
      <c r="A572">
        <v>571</v>
      </c>
      <c r="B572">
        <v>40568</v>
      </c>
      <c r="C572">
        <v>0.95833333333333326</v>
      </c>
      <c r="D572" t="s">
        <v>8</v>
      </c>
      <c r="E572" t="s">
        <v>9</v>
      </c>
      <c r="F572" t="s">
        <v>14</v>
      </c>
      <c r="G572" t="s">
        <v>19</v>
      </c>
      <c r="H572">
        <v>0.22</v>
      </c>
      <c r="I572">
        <v>0.2273</v>
      </c>
      <c r="J572">
        <v>0.64</v>
      </c>
      <c r="K572">
        <v>0.16420000000000001</v>
      </c>
      <c r="L572">
        <v>3</v>
      </c>
      <c r="M572">
        <v>37</v>
      </c>
      <c r="N572">
        <v>40</v>
      </c>
    </row>
    <row r="573" spans="1:14" x14ac:dyDescent="0.3">
      <c r="A573">
        <v>572</v>
      </c>
      <c r="B573">
        <v>40569</v>
      </c>
      <c r="C573">
        <v>0</v>
      </c>
      <c r="D573" t="s">
        <v>8</v>
      </c>
      <c r="E573" t="s">
        <v>9</v>
      </c>
      <c r="F573" t="s">
        <v>15</v>
      </c>
      <c r="G573" t="s">
        <v>19</v>
      </c>
      <c r="H573">
        <v>0.22</v>
      </c>
      <c r="I573">
        <v>0.2273</v>
      </c>
      <c r="J573">
        <v>0.69</v>
      </c>
      <c r="K573">
        <v>0.1343</v>
      </c>
      <c r="L573">
        <v>3</v>
      </c>
      <c r="M573">
        <v>14</v>
      </c>
      <c r="N573">
        <v>17</v>
      </c>
    </row>
    <row r="574" spans="1:14" x14ac:dyDescent="0.3">
      <c r="A574">
        <v>573</v>
      </c>
      <c r="B574">
        <v>40569</v>
      </c>
      <c r="C574">
        <v>4.1666666666666741E-2</v>
      </c>
      <c r="D574" t="s">
        <v>8</v>
      </c>
      <c r="E574" t="s">
        <v>9</v>
      </c>
      <c r="F574" t="s">
        <v>15</v>
      </c>
      <c r="G574" t="s">
        <v>19</v>
      </c>
      <c r="H574">
        <v>0.24</v>
      </c>
      <c r="I574">
        <v>0.2424</v>
      </c>
      <c r="J574">
        <v>0.65</v>
      </c>
      <c r="K574">
        <v>0.1343</v>
      </c>
      <c r="L574">
        <v>0</v>
      </c>
      <c r="M574">
        <v>5</v>
      </c>
      <c r="N574">
        <v>5</v>
      </c>
    </row>
    <row r="575" spans="1:14" x14ac:dyDescent="0.3">
      <c r="A575">
        <v>574</v>
      </c>
      <c r="B575">
        <v>40569</v>
      </c>
      <c r="C575">
        <v>8.3333333333333259E-2</v>
      </c>
      <c r="D575" t="s">
        <v>8</v>
      </c>
      <c r="E575" t="s">
        <v>9</v>
      </c>
      <c r="F575" t="s">
        <v>15</v>
      </c>
      <c r="G575" t="s">
        <v>20</v>
      </c>
      <c r="H575">
        <v>0.22</v>
      </c>
      <c r="I575">
        <v>0.2273</v>
      </c>
      <c r="J575">
        <v>0.69</v>
      </c>
      <c r="K575">
        <v>0.19400000000000001</v>
      </c>
      <c r="L575">
        <v>3</v>
      </c>
      <c r="M575">
        <v>7</v>
      </c>
      <c r="N575">
        <v>10</v>
      </c>
    </row>
    <row r="576" spans="1:14" x14ac:dyDescent="0.3">
      <c r="A576">
        <v>575</v>
      </c>
      <c r="B576">
        <v>40569</v>
      </c>
      <c r="C576">
        <v>0.20833333333333326</v>
      </c>
      <c r="D576" t="s">
        <v>8</v>
      </c>
      <c r="E576" t="s">
        <v>9</v>
      </c>
      <c r="F576" t="s">
        <v>15</v>
      </c>
      <c r="G576" t="s">
        <v>20</v>
      </c>
      <c r="H576">
        <v>0.2</v>
      </c>
      <c r="I576">
        <v>0.18179999999999999</v>
      </c>
      <c r="J576">
        <v>0.86</v>
      </c>
      <c r="K576">
        <v>0.28360000000000002</v>
      </c>
      <c r="L576">
        <v>0</v>
      </c>
      <c r="M576">
        <v>1</v>
      </c>
      <c r="N576">
        <v>1</v>
      </c>
    </row>
    <row r="577" spans="1:14" x14ac:dyDescent="0.3">
      <c r="A577">
        <v>576</v>
      </c>
      <c r="B577">
        <v>40569</v>
      </c>
      <c r="C577">
        <v>0.25</v>
      </c>
      <c r="D577" t="s">
        <v>8</v>
      </c>
      <c r="E577" t="s">
        <v>9</v>
      </c>
      <c r="F577" t="s">
        <v>15</v>
      </c>
      <c r="G577" t="s">
        <v>20</v>
      </c>
      <c r="H577">
        <v>0.2</v>
      </c>
      <c r="I577">
        <v>0.18179999999999999</v>
      </c>
      <c r="J577">
        <v>0.86</v>
      </c>
      <c r="K577">
        <v>0.28360000000000002</v>
      </c>
      <c r="L577">
        <v>0</v>
      </c>
      <c r="M577">
        <v>8</v>
      </c>
      <c r="N577">
        <v>8</v>
      </c>
    </row>
    <row r="578" spans="1:14" x14ac:dyDescent="0.3">
      <c r="A578">
        <v>577</v>
      </c>
      <c r="B578">
        <v>40569</v>
      </c>
      <c r="C578">
        <v>0.29166666666666674</v>
      </c>
      <c r="D578" t="s">
        <v>8</v>
      </c>
      <c r="E578" t="s">
        <v>9</v>
      </c>
      <c r="F578" t="s">
        <v>15</v>
      </c>
      <c r="G578" t="s">
        <v>20</v>
      </c>
      <c r="H578">
        <v>0.22</v>
      </c>
      <c r="I578">
        <v>0.21210000000000001</v>
      </c>
      <c r="J578">
        <v>0.87</v>
      </c>
      <c r="K578">
        <v>0.29849999999999999</v>
      </c>
      <c r="L578">
        <v>1</v>
      </c>
      <c r="M578">
        <v>29</v>
      </c>
      <c r="N578">
        <v>30</v>
      </c>
    </row>
    <row r="579" spans="1:14" x14ac:dyDescent="0.3">
      <c r="A579">
        <v>578</v>
      </c>
      <c r="B579">
        <v>40569</v>
      </c>
      <c r="C579">
        <v>0.33333333333333326</v>
      </c>
      <c r="D579" t="s">
        <v>8</v>
      </c>
      <c r="E579" t="s">
        <v>9</v>
      </c>
      <c r="F579" t="s">
        <v>15</v>
      </c>
      <c r="G579" t="s">
        <v>20</v>
      </c>
      <c r="H579">
        <v>0.22</v>
      </c>
      <c r="I579">
        <v>0.21210000000000001</v>
      </c>
      <c r="J579">
        <v>0.87</v>
      </c>
      <c r="K579">
        <v>0.29849999999999999</v>
      </c>
      <c r="L579">
        <v>3</v>
      </c>
      <c r="M579">
        <v>69</v>
      </c>
      <c r="N579">
        <v>72</v>
      </c>
    </row>
    <row r="580" spans="1:14" x14ac:dyDescent="0.3">
      <c r="A580">
        <v>579</v>
      </c>
      <c r="B580">
        <v>40569</v>
      </c>
      <c r="C580">
        <v>0.375</v>
      </c>
      <c r="D580" t="s">
        <v>8</v>
      </c>
      <c r="E580" t="s">
        <v>9</v>
      </c>
      <c r="F580" t="s">
        <v>15</v>
      </c>
      <c r="G580" t="s">
        <v>20</v>
      </c>
      <c r="H580">
        <v>0.22</v>
      </c>
      <c r="I580">
        <v>0.21210000000000001</v>
      </c>
      <c r="J580">
        <v>0.87</v>
      </c>
      <c r="K580">
        <v>0.29849999999999999</v>
      </c>
      <c r="L580">
        <v>3</v>
      </c>
      <c r="M580">
        <v>55</v>
      </c>
      <c r="N580">
        <v>58</v>
      </c>
    </row>
    <row r="581" spans="1:14" x14ac:dyDescent="0.3">
      <c r="A581">
        <v>580</v>
      </c>
      <c r="B581">
        <v>40569</v>
      </c>
      <c r="C581">
        <v>0.41666666666666674</v>
      </c>
      <c r="D581" t="s">
        <v>8</v>
      </c>
      <c r="E581" t="s">
        <v>9</v>
      </c>
      <c r="F581" t="s">
        <v>15</v>
      </c>
      <c r="G581" t="s">
        <v>20</v>
      </c>
      <c r="H581">
        <v>0.22</v>
      </c>
      <c r="I581">
        <v>0.21210000000000001</v>
      </c>
      <c r="J581">
        <v>0.93</v>
      </c>
      <c r="K581">
        <v>0.28360000000000002</v>
      </c>
      <c r="L581">
        <v>2</v>
      </c>
      <c r="M581">
        <v>26</v>
      </c>
      <c r="N581">
        <v>28</v>
      </c>
    </row>
    <row r="582" spans="1:14" x14ac:dyDescent="0.3">
      <c r="A582">
        <v>581</v>
      </c>
      <c r="B582">
        <v>40569</v>
      </c>
      <c r="C582">
        <v>0.45833333333333326</v>
      </c>
      <c r="D582" t="s">
        <v>8</v>
      </c>
      <c r="E582" t="s">
        <v>9</v>
      </c>
      <c r="F582" t="s">
        <v>15</v>
      </c>
      <c r="G582" t="s">
        <v>20</v>
      </c>
      <c r="H582">
        <v>0.22</v>
      </c>
      <c r="I582">
        <v>0.19700000000000001</v>
      </c>
      <c r="J582">
        <v>0.93</v>
      </c>
      <c r="K582">
        <v>0.32840000000000003</v>
      </c>
      <c r="L582">
        <v>6</v>
      </c>
      <c r="M582">
        <v>35</v>
      </c>
      <c r="N582">
        <v>41</v>
      </c>
    </row>
    <row r="583" spans="1:14" x14ac:dyDescent="0.3">
      <c r="A583">
        <v>582</v>
      </c>
      <c r="B583">
        <v>40569</v>
      </c>
      <c r="C583">
        <v>0.5</v>
      </c>
      <c r="D583" t="s">
        <v>8</v>
      </c>
      <c r="E583" t="s">
        <v>9</v>
      </c>
      <c r="F583" t="s">
        <v>15</v>
      </c>
      <c r="G583" t="s">
        <v>20</v>
      </c>
      <c r="H583">
        <v>0.22</v>
      </c>
      <c r="I583">
        <v>0.19700000000000001</v>
      </c>
      <c r="J583">
        <v>0.93</v>
      </c>
      <c r="K583">
        <v>0.32840000000000003</v>
      </c>
      <c r="L583">
        <v>7</v>
      </c>
      <c r="M583">
        <v>41</v>
      </c>
      <c r="N583">
        <v>48</v>
      </c>
    </row>
    <row r="584" spans="1:14" x14ac:dyDescent="0.3">
      <c r="A584">
        <v>583</v>
      </c>
      <c r="B584">
        <v>40569</v>
      </c>
      <c r="C584">
        <v>0.54166666666666674</v>
      </c>
      <c r="D584" t="s">
        <v>8</v>
      </c>
      <c r="E584" t="s">
        <v>9</v>
      </c>
      <c r="F584" t="s">
        <v>15</v>
      </c>
      <c r="G584" t="s">
        <v>20</v>
      </c>
      <c r="H584">
        <v>0.22</v>
      </c>
      <c r="I584">
        <v>0.19700000000000001</v>
      </c>
      <c r="J584">
        <v>0.93</v>
      </c>
      <c r="K584">
        <v>0.32840000000000003</v>
      </c>
      <c r="L584">
        <v>4</v>
      </c>
      <c r="M584">
        <v>43</v>
      </c>
      <c r="N584">
        <v>47</v>
      </c>
    </row>
    <row r="585" spans="1:14" x14ac:dyDescent="0.3">
      <c r="A585">
        <v>584</v>
      </c>
      <c r="B585">
        <v>40569</v>
      </c>
      <c r="C585">
        <v>0.58333333333333326</v>
      </c>
      <c r="D585" t="s">
        <v>8</v>
      </c>
      <c r="E585" t="s">
        <v>9</v>
      </c>
      <c r="F585" t="s">
        <v>15</v>
      </c>
      <c r="G585" t="s">
        <v>20</v>
      </c>
      <c r="H585">
        <v>0.22</v>
      </c>
      <c r="I585">
        <v>0.19700000000000001</v>
      </c>
      <c r="J585">
        <v>0.93</v>
      </c>
      <c r="K585">
        <v>0.35820000000000002</v>
      </c>
      <c r="L585">
        <v>0</v>
      </c>
      <c r="M585">
        <v>36</v>
      </c>
      <c r="N585">
        <v>36</v>
      </c>
    </row>
    <row r="586" spans="1:14" x14ac:dyDescent="0.3">
      <c r="A586">
        <v>585</v>
      </c>
      <c r="B586">
        <v>40569</v>
      </c>
      <c r="C586">
        <v>0.625</v>
      </c>
      <c r="D586" t="s">
        <v>8</v>
      </c>
      <c r="E586" t="s">
        <v>9</v>
      </c>
      <c r="F586" t="s">
        <v>15</v>
      </c>
      <c r="G586" t="s">
        <v>20</v>
      </c>
      <c r="H586">
        <v>0.22</v>
      </c>
      <c r="I586">
        <v>0.18179999999999999</v>
      </c>
      <c r="J586">
        <v>0.93</v>
      </c>
      <c r="K586">
        <v>0.4627</v>
      </c>
      <c r="L586">
        <v>1</v>
      </c>
      <c r="M586">
        <v>42</v>
      </c>
      <c r="N586">
        <v>43</v>
      </c>
    </row>
    <row r="587" spans="1:14" x14ac:dyDescent="0.3">
      <c r="A587">
        <v>586</v>
      </c>
      <c r="B587">
        <v>40569</v>
      </c>
      <c r="C587">
        <v>0.66666666666666674</v>
      </c>
      <c r="D587" t="s">
        <v>8</v>
      </c>
      <c r="E587" t="s">
        <v>9</v>
      </c>
      <c r="F587" t="s">
        <v>15</v>
      </c>
      <c r="G587" t="s">
        <v>21</v>
      </c>
      <c r="H587">
        <v>0.22</v>
      </c>
      <c r="I587">
        <v>0.19700000000000001</v>
      </c>
      <c r="J587">
        <v>0.93</v>
      </c>
      <c r="K587">
        <v>0.32840000000000003</v>
      </c>
      <c r="L587">
        <v>1</v>
      </c>
      <c r="M587">
        <v>35</v>
      </c>
      <c r="N587">
        <v>36</v>
      </c>
    </row>
    <row r="588" spans="1:14" x14ac:dyDescent="0.3">
      <c r="A588">
        <v>587</v>
      </c>
      <c r="B588">
        <v>40569</v>
      </c>
      <c r="C588">
        <v>0.70833333333333326</v>
      </c>
      <c r="D588" t="s">
        <v>8</v>
      </c>
      <c r="E588" t="s">
        <v>9</v>
      </c>
      <c r="F588" t="s">
        <v>15</v>
      </c>
      <c r="G588" t="s">
        <v>20</v>
      </c>
      <c r="H588">
        <v>0.2</v>
      </c>
      <c r="I588">
        <v>0.18179999999999999</v>
      </c>
      <c r="J588">
        <v>0.93</v>
      </c>
      <c r="K588">
        <v>0.35820000000000002</v>
      </c>
      <c r="L588">
        <v>0</v>
      </c>
      <c r="M588">
        <v>26</v>
      </c>
      <c r="N588">
        <v>26</v>
      </c>
    </row>
    <row r="589" spans="1:14" x14ac:dyDescent="0.3">
      <c r="A589">
        <v>588</v>
      </c>
      <c r="B589">
        <v>40570</v>
      </c>
      <c r="C589">
        <v>0.66666666666666674</v>
      </c>
      <c r="D589" t="s">
        <v>8</v>
      </c>
      <c r="E589" t="s">
        <v>9</v>
      </c>
      <c r="F589" t="s">
        <v>16</v>
      </c>
      <c r="G589" t="s">
        <v>18</v>
      </c>
      <c r="H589">
        <v>0.22</v>
      </c>
      <c r="I589">
        <v>0.2273</v>
      </c>
      <c r="J589">
        <v>0.55000000000000004</v>
      </c>
      <c r="K589">
        <v>0.19400000000000001</v>
      </c>
      <c r="L589">
        <v>1</v>
      </c>
      <c r="M589">
        <v>23</v>
      </c>
      <c r="N589">
        <v>24</v>
      </c>
    </row>
    <row r="590" spans="1:14" x14ac:dyDescent="0.3">
      <c r="A590">
        <v>589</v>
      </c>
      <c r="B590">
        <v>40570</v>
      </c>
      <c r="C590">
        <v>0.70833333333333326</v>
      </c>
      <c r="D590" t="s">
        <v>8</v>
      </c>
      <c r="E590" t="s">
        <v>9</v>
      </c>
      <c r="F590" t="s">
        <v>16</v>
      </c>
      <c r="G590" t="s">
        <v>18</v>
      </c>
      <c r="H590">
        <v>0.22</v>
      </c>
      <c r="I590">
        <v>0.2424</v>
      </c>
      <c r="J590">
        <v>0.55000000000000004</v>
      </c>
      <c r="K590">
        <v>0.1045</v>
      </c>
      <c r="L590">
        <v>2</v>
      </c>
      <c r="M590">
        <v>82</v>
      </c>
      <c r="N590">
        <v>84</v>
      </c>
    </row>
    <row r="591" spans="1:14" x14ac:dyDescent="0.3">
      <c r="A591">
        <v>590</v>
      </c>
      <c r="B591">
        <v>40570</v>
      </c>
      <c r="C591">
        <v>0.75</v>
      </c>
      <c r="D591" t="s">
        <v>8</v>
      </c>
      <c r="E591" t="s">
        <v>9</v>
      </c>
      <c r="F591" t="s">
        <v>16</v>
      </c>
      <c r="G591" t="s">
        <v>18</v>
      </c>
      <c r="H591">
        <v>0.2</v>
      </c>
      <c r="I591">
        <v>0.2273</v>
      </c>
      <c r="J591">
        <v>0.69</v>
      </c>
      <c r="K591">
        <v>8.9599999999999999E-2</v>
      </c>
      <c r="L591">
        <v>3</v>
      </c>
      <c r="M591">
        <v>101</v>
      </c>
      <c r="N591">
        <v>104</v>
      </c>
    </row>
    <row r="592" spans="1:14" x14ac:dyDescent="0.3">
      <c r="A592">
        <v>591</v>
      </c>
      <c r="B592">
        <v>40570</v>
      </c>
      <c r="C592">
        <v>0.79166666666666674</v>
      </c>
      <c r="D592" t="s">
        <v>8</v>
      </c>
      <c r="E592" t="s">
        <v>9</v>
      </c>
      <c r="F592" t="s">
        <v>16</v>
      </c>
      <c r="G592" t="s">
        <v>18</v>
      </c>
      <c r="H592">
        <v>0.2</v>
      </c>
      <c r="I592">
        <v>0.2273</v>
      </c>
      <c r="J592">
        <v>0.69</v>
      </c>
      <c r="K592">
        <v>8.9599999999999999E-2</v>
      </c>
      <c r="L592">
        <v>3</v>
      </c>
      <c r="M592">
        <v>76</v>
      </c>
      <c r="N592">
        <v>79</v>
      </c>
    </row>
    <row r="593" spans="1:14" x14ac:dyDescent="0.3">
      <c r="A593">
        <v>592</v>
      </c>
      <c r="B593">
        <v>40570</v>
      </c>
      <c r="C593">
        <v>0.83333333333333326</v>
      </c>
      <c r="D593" t="s">
        <v>8</v>
      </c>
      <c r="E593" t="s">
        <v>9</v>
      </c>
      <c r="F593" t="s">
        <v>16</v>
      </c>
      <c r="G593" t="s">
        <v>18</v>
      </c>
      <c r="H593">
        <v>0.18</v>
      </c>
      <c r="I593">
        <v>0.21210000000000001</v>
      </c>
      <c r="J593">
        <v>0.74</v>
      </c>
      <c r="K593">
        <v>8.9599999999999999E-2</v>
      </c>
      <c r="L593">
        <v>4</v>
      </c>
      <c r="M593">
        <v>55</v>
      </c>
      <c r="N593">
        <v>59</v>
      </c>
    </row>
    <row r="594" spans="1:14" x14ac:dyDescent="0.3">
      <c r="A594">
        <v>593</v>
      </c>
      <c r="B594">
        <v>40570</v>
      </c>
      <c r="C594">
        <v>0.875</v>
      </c>
      <c r="D594" t="s">
        <v>8</v>
      </c>
      <c r="E594" t="s">
        <v>9</v>
      </c>
      <c r="F594" t="s">
        <v>16</v>
      </c>
      <c r="G594" t="s">
        <v>18</v>
      </c>
      <c r="H594">
        <v>0.18</v>
      </c>
      <c r="I594">
        <v>0.21210000000000001</v>
      </c>
      <c r="J594">
        <v>0.74</v>
      </c>
      <c r="K594">
        <v>8.9599999999999999E-2</v>
      </c>
      <c r="L594">
        <v>2</v>
      </c>
      <c r="M594">
        <v>36</v>
      </c>
      <c r="N594">
        <v>38</v>
      </c>
    </row>
    <row r="595" spans="1:14" x14ac:dyDescent="0.3">
      <c r="A595">
        <v>594</v>
      </c>
      <c r="B595">
        <v>40570</v>
      </c>
      <c r="C595">
        <v>0.91666666666666674</v>
      </c>
      <c r="D595" t="s">
        <v>8</v>
      </c>
      <c r="E595" t="s">
        <v>9</v>
      </c>
      <c r="F595" t="s">
        <v>16</v>
      </c>
      <c r="G595" t="s">
        <v>18</v>
      </c>
      <c r="H595">
        <v>0.18</v>
      </c>
      <c r="I595">
        <v>0.21210000000000001</v>
      </c>
      <c r="J595">
        <v>0.74</v>
      </c>
      <c r="K595">
        <v>8.9599999999999999E-2</v>
      </c>
      <c r="L595">
        <v>0</v>
      </c>
      <c r="M595">
        <v>27</v>
      </c>
      <c r="N595">
        <v>27</v>
      </c>
    </row>
    <row r="596" spans="1:14" x14ac:dyDescent="0.3">
      <c r="A596">
        <v>595</v>
      </c>
      <c r="B596">
        <v>40570</v>
      </c>
      <c r="C596">
        <v>0.95833333333333326</v>
      </c>
      <c r="D596" t="s">
        <v>8</v>
      </c>
      <c r="E596" t="s">
        <v>9</v>
      </c>
      <c r="F596" t="s">
        <v>16</v>
      </c>
      <c r="G596" t="s">
        <v>18</v>
      </c>
      <c r="H596">
        <v>0.18</v>
      </c>
      <c r="I596">
        <v>0.19700000000000001</v>
      </c>
      <c r="J596">
        <v>0.8</v>
      </c>
      <c r="K596">
        <v>0.16420000000000001</v>
      </c>
      <c r="L596">
        <v>0</v>
      </c>
      <c r="M596">
        <v>16</v>
      </c>
      <c r="N596">
        <v>16</v>
      </c>
    </row>
    <row r="597" spans="1:14" x14ac:dyDescent="0.3">
      <c r="A597">
        <v>596</v>
      </c>
      <c r="B597">
        <v>40571</v>
      </c>
      <c r="C597">
        <v>0</v>
      </c>
      <c r="D597" t="s">
        <v>8</v>
      </c>
      <c r="E597" t="s">
        <v>9</v>
      </c>
      <c r="F597" t="s">
        <v>17</v>
      </c>
      <c r="G597" t="s">
        <v>19</v>
      </c>
      <c r="H597">
        <v>0.2</v>
      </c>
      <c r="I597">
        <v>0.21210000000000001</v>
      </c>
      <c r="J597">
        <v>0.75</v>
      </c>
      <c r="K597">
        <v>0.1343</v>
      </c>
      <c r="L597">
        <v>0</v>
      </c>
      <c r="M597">
        <v>9</v>
      </c>
      <c r="N597">
        <v>9</v>
      </c>
    </row>
    <row r="598" spans="1:14" x14ac:dyDescent="0.3">
      <c r="A598">
        <v>597</v>
      </c>
      <c r="B598">
        <v>40571</v>
      </c>
      <c r="C598">
        <v>4.1666666666666741E-2</v>
      </c>
      <c r="D598" t="s">
        <v>8</v>
      </c>
      <c r="E598" t="s">
        <v>9</v>
      </c>
      <c r="F598" t="s">
        <v>17</v>
      </c>
      <c r="G598" t="s">
        <v>19</v>
      </c>
      <c r="H598">
        <v>0.2</v>
      </c>
      <c r="I598">
        <v>0.21210000000000001</v>
      </c>
      <c r="J598">
        <v>0.75</v>
      </c>
      <c r="K598">
        <v>0.1343</v>
      </c>
      <c r="L598">
        <v>1</v>
      </c>
      <c r="M598">
        <v>2</v>
      </c>
      <c r="N598">
        <v>3</v>
      </c>
    </row>
    <row r="599" spans="1:14" x14ac:dyDescent="0.3">
      <c r="A599">
        <v>598</v>
      </c>
      <c r="B599">
        <v>40571</v>
      </c>
      <c r="C599">
        <v>8.3333333333333259E-2</v>
      </c>
      <c r="D599" t="s">
        <v>8</v>
      </c>
      <c r="E599" t="s">
        <v>9</v>
      </c>
      <c r="F599" t="s">
        <v>17</v>
      </c>
      <c r="G599" t="s">
        <v>19</v>
      </c>
      <c r="H599">
        <v>0.2</v>
      </c>
      <c r="I599">
        <v>0.21210000000000001</v>
      </c>
      <c r="J599">
        <v>0.75</v>
      </c>
      <c r="K599">
        <v>0.16420000000000001</v>
      </c>
      <c r="L599">
        <v>0</v>
      </c>
      <c r="M599">
        <v>2</v>
      </c>
      <c r="N599">
        <v>2</v>
      </c>
    </row>
    <row r="600" spans="1:14" x14ac:dyDescent="0.3">
      <c r="A600">
        <v>599</v>
      </c>
      <c r="B600">
        <v>40571</v>
      </c>
      <c r="C600">
        <v>0.125</v>
      </c>
      <c r="D600" t="s">
        <v>8</v>
      </c>
      <c r="E600" t="s">
        <v>9</v>
      </c>
      <c r="F600" t="s">
        <v>17</v>
      </c>
      <c r="G600" t="s">
        <v>19</v>
      </c>
      <c r="H600">
        <v>0.2</v>
      </c>
      <c r="I600">
        <v>0.2273</v>
      </c>
      <c r="J600">
        <v>0.75</v>
      </c>
      <c r="K600">
        <v>0.1045</v>
      </c>
      <c r="L600">
        <v>1</v>
      </c>
      <c r="M600">
        <v>0</v>
      </c>
      <c r="N600">
        <v>1</v>
      </c>
    </row>
    <row r="601" spans="1:14" x14ac:dyDescent="0.3">
      <c r="A601">
        <v>600</v>
      </c>
      <c r="B601">
        <v>40571</v>
      </c>
      <c r="C601">
        <v>0.20833333333333326</v>
      </c>
      <c r="D601" t="s">
        <v>8</v>
      </c>
      <c r="E601" t="s">
        <v>9</v>
      </c>
      <c r="F601" t="s">
        <v>17</v>
      </c>
      <c r="G601" t="s">
        <v>19</v>
      </c>
      <c r="H601">
        <v>0.18</v>
      </c>
      <c r="I601">
        <v>0.21210000000000001</v>
      </c>
      <c r="J601">
        <v>0.8</v>
      </c>
      <c r="K601">
        <v>0.1045</v>
      </c>
      <c r="L601">
        <v>0</v>
      </c>
      <c r="M601">
        <v>4</v>
      </c>
      <c r="N601">
        <v>4</v>
      </c>
    </row>
    <row r="602" spans="1:14" x14ac:dyDescent="0.3">
      <c r="A602">
        <v>601</v>
      </c>
      <c r="B602">
        <v>40571</v>
      </c>
      <c r="C602">
        <v>0.25</v>
      </c>
      <c r="D602" t="s">
        <v>8</v>
      </c>
      <c r="E602" t="s">
        <v>9</v>
      </c>
      <c r="F602" t="s">
        <v>17</v>
      </c>
      <c r="G602" t="s">
        <v>19</v>
      </c>
      <c r="H602">
        <v>0.18</v>
      </c>
      <c r="I602">
        <v>0.19700000000000001</v>
      </c>
      <c r="J602">
        <v>0.8</v>
      </c>
      <c r="K602">
        <v>0.1343</v>
      </c>
      <c r="L602">
        <v>0</v>
      </c>
      <c r="M602">
        <v>16</v>
      </c>
      <c r="N602">
        <v>16</v>
      </c>
    </row>
    <row r="603" spans="1:14" x14ac:dyDescent="0.3">
      <c r="A603">
        <v>602</v>
      </c>
      <c r="B603">
        <v>40571</v>
      </c>
      <c r="C603">
        <v>0.29166666666666674</v>
      </c>
      <c r="D603" t="s">
        <v>8</v>
      </c>
      <c r="E603" t="s">
        <v>9</v>
      </c>
      <c r="F603" t="s">
        <v>17</v>
      </c>
      <c r="G603" t="s">
        <v>19</v>
      </c>
      <c r="H603">
        <v>0.16</v>
      </c>
      <c r="I603">
        <v>0.19700000000000001</v>
      </c>
      <c r="J603">
        <v>0.86</v>
      </c>
      <c r="K603">
        <v>8.9599999999999999E-2</v>
      </c>
      <c r="L603">
        <v>2</v>
      </c>
      <c r="M603">
        <v>58</v>
      </c>
      <c r="N603">
        <v>60</v>
      </c>
    </row>
    <row r="604" spans="1:14" x14ac:dyDescent="0.3">
      <c r="A604">
        <v>603</v>
      </c>
      <c r="B604">
        <v>40571</v>
      </c>
      <c r="C604">
        <v>0.33333333333333326</v>
      </c>
      <c r="D604" t="s">
        <v>8</v>
      </c>
      <c r="E604" t="s">
        <v>9</v>
      </c>
      <c r="F604" t="s">
        <v>17</v>
      </c>
      <c r="G604" t="s">
        <v>19</v>
      </c>
      <c r="H604">
        <v>0.16</v>
      </c>
      <c r="I604">
        <v>0.19700000000000001</v>
      </c>
      <c r="J604">
        <v>0.86</v>
      </c>
      <c r="K604">
        <v>8.9599999999999999E-2</v>
      </c>
      <c r="L604">
        <v>2</v>
      </c>
      <c r="M604">
        <v>155</v>
      </c>
      <c r="N604">
        <v>157</v>
      </c>
    </row>
    <row r="605" spans="1:14" x14ac:dyDescent="0.3">
      <c r="A605">
        <v>604</v>
      </c>
      <c r="B605">
        <v>40571</v>
      </c>
      <c r="C605">
        <v>0.375</v>
      </c>
      <c r="D605" t="s">
        <v>8</v>
      </c>
      <c r="E605" t="s">
        <v>9</v>
      </c>
      <c r="F605" t="s">
        <v>17</v>
      </c>
      <c r="G605" t="s">
        <v>20</v>
      </c>
      <c r="H605">
        <v>0.18</v>
      </c>
      <c r="I605">
        <v>0.21210000000000001</v>
      </c>
      <c r="J605">
        <v>0.86</v>
      </c>
      <c r="K605">
        <v>8.9599999999999999E-2</v>
      </c>
      <c r="L605">
        <v>6</v>
      </c>
      <c r="M605">
        <v>95</v>
      </c>
      <c r="N605">
        <v>101</v>
      </c>
    </row>
    <row r="606" spans="1:14" x14ac:dyDescent="0.3">
      <c r="A606">
        <v>605</v>
      </c>
      <c r="B606">
        <v>40571</v>
      </c>
      <c r="C606">
        <v>0.41666666666666674</v>
      </c>
      <c r="D606" t="s">
        <v>8</v>
      </c>
      <c r="E606" t="s">
        <v>9</v>
      </c>
      <c r="F606" t="s">
        <v>17</v>
      </c>
      <c r="G606" t="s">
        <v>20</v>
      </c>
      <c r="H606">
        <v>0.18</v>
      </c>
      <c r="I606">
        <v>0.21210000000000001</v>
      </c>
      <c r="J606">
        <v>0.86</v>
      </c>
      <c r="K606">
        <v>0.1045</v>
      </c>
      <c r="L606">
        <v>0</v>
      </c>
      <c r="M606">
        <v>49</v>
      </c>
      <c r="N606">
        <v>49</v>
      </c>
    </row>
    <row r="607" spans="1:14" x14ac:dyDescent="0.3">
      <c r="A607">
        <v>606</v>
      </c>
      <c r="B607">
        <v>40571</v>
      </c>
      <c r="C607">
        <v>0.45833333333333326</v>
      </c>
      <c r="D607" t="s">
        <v>8</v>
      </c>
      <c r="E607" t="s">
        <v>9</v>
      </c>
      <c r="F607" t="s">
        <v>17</v>
      </c>
      <c r="G607" t="s">
        <v>20</v>
      </c>
      <c r="H607">
        <v>0.18</v>
      </c>
      <c r="I607">
        <v>0.21210000000000001</v>
      </c>
      <c r="J607">
        <v>0.93</v>
      </c>
      <c r="K607">
        <v>0.1045</v>
      </c>
      <c r="L607">
        <v>0</v>
      </c>
      <c r="M607">
        <v>30</v>
      </c>
      <c r="N607">
        <v>30</v>
      </c>
    </row>
    <row r="608" spans="1:14" x14ac:dyDescent="0.3">
      <c r="A608">
        <v>607</v>
      </c>
      <c r="B608">
        <v>40571</v>
      </c>
      <c r="C608">
        <v>0.5</v>
      </c>
      <c r="D608" t="s">
        <v>8</v>
      </c>
      <c r="E608" t="s">
        <v>9</v>
      </c>
      <c r="F608" t="s">
        <v>17</v>
      </c>
      <c r="G608" t="s">
        <v>20</v>
      </c>
      <c r="H608">
        <v>0.18</v>
      </c>
      <c r="I608">
        <v>0.21210000000000001</v>
      </c>
      <c r="J608">
        <v>0.93</v>
      </c>
      <c r="K608">
        <v>0.1045</v>
      </c>
      <c r="L608">
        <v>1</v>
      </c>
      <c r="M608">
        <v>28</v>
      </c>
      <c r="N608">
        <v>29</v>
      </c>
    </row>
    <row r="609" spans="1:14" x14ac:dyDescent="0.3">
      <c r="A609">
        <v>608</v>
      </c>
      <c r="B609">
        <v>40571</v>
      </c>
      <c r="C609">
        <v>0.54166666666666674</v>
      </c>
      <c r="D609" t="s">
        <v>8</v>
      </c>
      <c r="E609" t="s">
        <v>9</v>
      </c>
      <c r="F609" t="s">
        <v>17</v>
      </c>
      <c r="G609" t="s">
        <v>20</v>
      </c>
      <c r="H609">
        <v>0.18</v>
      </c>
      <c r="I609">
        <v>0.21210000000000001</v>
      </c>
      <c r="J609">
        <v>0.93</v>
      </c>
      <c r="K609">
        <v>0.1045</v>
      </c>
      <c r="L609">
        <v>0</v>
      </c>
      <c r="M609">
        <v>31</v>
      </c>
      <c r="N609">
        <v>31</v>
      </c>
    </row>
    <row r="610" spans="1:14" x14ac:dyDescent="0.3">
      <c r="A610">
        <v>609</v>
      </c>
      <c r="B610">
        <v>40571</v>
      </c>
      <c r="C610">
        <v>0.58333333333333326</v>
      </c>
      <c r="D610" t="s">
        <v>8</v>
      </c>
      <c r="E610" t="s">
        <v>9</v>
      </c>
      <c r="F610" t="s">
        <v>17</v>
      </c>
      <c r="G610" t="s">
        <v>20</v>
      </c>
      <c r="H610">
        <v>0.22</v>
      </c>
      <c r="I610">
        <v>0.2727</v>
      </c>
      <c r="J610">
        <v>0.8</v>
      </c>
      <c r="K610">
        <v>0</v>
      </c>
      <c r="L610">
        <v>2</v>
      </c>
      <c r="M610">
        <v>36</v>
      </c>
      <c r="N610">
        <v>38</v>
      </c>
    </row>
    <row r="611" spans="1:14" x14ac:dyDescent="0.3">
      <c r="A611">
        <v>610</v>
      </c>
      <c r="B611">
        <v>40571</v>
      </c>
      <c r="C611">
        <v>0.625</v>
      </c>
      <c r="D611" t="s">
        <v>8</v>
      </c>
      <c r="E611" t="s">
        <v>9</v>
      </c>
      <c r="F611" t="s">
        <v>17</v>
      </c>
      <c r="G611" t="s">
        <v>19</v>
      </c>
      <c r="H611">
        <v>0.2</v>
      </c>
      <c r="I611">
        <v>0.2576</v>
      </c>
      <c r="J611">
        <v>0.86</v>
      </c>
      <c r="K611">
        <v>0</v>
      </c>
      <c r="L611">
        <v>1</v>
      </c>
      <c r="M611">
        <v>40</v>
      </c>
      <c r="N611">
        <v>41</v>
      </c>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EC03B-D1D9-4F70-9F35-CFCDF3A80BEE}">
  <sheetPr>
    <tabColor theme="7" tint="0.39997558519241921"/>
  </sheetPr>
  <dimension ref="A3:O32"/>
  <sheetViews>
    <sheetView workbookViewId="0">
      <selection activeCell="N3" sqref="N3"/>
    </sheetView>
  </sheetViews>
  <sheetFormatPr defaultRowHeight="14.4" x14ac:dyDescent="0.3"/>
  <cols>
    <col min="1" max="1" width="12.5546875" bestFit="1" customWidth="1"/>
    <col min="2" max="2" width="26.21875" bestFit="1" customWidth="1"/>
    <col min="4" max="4" width="12.5546875" bestFit="1" customWidth="1"/>
    <col min="5" max="5" width="26.21875" bestFit="1" customWidth="1"/>
    <col min="7" max="7" width="15.77734375" bestFit="1" customWidth="1"/>
    <col min="8" max="8" width="6" customWidth="1"/>
    <col min="9" max="9" width="5" customWidth="1"/>
    <col min="10" max="10" width="5.44140625" customWidth="1"/>
    <col min="11" max="11" width="12.5546875" bestFit="1" customWidth="1"/>
    <col min="12" max="12" width="26.21875" bestFit="1" customWidth="1"/>
    <col min="13" max="13" width="8" bestFit="1" customWidth="1"/>
    <col min="14" max="14" width="20.5546875" bestFit="1" customWidth="1"/>
    <col min="15" max="15" width="29.33203125" bestFit="1" customWidth="1"/>
    <col min="16" max="16" width="8.5546875" bestFit="1" customWidth="1"/>
    <col min="17" max="17" width="7.33203125" bestFit="1" customWidth="1"/>
    <col min="18" max="18" width="8.77734375" bestFit="1" customWidth="1"/>
    <col min="19" max="19" width="10.77734375" bestFit="1" customWidth="1"/>
    <col min="20" max="62" width="3" bestFit="1" customWidth="1"/>
    <col min="63" max="63" width="4" bestFit="1" customWidth="1"/>
    <col min="64" max="102" width="3" bestFit="1" customWidth="1"/>
    <col min="103" max="157" width="4" bestFit="1" customWidth="1"/>
    <col min="158" max="158" width="10.77734375" bestFit="1" customWidth="1"/>
  </cols>
  <sheetData>
    <row r="3" spans="1:15" x14ac:dyDescent="0.3">
      <c r="A3" t="s">
        <v>28</v>
      </c>
      <c r="B3" t="s">
        <v>30</v>
      </c>
      <c r="D3" t="s">
        <v>28</v>
      </c>
      <c r="E3" t="s">
        <v>30</v>
      </c>
      <c r="G3" t="s">
        <v>33</v>
      </c>
      <c r="K3" t="s">
        <v>28</v>
      </c>
      <c r="L3" t="s">
        <v>30</v>
      </c>
      <c r="N3" t="s">
        <v>28</v>
      </c>
      <c r="O3" t="s">
        <v>34</v>
      </c>
    </row>
    <row r="4" spans="1:15" x14ac:dyDescent="0.3">
      <c r="A4">
        <v>40544</v>
      </c>
      <c r="B4">
        <v>985</v>
      </c>
      <c r="D4">
        <v>0</v>
      </c>
      <c r="E4">
        <v>370</v>
      </c>
      <c r="G4" t="s">
        <v>31</v>
      </c>
      <c r="H4">
        <v>31152</v>
      </c>
      <c r="K4" t="s">
        <v>14</v>
      </c>
      <c r="L4">
        <v>5493</v>
      </c>
      <c r="N4" t="s">
        <v>18</v>
      </c>
      <c r="O4">
        <v>59.709239130434781</v>
      </c>
    </row>
    <row r="5" spans="1:15" x14ac:dyDescent="0.3">
      <c r="A5">
        <v>40545</v>
      </c>
      <c r="B5">
        <v>801</v>
      </c>
      <c r="D5">
        <v>4.1666666666666664E-2</v>
      </c>
      <c r="E5">
        <v>239</v>
      </c>
      <c r="G5" t="s">
        <v>32</v>
      </c>
      <c r="H5">
        <v>2746</v>
      </c>
      <c r="K5" t="s">
        <v>15</v>
      </c>
      <c r="L5">
        <v>4918</v>
      </c>
      <c r="N5" t="s">
        <v>21</v>
      </c>
      <c r="O5">
        <v>36</v>
      </c>
    </row>
    <row r="6" spans="1:15" x14ac:dyDescent="0.3">
      <c r="A6">
        <v>40546</v>
      </c>
      <c r="B6">
        <v>1349</v>
      </c>
      <c r="D6">
        <v>8.3333333333333329E-2</v>
      </c>
      <c r="E6">
        <v>170</v>
      </c>
      <c r="K6" t="s">
        <v>16</v>
      </c>
      <c r="L6">
        <v>5370</v>
      </c>
      <c r="N6" t="s">
        <v>20</v>
      </c>
      <c r="O6">
        <v>31.127659574468087</v>
      </c>
    </row>
    <row r="7" spans="1:15" x14ac:dyDescent="0.3">
      <c r="A7">
        <v>40547</v>
      </c>
      <c r="B7">
        <v>1562</v>
      </c>
      <c r="D7">
        <v>0.125</v>
      </c>
      <c r="E7">
        <v>76</v>
      </c>
      <c r="K7" t="s">
        <v>11</v>
      </c>
      <c r="L7">
        <v>4173</v>
      </c>
      <c r="N7" t="s">
        <v>19</v>
      </c>
      <c r="O7">
        <v>53.742268041237111</v>
      </c>
    </row>
    <row r="8" spans="1:15" x14ac:dyDescent="0.3">
      <c r="A8">
        <v>40548</v>
      </c>
      <c r="B8">
        <v>1600</v>
      </c>
      <c r="D8">
        <v>0.16666666666666666</v>
      </c>
      <c r="E8">
        <v>38</v>
      </c>
      <c r="K8" t="s">
        <v>12</v>
      </c>
      <c r="L8">
        <v>3813</v>
      </c>
      <c r="N8" t="s">
        <v>29</v>
      </c>
      <c r="O8">
        <v>55.570491803278685</v>
      </c>
    </row>
    <row r="9" spans="1:15" x14ac:dyDescent="0.3">
      <c r="A9">
        <v>40549</v>
      </c>
      <c r="B9">
        <v>1606</v>
      </c>
      <c r="D9">
        <v>0.20833333333333334</v>
      </c>
      <c r="E9">
        <v>95</v>
      </c>
      <c r="K9" t="s">
        <v>13</v>
      </c>
      <c r="L9">
        <v>5086</v>
      </c>
    </row>
    <row r="10" spans="1:15" x14ac:dyDescent="0.3">
      <c r="A10">
        <v>40550</v>
      </c>
      <c r="B10">
        <v>1510</v>
      </c>
      <c r="D10">
        <v>0.25</v>
      </c>
      <c r="E10">
        <v>476</v>
      </c>
      <c r="K10" t="s">
        <v>17</v>
      </c>
      <c r="L10">
        <v>5045</v>
      </c>
    </row>
    <row r="11" spans="1:15" x14ac:dyDescent="0.3">
      <c r="A11">
        <v>40551</v>
      </c>
      <c r="B11">
        <v>959</v>
      </c>
      <c r="D11">
        <v>0.29166666666666669</v>
      </c>
      <c r="E11">
        <v>1393</v>
      </c>
      <c r="K11" t="s">
        <v>29</v>
      </c>
      <c r="L11">
        <v>33898</v>
      </c>
    </row>
    <row r="12" spans="1:15" x14ac:dyDescent="0.3">
      <c r="A12">
        <v>40552</v>
      </c>
      <c r="B12">
        <v>822</v>
      </c>
      <c r="D12">
        <v>0.33333333333333331</v>
      </c>
      <c r="E12">
        <v>3318</v>
      </c>
    </row>
    <row r="13" spans="1:15" x14ac:dyDescent="0.3">
      <c r="A13">
        <v>40553</v>
      </c>
      <c r="B13">
        <v>1321</v>
      </c>
      <c r="D13">
        <v>0.375</v>
      </c>
      <c r="E13">
        <v>2196</v>
      </c>
    </row>
    <row r="14" spans="1:15" x14ac:dyDescent="0.3">
      <c r="A14">
        <v>40554</v>
      </c>
      <c r="B14">
        <v>1263</v>
      </c>
      <c r="D14">
        <v>0.41666666666666669</v>
      </c>
      <c r="E14">
        <v>1301</v>
      </c>
    </row>
    <row r="15" spans="1:15" x14ac:dyDescent="0.3">
      <c r="A15">
        <v>40555</v>
      </c>
      <c r="B15">
        <v>1162</v>
      </c>
      <c r="D15">
        <v>0.45833333333333331</v>
      </c>
      <c r="E15">
        <v>1455</v>
      </c>
    </row>
    <row r="16" spans="1:15" x14ac:dyDescent="0.3">
      <c r="A16">
        <v>40556</v>
      </c>
      <c r="B16">
        <v>1406</v>
      </c>
      <c r="D16">
        <v>0.5</v>
      </c>
      <c r="E16">
        <v>1936</v>
      </c>
    </row>
    <row r="17" spans="1:5" x14ac:dyDescent="0.3">
      <c r="A17">
        <v>40557</v>
      </c>
      <c r="B17">
        <v>1421</v>
      </c>
      <c r="D17">
        <v>0.54166666666666663</v>
      </c>
      <c r="E17">
        <v>2015</v>
      </c>
    </row>
    <row r="18" spans="1:5" x14ac:dyDescent="0.3">
      <c r="A18">
        <v>40558</v>
      </c>
      <c r="B18">
        <v>1248</v>
      </c>
      <c r="D18">
        <v>0.58333333333333337</v>
      </c>
      <c r="E18">
        <v>1827</v>
      </c>
    </row>
    <row r="19" spans="1:5" x14ac:dyDescent="0.3">
      <c r="A19">
        <v>40559</v>
      </c>
      <c r="B19">
        <v>1204</v>
      </c>
      <c r="D19">
        <v>0.625</v>
      </c>
      <c r="E19">
        <v>1934</v>
      </c>
    </row>
    <row r="20" spans="1:5" x14ac:dyDescent="0.3">
      <c r="A20">
        <v>40560</v>
      </c>
      <c r="B20">
        <v>1000</v>
      </c>
      <c r="D20">
        <v>0.66666666666666663</v>
      </c>
      <c r="E20">
        <v>2200</v>
      </c>
    </row>
    <row r="21" spans="1:5" x14ac:dyDescent="0.3">
      <c r="A21">
        <v>40561</v>
      </c>
      <c r="B21">
        <v>683</v>
      </c>
      <c r="D21">
        <v>0.70833333333333337</v>
      </c>
      <c r="E21">
        <v>3550</v>
      </c>
    </row>
    <row r="22" spans="1:5" x14ac:dyDescent="0.3">
      <c r="A22">
        <v>40562</v>
      </c>
      <c r="B22">
        <v>1650</v>
      </c>
      <c r="D22">
        <v>0.75</v>
      </c>
      <c r="E22">
        <v>3082</v>
      </c>
    </row>
    <row r="23" spans="1:5" x14ac:dyDescent="0.3">
      <c r="A23">
        <v>40563</v>
      </c>
      <c r="B23">
        <v>1927</v>
      </c>
      <c r="D23">
        <v>0.79166666666666663</v>
      </c>
      <c r="E23">
        <v>2213</v>
      </c>
    </row>
    <row r="24" spans="1:5" x14ac:dyDescent="0.3">
      <c r="A24">
        <v>40564</v>
      </c>
      <c r="B24">
        <v>1543</v>
      </c>
      <c r="D24">
        <v>0.83333333333333337</v>
      </c>
      <c r="E24">
        <v>1541</v>
      </c>
    </row>
    <row r="25" spans="1:5" x14ac:dyDescent="0.3">
      <c r="A25">
        <v>40565</v>
      </c>
      <c r="B25">
        <v>981</v>
      </c>
      <c r="D25">
        <v>0.875</v>
      </c>
      <c r="E25">
        <v>1075</v>
      </c>
    </row>
    <row r="26" spans="1:5" x14ac:dyDescent="0.3">
      <c r="A26">
        <v>40566</v>
      </c>
      <c r="B26">
        <v>986</v>
      </c>
      <c r="D26">
        <v>0.91666666666666663</v>
      </c>
      <c r="E26">
        <v>838</v>
      </c>
    </row>
    <row r="27" spans="1:5" x14ac:dyDescent="0.3">
      <c r="A27">
        <v>40567</v>
      </c>
      <c r="B27">
        <v>1416</v>
      </c>
      <c r="D27">
        <v>0.95833333333333337</v>
      </c>
      <c r="E27">
        <v>560</v>
      </c>
    </row>
    <row r="28" spans="1:5" x14ac:dyDescent="0.3">
      <c r="A28">
        <v>40568</v>
      </c>
      <c r="B28">
        <v>1985</v>
      </c>
      <c r="D28" t="s">
        <v>29</v>
      </c>
      <c r="E28">
        <v>33898</v>
      </c>
    </row>
    <row r="29" spans="1:5" x14ac:dyDescent="0.3">
      <c r="A29">
        <v>40569</v>
      </c>
      <c r="B29">
        <v>506</v>
      </c>
    </row>
    <row r="30" spans="1:5" x14ac:dyDescent="0.3">
      <c r="A30">
        <v>40570</v>
      </c>
      <c r="B30">
        <v>431</v>
      </c>
    </row>
    <row r="31" spans="1:5" x14ac:dyDescent="0.3">
      <c r="A31">
        <v>40571</v>
      </c>
      <c r="B31">
        <v>571</v>
      </c>
    </row>
    <row r="32" spans="1:5" x14ac:dyDescent="0.3">
      <c r="A32" t="s">
        <v>29</v>
      </c>
      <c r="B32">
        <v>33898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2F838-E310-4E5E-A27C-8A4BF278BE6A}">
  <sheetPr>
    <tabColor rgb="FF0070C0"/>
  </sheetPr>
  <dimension ref="A1"/>
  <sheetViews>
    <sheetView showGridLines="0" showRowColHeaders="0" zoomScaleNormal="100" workbookViewId="0">
      <selection activeCell="Y9" sqref="Y9"/>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E51CE-5968-4F9D-BA42-7F8CEC14266D}">
  <sheetPr>
    <tabColor theme="7" tint="0.39997558519241921"/>
  </sheetPr>
  <dimension ref="A1:N391"/>
  <sheetViews>
    <sheetView workbookViewId="0">
      <selection activeCell="H26" sqref="H26"/>
    </sheetView>
  </sheetViews>
  <sheetFormatPr defaultRowHeight="14.4" x14ac:dyDescent="0.3"/>
  <cols>
    <col min="1" max="1" width="14.21875" customWidth="1"/>
    <col min="2" max="2" width="14.6640625" customWidth="1"/>
    <col min="3" max="3" width="13.5546875" customWidth="1"/>
    <col min="4" max="4" width="16.21875" customWidth="1"/>
    <col min="5" max="5" width="14.5546875" customWidth="1"/>
    <col min="6" max="6" width="15.44140625" customWidth="1"/>
    <col min="7" max="7" width="26.33203125" customWidth="1"/>
    <col min="8" max="8" width="19.88671875" customWidth="1"/>
    <col min="9" max="9" width="28.21875" customWidth="1"/>
    <col min="10" max="10" width="22.44140625" bestFit="1" customWidth="1"/>
    <col min="11" max="11" width="19.109375" customWidth="1"/>
    <col min="12" max="12" width="17.77734375" customWidth="1"/>
    <col min="13" max="13" width="17" customWidth="1"/>
    <col min="14" max="14" width="30.109375" customWidth="1"/>
  </cols>
  <sheetData>
    <row r="1" spans="1:14" x14ac:dyDescent="0.3">
      <c r="A1" t="s">
        <v>0</v>
      </c>
      <c r="B1" t="s">
        <v>1</v>
      </c>
      <c r="C1" t="s">
        <v>7</v>
      </c>
      <c r="D1" t="s">
        <v>2</v>
      </c>
      <c r="E1" t="s">
        <v>3</v>
      </c>
      <c r="F1" t="s">
        <v>4</v>
      </c>
      <c r="G1" t="s">
        <v>5</v>
      </c>
      <c r="H1" t="s">
        <v>6</v>
      </c>
      <c r="I1" t="s">
        <v>22</v>
      </c>
      <c r="J1" t="s">
        <v>23</v>
      </c>
      <c r="K1" t="s">
        <v>24</v>
      </c>
      <c r="L1" t="s">
        <v>25</v>
      </c>
      <c r="M1" t="s">
        <v>26</v>
      </c>
      <c r="N1" t="s">
        <v>27</v>
      </c>
    </row>
    <row r="2" spans="1:14" x14ac:dyDescent="0.3">
      <c r="A2">
        <v>611</v>
      </c>
      <c r="B2">
        <v>40571</v>
      </c>
      <c r="C2">
        <v>0.66666666666666663</v>
      </c>
      <c r="D2" t="s">
        <v>8</v>
      </c>
      <c r="E2" t="s">
        <v>9</v>
      </c>
      <c r="F2" t="s">
        <v>11</v>
      </c>
      <c r="G2" t="s">
        <v>18</v>
      </c>
      <c r="H2">
        <v>0.22</v>
      </c>
      <c r="I2">
        <v>0.2727</v>
      </c>
      <c r="J2">
        <v>0.8</v>
      </c>
      <c r="K2">
        <v>0</v>
      </c>
      <c r="L2">
        <v>10</v>
      </c>
      <c r="M2">
        <v>70</v>
      </c>
      <c r="N2">
        <v>80</v>
      </c>
    </row>
    <row r="3" spans="1:14" x14ac:dyDescent="0.3">
      <c r="A3">
        <v>612</v>
      </c>
      <c r="B3">
        <v>40571</v>
      </c>
      <c r="C3">
        <v>0.70833333333333337</v>
      </c>
      <c r="D3" t="s">
        <v>8</v>
      </c>
      <c r="E3" t="s">
        <v>9</v>
      </c>
      <c r="F3" t="s">
        <v>11</v>
      </c>
      <c r="G3" t="s">
        <v>18</v>
      </c>
      <c r="H3">
        <v>0.24</v>
      </c>
      <c r="I3">
        <v>0.2424</v>
      </c>
      <c r="J3">
        <v>0.75</v>
      </c>
      <c r="K3">
        <v>0.1343</v>
      </c>
      <c r="L3">
        <v>2</v>
      </c>
      <c r="M3">
        <v>147</v>
      </c>
      <c r="N3">
        <v>149</v>
      </c>
    </row>
    <row r="4" spans="1:14" x14ac:dyDescent="0.3">
      <c r="A4">
        <v>613</v>
      </c>
      <c r="B4">
        <v>40571</v>
      </c>
      <c r="C4">
        <v>0.75</v>
      </c>
      <c r="D4" t="s">
        <v>8</v>
      </c>
      <c r="E4" t="s">
        <v>9</v>
      </c>
      <c r="F4" t="s">
        <v>11</v>
      </c>
      <c r="G4" t="s">
        <v>18</v>
      </c>
      <c r="H4">
        <v>0.24</v>
      </c>
      <c r="I4">
        <v>0.2273</v>
      </c>
      <c r="J4">
        <v>0.75</v>
      </c>
      <c r="K4">
        <v>0.19400000000000001</v>
      </c>
      <c r="L4">
        <v>2</v>
      </c>
      <c r="M4">
        <v>107</v>
      </c>
      <c r="N4">
        <v>109</v>
      </c>
    </row>
    <row r="5" spans="1:14" x14ac:dyDescent="0.3">
      <c r="A5">
        <v>614</v>
      </c>
      <c r="B5">
        <v>40571</v>
      </c>
      <c r="C5">
        <v>0.79166666666666663</v>
      </c>
      <c r="D5" t="s">
        <v>8</v>
      </c>
      <c r="E5" t="s">
        <v>9</v>
      </c>
      <c r="F5" t="s">
        <v>11</v>
      </c>
      <c r="G5" t="s">
        <v>19</v>
      </c>
      <c r="H5">
        <v>0.24</v>
      </c>
      <c r="I5">
        <v>0.2424</v>
      </c>
      <c r="J5">
        <v>0.75</v>
      </c>
      <c r="K5">
        <v>0.1343</v>
      </c>
      <c r="L5">
        <v>5</v>
      </c>
      <c r="M5">
        <v>84</v>
      </c>
      <c r="N5">
        <v>89</v>
      </c>
    </row>
    <row r="6" spans="1:14" x14ac:dyDescent="0.3">
      <c r="A6">
        <v>615</v>
      </c>
      <c r="B6">
        <v>40571</v>
      </c>
      <c r="C6">
        <v>0.83333333333333337</v>
      </c>
      <c r="D6" t="s">
        <v>8</v>
      </c>
      <c r="E6" t="s">
        <v>9</v>
      </c>
      <c r="F6" t="s">
        <v>11</v>
      </c>
      <c r="G6" t="s">
        <v>19</v>
      </c>
      <c r="H6">
        <v>0.24</v>
      </c>
      <c r="I6">
        <v>0.2273</v>
      </c>
      <c r="J6">
        <v>0.7</v>
      </c>
      <c r="K6">
        <v>0.19400000000000001</v>
      </c>
      <c r="L6">
        <v>1</v>
      </c>
      <c r="M6">
        <v>61</v>
      </c>
      <c r="N6">
        <v>62</v>
      </c>
    </row>
    <row r="7" spans="1:14" x14ac:dyDescent="0.3">
      <c r="A7">
        <v>616</v>
      </c>
      <c r="B7">
        <v>40571</v>
      </c>
      <c r="C7">
        <v>0.875</v>
      </c>
      <c r="D7" t="s">
        <v>8</v>
      </c>
      <c r="E7" t="s">
        <v>9</v>
      </c>
      <c r="F7" t="s">
        <v>11</v>
      </c>
      <c r="G7" t="s">
        <v>19</v>
      </c>
      <c r="H7">
        <v>0.22</v>
      </c>
      <c r="I7">
        <v>0.2273</v>
      </c>
      <c r="J7">
        <v>0.75</v>
      </c>
      <c r="K7">
        <v>0.1343</v>
      </c>
      <c r="L7">
        <v>1</v>
      </c>
      <c r="M7">
        <v>57</v>
      </c>
      <c r="N7">
        <v>58</v>
      </c>
    </row>
    <row r="8" spans="1:14" x14ac:dyDescent="0.3">
      <c r="A8">
        <v>617</v>
      </c>
      <c r="B8">
        <v>40571</v>
      </c>
      <c r="C8">
        <v>0.91666666666666663</v>
      </c>
      <c r="D8" t="s">
        <v>8</v>
      </c>
      <c r="E8" t="s">
        <v>9</v>
      </c>
      <c r="F8" t="s">
        <v>11</v>
      </c>
      <c r="G8" t="s">
        <v>18</v>
      </c>
      <c r="H8">
        <v>0.24</v>
      </c>
      <c r="I8">
        <v>0.21210000000000001</v>
      </c>
      <c r="J8">
        <v>0.65</v>
      </c>
      <c r="K8">
        <v>0.35820000000000002</v>
      </c>
      <c r="L8">
        <v>0</v>
      </c>
      <c r="M8">
        <v>26</v>
      </c>
      <c r="N8">
        <v>26</v>
      </c>
    </row>
    <row r="9" spans="1:14" x14ac:dyDescent="0.3">
      <c r="A9">
        <v>618</v>
      </c>
      <c r="B9">
        <v>40571</v>
      </c>
      <c r="C9">
        <v>0.95833333333333337</v>
      </c>
      <c r="D9" t="s">
        <v>8</v>
      </c>
      <c r="E9" t="s">
        <v>9</v>
      </c>
      <c r="F9" t="s">
        <v>11</v>
      </c>
      <c r="G9" t="s">
        <v>18</v>
      </c>
      <c r="H9">
        <v>0.24</v>
      </c>
      <c r="I9">
        <v>0.2273</v>
      </c>
      <c r="J9">
        <v>0.6</v>
      </c>
      <c r="K9">
        <v>0.22389999999999999</v>
      </c>
      <c r="L9">
        <v>1</v>
      </c>
      <c r="M9">
        <v>22</v>
      </c>
      <c r="N9">
        <v>23</v>
      </c>
    </row>
    <row r="10" spans="1:14" x14ac:dyDescent="0.3">
      <c r="A10">
        <v>619</v>
      </c>
      <c r="B10">
        <v>40572</v>
      </c>
      <c r="C10">
        <v>0</v>
      </c>
      <c r="D10" t="s">
        <v>8</v>
      </c>
      <c r="E10" t="s">
        <v>9</v>
      </c>
      <c r="F10" t="s">
        <v>12</v>
      </c>
      <c r="G10" t="s">
        <v>18</v>
      </c>
      <c r="H10">
        <v>0.22</v>
      </c>
      <c r="I10">
        <v>0.19700000000000001</v>
      </c>
      <c r="J10">
        <v>0.64</v>
      </c>
      <c r="K10">
        <v>0.35820000000000002</v>
      </c>
      <c r="L10">
        <v>2</v>
      </c>
      <c r="M10">
        <v>26</v>
      </c>
      <c r="N10">
        <v>28</v>
      </c>
    </row>
    <row r="11" spans="1:14" x14ac:dyDescent="0.3">
      <c r="A11">
        <v>620</v>
      </c>
      <c r="B11">
        <v>40572</v>
      </c>
      <c r="C11">
        <v>4.1666666666666664E-2</v>
      </c>
      <c r="D11" t="s">
        <v>8</v>
      </c>
      <c r="E11" t="s">
        <v>9</v>
      </c>
      <c r="F11" t="s">
        <v>12</v>
      </c>
      <c r="G11" t="s">
        <v>18</v>
      </c>
      <c r="H11">
        <v>0.22</v>
      </c>
      <c r="I11">
        <v>0.2273</v>
      </c>
      <c r="J11">
        <v>0.64</v>
      </c>
      <c r="K11">
        <v>0.19400000000000001</v>
      </c>
      <c r="L11">
        <v>0</v>
      </c>
      <c r="M11">
        <v>20</v>
      </c>
      <c r="N11">
        <v>20</v>
      </c>
    </row>
    <row r="12" spans="1:14" x14ac:dyDescent="0.3">
      <c r="A12">
        <v>621</v>
      </c>
      <c r="B12">
        <v>40572</v>
      </c>
      <c r="C12">
        <v>8.3333333333333329E-2</v>
      </c>
      <c r="D12" t="s">
        <v>8</v>
      </c>
      <c r="E12" t="s">
        <v>9</v>
      </c>
      <c r="F12" t="s">
        <v>12</v>
      </c>
      <c r="G12" t="s">
        <v>18</v>
      </c>
      <c r="H12">
        <v>0.22</v>
      </c>
      <c r="I12">
        <v>0.2273</v>
      </c>
      <c r="J12">
        <v>0.64</v>
      </c>
      <c r="K12">
        <v>0.16420000000000001</v>
      </c>
      <c r="L12">
        <v>0</v>
      </c>
      <c r="M12">
        <v>15</v>
      </c>
      <c r="N12">
        <v>15</v>
      </c>
    </row>
    <row r="13" spans="1:14" x14ac:dyDescent="0.3">
      <c r="A13">
        <v>622</v>
      </c>
      <c r="B13">
        <v>40572</v>
      </c>
      <c r="C13">
        <v>0.125</v>
      </c>
      <c r="D13" t="s">
        <v>8</v>
      </c>
      <c r="E13" t="s">
        <v>9</v>
      </c>
      <c r="F13" t="s">
        <v>12</v>
      </c>
      <c r="G13" t="s">
        <v>18</v>
      </c>
      <c r="H13">
        <v>0.2</v>
      </c>
      <c r="I13">
        <v>0.21210000000000001</v>
      </c>
      <c r="J13">
        <v>0.64</v>
      </c>
      <c r="K13">
        <v>0.1343</v>
      </c>
      <c r="L13">
        <v>3</v>
      </c>
      <c r="M13">
        <v>5</v>
      </c>
      <c r="N13">
        <v>8</v>
      </c>
    </row>
    <row r="14" spans="1:14" x14ac:dyDescent="0.3">
      <c r="A14">
        <v>623</v>
      </c>
      <c r="B14">
        <v>40572</v>
      </c>
      <c r="C14">
        <v>0.16666666666666666</v>
      </c>
      <c r="D14" t="s">
        <v>8</v>
      </c>
      <c r="E14" t="s">
        <v>9</v>
      </c>
      <c r="F14" t="s">
        <v>12</v>
      </c>
      <c r="G14" t="s">
        <v>18</v>
      </c>
      <c r="H14">
        <v>0.16</v>
      </c>
      <c r="I14">
        <v>0.18179999999999999</v>
      </c>
      <c r="J14">
        <v>0.69</v>
      </c>
      <c r="K14">
        <v>0.1045</v>
      </c>
      <c r="L14">
        <v>1</v>
      </c>
      <c r="M14">
        <v>2</v>
      </c>
      <c r="N14">
        <v>3</v>
      </c>
    </row>
    <row r="15" spans="1:14" x14ac:dyDescent="0.3">
      <c r="A15">
        <v>624</v>
      </c>
      <c r="B15">
        <v>40572</v>
      </c>
      <c r="C15">
        <v>0.25</v>
      </c>
      <c r="D15" t="s">
        <v>8</v>
      </c>
      <c r="E15" t="s">
        <v>9</v>
      </c>
      <c r="F15" t="s">
        <v>12</v>
      </c>
      <c r="G15" t="s">
        <v>18</v>
      </c>
      <c r="H15">
        <v>0.16</v>
      </c>
      <c r="I15">
        <v>0.18179999999999999</v>
      </c>
      <c r="J15">
        <v>0.64</v>
      </c>
      <c r="K15">
        <v>0.1343</v>
      </c>
      <c r="L15">
        <v>0</v>
      </c>
      <c r="M15">
        <v>2</v>
      </c>
      <c r="N15">
        <v>2</v>
      </c>
    </row>
    <row r="16" spans="1:14" x14ac:dyDescent="0.3">
      <c r="A16">
        <v>625</v>
      </c>
      <c r="B16">
        <v>40572</v>
      </c>
      <c r="C16">
        <v>0.29166666666666669</v>
      </c>
      <c r="D16" t="s">
        <v>8</v>
      </c>
      <c r="E16" t="s">
        <v>9</v>
      </c>
      <c r="F16" t="s">
        <v>12</v>
      </c>
      <c r="G16" t="s">
        <v>18</v>
      </c>
      <c r="H16">
        <v>0.16</v>
      </c>
      <c r="I16">
        <v>0.18179999999999999</v>
      </c>
      <c r="J16">
        <v>0.59</v>
      </c>
      <c r="K16">
        <v>0.1045</v>
      </c>
      <c r="L16">
        <v>1</v>
      </c>
      <c r="M16">
        <v>4</v>
      </c>
      <c r="N16">
        <v>5</v>
      </c>
    </row>
    <row r="17" spans="1:14" x14ac:dyDescent="0.3">
      <c r="A17">
        <v>626</v>
      </c>
      <c r="B17">
        <v>40572</v>
      </c>
      <c r="C17">
        <v>0.33333333333333331</v>
      </c>
      <c r="D17" t="s">
        <v>8</v>
      </c>
      <c r="E17" t="s">
        <v>9</v>
      </c>
      <c r="F17" t="s">
        <v>12</v>
      </c>
      <c r="G17" t="s">
        <v>18</v>
      </c>
      <c r="H17">
        <v>0.18</v>
      </c>
      <c r="I17">
        <v>0.19700000000000001</v>
      </c>
      <c r="J17">
        <v>0.55000000000000004</v>
      </c>
      <c r="K17">
        <v>0.16420000000000001</v>
      </c>
      <c r="L17">
        <v>3</v>
      </c>
      <c r="M17">
        <v>31</v>
      </c>
      <c r="N17">
        <v>34</v>
      </c>
    </row>
    <row r="18" spans="1:14" x14ac:dyDescent="0.3">
      <c r="A18">
        <v>627</v>
      </c>
      <c r="B18">
        <v>40572</v>
      </c>
      <c r="C18">
        <v>0.375</v>
      </c>
      <c r="D18" t="s">
        <v>8</v>
      </c>
      <c r="E18" t="s">
        <v>9</v>
      </c>
      <c r="F18" t="s">
        <v>12</v>
      </c>
      <c r="G18" t="s">
        <v>18</v>
      </c>
      <c r="H18">
        <v>0.18</v>
      </c>
      <c r="I18">
        <v>0.21210000000000001</v>
      </c>
      <c r="J18">
        <v>0.59</v>
      </c>
      <c r="K18">
        <v>8.9599999999999999E-2</v>
      </c>
      <c r="L18">
        <v>0</v>
      </c>
      <c r="M18">
        <v>34</v>
      </c>
      <c r="N18">
        <v>34</v>
      </c>
    </row>
    <row r="19" spans="1:14" x14ac:dyDescent="0.3">
      <c r="A19">
        <v>628</v>
      </c>
      <c r="B19">
        <v>40572</v>
      </c>
      <c r="C19">
        <v>0.41666666666666669</v>
      </c>
      <c r="D19" t="s">
        <v>8</v>
      </c>
      <c r="E19" t="s">
        <v>9</v>
      </c>
      <c r="F19" t="s">
        <v>12</v>
      </c>
      <c r="G19" t="s">
        <v>19</v>
      </c>
      <c r="H19">
        <v>0.18</v>
      </c>
      <c r="I19">
        <v>0.21210000000000001</v>
      </c>
      <c r="J19">
        <v>0.64</v>
      </c>
      <c r="K19">
        <v>0.1045</v>
      </c>
      <c r="L19">
        <v>4</v>
      </c>
      <c r="M19">
        <v>51</v>
      </c>
      <c r="N19">
        <v>55</v>
      </c>
    </row>
    <row r="20" spans="1:14" x14ac:dyDescent="0.3">
      <c r="A20">
        <v>629</v>
      </c>
      <c r="B20">
        <v>40572</v>
      </c>
      <c r="C20">
        <v>0.45833333333333331</v>
      </c>
      <c r="D20" t="s">
        <v>8</v>
      </c>
      <c r="E20" t="s">
        <v>9</v>
      </c>
      <c r="F20" t="s">
        <v>12</v>
      </c>
      <c r="G20" t="s">
        <v>19</v>
      </c>
      <c r="H20">
        <v>0.18</v>
      </c>
      <c r="I20">
        <v>0.19700000000000001</v>
      </c>
      <c r="J20">
        <v>0.64</v>
      </c>
      <c r="K20">
        <v>0.1343</v>
      </c>
      <c r="L20">
        <v>4</v>
      </c>
      <c r="M20">
        <v>60</v>
      </c>
      <c r="N20">
        <v>64</v>
      </c>
    </row>
    <row r="21" spans="1:14" x14ac:dyDescent="0.3">
      <c r="A21">
        <v>630</v>
      </c>
      <c r="B21">
        <v>40572</v>
      </c>
      <c r="C21">
        <v>0.5</v>
      </c>
      <c r="D21" t="s">
        <v>8</v>
      </c>
      <c r="E21" t="s">
        <v>9</v>
      </c>
      <c r="F21" t="s">
        <v>12</v>
      </c>
      <c r="G21" t="s">
        <v>19</v>
      </c>
      <c r="H21">
        <v>0.2</v>
      </c>
      <c r="I21">
        <v>0.19700000000000001</v>
      </c>
      <c r="J21">
        <v>0.59</v>
      </c>
      <c r="K21">
        <v>0.19400000000000001</v>
      </c>
      <c r="L21">
        <v>12</v>
      </c>
      <c r="M21">
        <v>66</v>
      </c>
      <c r="N21">
        <v>78</v>
      </c>
    </row>
    <row r="22" spans="1:14" x14ac:dyDescent="0.3">
      <c r="A22">
        <v>631</v>
      </c>
      <c r="B22">
        <v>40572</v>
      </c>
      <c r="C22">
        <v>0.54166666666666663</v>
      </c>
      <c r="D22" t="s">
        <v>8</v>
      </c>
      <c r="E22" t="s">
        <v>9</v>
      </c>
      <c r="F22" t="s">
        <v>12</v>
      </c>
      <c r="G22" t="s">
        <v>19</v>
      </c>
      <c r="H22">
        <v>0.22</v>
      </c>
      <c r="I22">
        <v>0.2273</v>
      </c>
      <c r="J22">
        <v>0.55000000000000004</v>
      </c>
      <c r="K22">
        <v>0.16420000000000001</v>
      </c>
      <c r="L22">
        <v>9</v>
      </c>
      <c r="M22">
        <v>56</v>
      </c>
      <c r="N22">
        <v>65</v>
      </c>
    </row>
    <row r="23" spans="1:14" x14ac:dyDescent="0.3">
      <c r="A23">
        <v>632</v>
      </c>
      <c r="B23">
        <v>40572</v>
      </c>
      <c r="C23">
        <v>0.58333333333333337</v>
      </c>
      <c r="D23" t="s">
        <v>8</v>
      </c>
      <c r="E23" t="s">
        <v>9</v>
      </c>
      <c r="F23" t="s">
        <v>12</v>
      </c>
      <c r="G23" t="s">
        <v>19</v>
      </c>
      <c r="H23">
        <v>0.22</v>
      </c>
      <c r="I23">
        <v>0.2273</v>
      </c>
      <c r="J23">
        <v>0.6</v>
      </c>
      <c r="K23">
        <v>0.1343</v>
      </c>
      <c r="L23">
        <v>10</v>
      </c>
      <c r="M23">
        <v>89</v>
      </c>
      <c r="N23">
        <v>99</v>
      </c>
    </row>
    <row r="24" spans="1:14" x14ac:dyDescent="0.3">
      <c r="A24">
        <v>633</v>
      </c>
      <c r="B24">
        <v>40572</v>
      </c>
      <c r="C24">
        <v>0.625</v>
      </c>
      <c r="D24" t="s">
        <v>8</v>
      </c>
      <c r="E24" t="s">
        <v>9</v>
      </c>
      <c r="F24" t="s">
        <v>12</v>
      </c>
      <c r="G24" t="s">
        <v>18</v>
      </c>
      <c r="H24">
        <v>0.22</v>
      </c>
      <c r="I24">
        <v>0.21210000000000001</v>
      </c>
      <c r="J24">
        <v>0.69</v>
      </c>
      <c r="K24">
        <v>0.25369999999999998</v>
      </c>
      <c r="L24">
        <v>22</v>
      </c>
      <c r="M24">
        <v>98</v>
      </c>
      <c r="N24">
        <v>120</v>
      </c>
    </row>
    <row r="25" spans="1:14" x14ac:dyDescent="0.3">
      <c r="A25">
        <v>634</v>
      </c>
      <c r="B25">
        <v>40572</v>
      </c>
      <c r="C25">
        <v>0.66666666666666663</v>
      </c>
      <c r="D25" t="s">
        <v>8</v>
      </c>
      <c r="E25" t="s">
        <v>9</v>
      </c>
      <c r="F25" t="s">
        <v>12</v>
      </c>
      <c r="G25" t="s">
        <v>18</v>
      </c>
      <c r="H25">
        <v>0.24</v>
      </c>
      <c r="I25">
        <v>0.2424</v>
      </c>
      <c r="J25">
        <v>0.6</v>
      </c>
      <c r="K25">
        <v>0.16420000000000001</v>
      </c>
      <c r="L25">
        <v>19</v>
      </c>
      <c r="M25">
        <v>88</v>
      </c>
      <c r="N25">
        <v>107</v>
      </c>
    </row>
    <row r="26" spans="1:14" x14ac:dyDescent="0.3">
      <c r="A26">
        <v>635</v>
      </c>
      <c r="B26">
        <v>40572</v>
      </c>
      <c r="C26">
        <v>0.70833333333333337</v>
      </c>
      <c r="D26" t="s">
        <v>8</v>
      </c>
      <c r="E26" t="s">
        <v>9</v>
      </c>
      <c r="F26" t="s">
        <v>12</v>
      </c>
      <c r="G26" t="s">
        <v>18</v>
      </c>
      <c r="H26">
        <v>0.24</v>
      </c>
      <c r="I26">
        <v>0.28789999999999999</v>
      </c>
      <c r="J26">
        <v>0.6</v>
      </c>
      <c r="K26">
        <v>0</v>
      </c>
      <c r="L26">
        <v>9</v>
      </c>
      <c r="M26">
        <v>82</v>
      </c>
      <c r="N26">
        <v>91</v>
      </c>
    </row>
    <row r="27" spans="1:14" x14ac:dyDescent="0.3">
      <c r="A27">
        <v>636</v>
      </c>
      <c r="B27">
        <v>40572</v>
      </c>
      <c r="C27">
        <v>0.75</v>
      </c>
      <c r="D27" t="s">
        <v>8</v>
      </c>
      <c r="E27" t="s">
        <v>9</v>
      </c>
      <c r="F27" t="s">
        <v>12</v>
      </c>
      <c r="G27" t="s">
        <v>18</v>
      </c>
      <c r="H27">
        <v>0.22</v>
      </c>
      <c r="I27">
        <v>0.2273</v>
      </c>
      <c r="J27">
        <v>0.69</v>
      </c>
      <c r="K27">
        <v>0.1343</v>
      </c>
      <c r="L27">
        <v>9</v>
      </c>
      <c r="M27">
        <v>59</v>
      </c>
      <c r="N27">
        <v>68</v>
      </c>
    </row>
    <row r="28" spans="1:14" x14ac:dyDescent="0.3">
      <c r="A28">
        <v>637</v>
      </c>
      <c r="B28">
        <v>40572</v>
      </c>
      <c r="C28">
        <v>0.79166666666666663</v>
      </c>
      <c r="D28" t="s">
        <v>8</v>
      </c>
      <c r="E28" t="s">
        <v>9</v>
      </c>
      <c r="F28" t="s">
        <v>12</v>
      </c>
      <c r="G28" t="s">
        <v>19</v>
      </c>
      <c r="H28">
        <v>0.22</v>
      </c>
      <c r="I28">
        <v>0.21210000000000001</v>
      </c>
      <c r="J28">
        <v>0.69</v>
      </c>
      <c r="K28">
        <v>0.25369999999999998</v>
      </c>
      <c r="L28">
        <v>6</v>
      </c>
      <c r="M28">
        <v>52</v>
      </c>
      <c r="N28">
        <v>58</v>
      </c>
    </row>
    <row r="29" spans="1:14" x14ac:dyDescent="0.3">
      <c r="A29">
        <v>638</v>
      </c>
      <c r="B29">
        <v>40572</v>
      </c>
      <c r="C29">
        <v>0.83333333333333337</v>
      </c>
      <c r="D29" t="s">
        <v>8</v>
      </c>
      <c r="E29" t="s">
        <v>9</v>
      </c>
      <c r="F29" t="s">
        <v>12</v>
      </c>
      <c r="G29" t="s">
        <v>18</v>
      </c>
      <c r="H29">
        <v>0.18</v>
      </c>
      <c r="I29">
        <v>0.21210000000000001</v>
      </c>
      <c r="J29">
        <v>0.74</v>
      </c>
      <c r="K29">
        <v>8.9599999999999999E-2</v>
      </c>
      <c r="L29">
        <v>1</v>
      </c>
      <c r="M29">
        <v>42</v>
      </c>
      <c r="N29">
        <v>43</v>
      </c>
    </row>
    <row r="30" spans="1:14" x14ac:dyDescent="0.3">
      <c r="A30">
        <v>639</v>
      </c>
      <c r="B30">
        <v>40572</v>
      </c>
      <c r="C30">
        <v>0.875</v>
      </c>
      <c r="D30" t="s">
        <v>8</v>
      </c>
      <c r="E30" t="s">
        <v>9</v>
      </c>
      <c r="F30" t="s">
        <v>12</v>
      </c>
      <c r="G30" t="s">
        <v>18</v>
      </c>
      <c r="H30">
        <v>0.18</v>
      </c>
      <c r="I30">
        <v>0.21210000000000001</v>
      </c>
      <c r="J30">
        <v>0.74</v>
      </c>
      <c r="K30">
        <v>8.9599999999999999E-2</v>
      </c>
      <c r="L30">
        <v>1</v>
      </c>
      <c r="M30">
        <v>35</v>
      </c>
      <c r="N30">
        <v>36</v>
      </c>
    </row>
    <row r="31" spans="1:14" x14ac:dyDescent="0.3">
      <c r="A31">
        <v>640</v>
      </c>
      <c r="B31">
        <v>40572</v>
      </c>
      <c r="C31">
        <v>0.91666666666666663</v>
      </c>
      <c r="D31" t="s">
        <v>8</v>
      </c>
      <c r="E31" t="s">
        <v>9</v>
      </c>
      <c r="F31" t="s">
        <v>12</v>
      </c>
      <c r="G31" t="s">
        <v>18</v>
      </c>
      <c r="H31">
        <v>0.16</v>
      </c>
      <c r="I31">
        <v>0.19700000000000001</v>
      </c>
      <c r="J31">
        <v>0.8</v>
      </c>
      <c r="K31">
        <v>8.9599999999999999E-2</v>
      </c>
      <c r="L31">
        <v>4</v>
      </c>
      <c r="M31">
        <v>28</v>
      </c>
      <c r="N31">
        <v>32</v>
      </c>
    </row>
    <row r="32" spans="1:14" x14ac:dyDescent="0.3">
      <c r="A32">
        <v>641</v>
      </c>
      <c r="B32">
        <v>40572</v>
      </c>
      <c r="C32">
        <v>0.95833333333333337</v>
      </c>
      <c r="D32" t="s">
        <v>8</v>
      </c>
      <c r="E32" t="s">
        <v>9</v>
      </c>
      <c r="F32" t="s">
        <v>12</v>
      </c>
      <c r="G32" t="s">
        <v>18</v>
      </c>
      <c r="H32">
        <v>0.16</v>
      </c>
      <c r="I32">
        <v>0.19700000000000001</v>
      </c>
      <c r="J32">
        <v>0.8</v>
      </c>
      <c r="K32">
        <v>8.9599999999999999E-2</v>
      </c>
      <c r="L32">
        <v>3</v>
      </c>
      <c r="M32">
        <v>30</v>
      </c>
      <c r="N32">
        <v>33</v>
      </c>
    </row>
    <row r="33" spans="1:14" x14ac:dyDescent="0.3">
      <c r="A33">
        <v>642</v>
      </c>
      <c r="B33">
        <v>40573</v>
      </c>
      <c r="C33">
        <v>0</v>
      </c>
      <c r="D33" t="s">
        <v>8</v>
      </c>
      <c r="E33" t="s">
        <v>9</v>
      </c>
      <c r="F33" t="s">
        <v>13</v>
      </c>
      <c r="G33" t="s">
        <v>18</v>
      </c>
      <c r="H33">
        <v>0.16</v>
      </c>
      <c r="I33">
        <v>0.18179999999999999</v>
      </c>
      <c r="J33">
        <v>0.8</v>
      </c>
      <c r="K33">
        <v>0.1045</v>
      </c>
      <c r="L33">
        <v>0</v>
      </c>
      <c r="M33">
        <v>33</v>
      </c>
      <c r="N33">
        <v>33</v>
      </c>
    </row>
    <row r="34" spans="1:14" x14ac:dyDescent="0.3">
      <c r="A34">
        <v>643</v>
      </c>
      <c r="B34">
        <v>40573</v>
      </c>
      <c r="C34">
        <v>4.1666666666666664E-2</v>
      </c>
      <c r="D34" t="s">
        <v>8</v>
      </c>
      <c r="E34" t="s">
        <v>9</v>
      </c>
      <c r="F34" t="s">
        <v>13</v>
      </c>
      <c r="G34" t="s">
        <v>18</v>
      </c>
      <c r="H34">
        <v>0.14000000000000001</v>
      </c>
      <c r="I34">
        <v>0.21210000000000001</v>
      </c>
      <c r="J34">
        <v>0.8</v>
      </c>
      <c r="K34">
        <v>0</v>
      </c>
      <c r="L34">
        <v>7</v>
      </c>
      <c r="M34">
        <v>22</v>
      </c>
      <c r="N34">
        <v>29</v>
      </c>
    </row>
    <row r="35" spans="1:14" x14ac:dyDescent="0.3">
      <c r="A35">
        <v>644</v>
      </c>
      <c r="B35">
        <v>40573</v>
      </c>
      <c r="C35">
        <v>8.3333333333333329E-2</v>
      </c>
      <c r="D35" t="s">
        <v>8</v>
      </c>
      <c r="E35" t="s">
        <v>9</v>
      </c>
      <c r="F35" t="s">
        <v>13</v>
      </c>
      <c r="G35" t="s">
        <v>18</v>
      </c>
      <c r="H35">
        <v>0.16</v>
      </c>
      <c r="I35">
        <v>0.2273</v>
      </c>
      <c r="J35">
        <v>0.8</v>
      </c>
      <c r="K35">
        <v>0</v>
      </c>
      <c r="L35">
        <v>1</v>
      </c>
      <c r="M35">
        <v>10</v>
      </c>
      <c r="N35">
        <v>11</v>
      </c>
    </row>
    <row r="36" spans="1:14" x14ac:dyDescent="0.3">
      <c r="A36">
        <v>645</v>
      </c>
      <c r="B36">
        <v>40573</v>
      </c>
      <c r="C36">
        <v>0.125</v>
      </c>
      <c r="D36" t="s">
        <v>8</v>
      </c>
      <c r="E36" t="s">
        <v>9</v>
      </c>
      <c r="F36" t="s">
        <v>13</v>
      </c>
      <c r="G36" t="s">
        <v>18</v>
      </c>
      <c r="H36">
        <v>0.14000000000000001</v>
      </c>
      <c r="I36">
        <v>0.21210000000000001</v>
      </c>
      <c r="J36">
        <v>0.93</v>
      </c>
      <c r="K36">
        <v>0</v>
      </c>
      <c r="L36">
        <v>1</v>
      </c>
      <c r="M36">
        <v>7</v>
      </c>
      <c r="N36">
        <v>8</v>
      </c>
    </row>
    <row r="37" spans="1:14" x14ac:dyDescent="0.3">
      <c r="A37">
        <v>646</v>
      </c>
      <c r="B37">
        <v>40573</v>
      </c>
      <c r="C37">
        <v>0.16666666666666666</v>
      </c>
      <c r="D37" t="s">
        <v>8</v>
      </c>
      <c r="E37" t="s">
        <v>9</v>
      </c>
      <c r="F37" t="s">
        <v>13</v>
      </c>
      <c r="G37" t="s">
        <v>18</v>
      </c>
      <c r="H37">
        <v>0.14000000000000001</v>
      </c>
      <c r="I37">
        <v>0.21210000000000001</v>
      </c>
      <c r="J37">
        <v>0.93</v>
      </c>
      <c r="K37">
        <v>0</v>
      </c>
      <c r="L37">
        <v>0</v>
      </c>
      <c r="M37">
        <v>1</v>
      </c>
      <c r="N37">
        <v>1</v>
      </c>
    </row>
    <row r="38" spans="1:14" x14ac:dyDescent="0.3">
      <c r="A38">
        <v>647</v>
      </c>
      <c r="B38">
        <v>40573</v>
      </c>
      <c r="C38">
        <v>0.20833333333333334</v>
      </c>
      <c r="D38" t="s">
        <v>8</v>
      </c>
      <c r="E38" t="s">
        <v>9</v>
      </c>
      <c r="F38" t="s">
        <v>13</v>
      </c>
      <c r="G38" t="s">
        <v>18</v>
      </c>
      <c r="H38">
        <v>0.14000000000000001</v>
      </c>
      <c r="I38">
        <v>0.21210000000000001</v>
      </c>
      <c r="J38">
        <v>0.86</v>
      </c>
      <c r="K38">
        <v>0</v>
      </c>
      <c r="L38">
        <v>0</v>
      </c>
      <c r="M38">
        <v>3</v>
      </c>
      <c r="N38">
        <v>3</v>
      </c>
    </row>
    <row r="39" spans="1:14" x14ac:dyDescent="0.3">
      <c r="A39">
        <v>648</v>
      </c>
      <c r="B39">
        <v>40573</v>
      </c>
      <c r="C39">
        <v>0.29166666666666669</v>
      </c>
      <c r="D39" t="s">
        <v>8</v>
      </c>
      <c r="E39" t="s">
        <v>9</v>
      </c>
      <c r="F39" t="s">
        <v>13</v>
      </c>
      <c r="G39" t="s">
        <v>18</v>
      </c>
      <c r="H39">
        <v>0.14000000000000001</v>
      </c>
      <c r="I39">
        <v>0.21210000000000001</v>
      </c>
      <c r="J39">
        <v>0.86</v>
      </c>
      <c r="K39">
        <v>0</v>
      </c>
      <c r="L39">
        <v>0</v>
      </c>
      <c r="M39">
        <v>3</v>
      </c>
      <c r="N39">
        <v>3</v>
      </c>
    </row>
    <row r="40" spans="1:14" x14ac:dyDescent="0.3">
      <c r="A40">
        <v>649</v>
      </c>
      <c r="B40">
        <v>40573</v>
      </c>
      <c r="C40">
        <v>0.33333333333333331</v>
      </c>
      <c r="D40" t="s">
        <v>8</v>
      </c>
      <c r="E40" t="s">
        <v>9</v>
      </c>
      <c r="F40" t="s">
        <v>13</v>
      </c>
      <c r="G40" t="s">
        <v>19</v>
      </c>
      <c r="H40">
        <v>0.14000000000000001</v>
      </c>
      <c r="I40">
        <v>0.21210000000000001</v>
      </c>
      <c r="J40">
        <v>0.86</v>
      </c>
      <c r="K40">
        <v>0</v>
      </c>
      <c r="L40">
        <v>1</v>
      </c>
      <c r="M40">
        <v>11</v>
      </c>
      <c r="N40">
        <v>12</v>
      </c>
    </row>
    <row r="41" spans="1:14" x14ac:dyDescent="0.3">
      <c r="A41">
        <v>650</v>
      </c>
      <c r="B41">
        <v>40573</v>
      </c>
      <c r="C41">
        <v>0.375</v>
      </c>
      <c r="D41" t="s">
        <v>8</v>
      </c>
      <c r="E41" t="s">
        <v>9</v>
      </c>
      <c r="F41" t="s">
        <v>13</v>
      </c>
      <c r="G41" t="s">
        <v>19</v>
      </c>
      <c r="H41">
        <v>0.16</v>
      </c>
      <c r="I41">
        <v>0.2273</v>
      </c>
      <c r="J41">
        <v>0.8</v>
      </c>
      <c r="K41">
        <v>0</v>
      </c>
      <c r="L41">
        <v>4</v>
      </c>
      <c r="M41">
        <v>34</v>
      </c>
      <c r="N41">
        <v>38</v>
      </c>
    </row>
    <row r="42" spans="1:14" x14ac:dyDescent="0.3">
      <c r="A42">
        <v>651</v>
      </c>
      <c r="B42">
        <v>40573</v>
      </c>
      <c r="C42">
        <v>0.41666666666666669</v>
      </c>
      <c r="D42" t="s">
        <v>8</v>
      </c>
      <c r="E42" t="s">
        <v>9</v>
      </c>
      <c r="F42" t="s">
        <v>13</v>
      </c>
      <c r="G42" t="s">
        <v>19</v>
      </c>
      <c r="H42">
        <v>0.18</v>
      </c>
      <c r="I42">
        <v>0.2424</v>
      </c>
      <c r="J42">
        <v>0.8</v>
      </c>
      <c r="K42">
        <v>0</v>
      </c>
      <c r="L42">
        <v>7</v>
      </c>
      <c r="M42">
        <v>57</v>
      </c>
      <c r="N42">
        <v>64</v>
      </c>
    </row>
    <row r="43" spans="1:14" x14ac:dyDescent="0.3">
      <c r="A43">
        <v>652</v>
      </c>
      <c r="B43">
        <v>40573</v>
      </c>
      <c r="C43">
        <v>0.45833333333333331</v>
      </c>
      <c r="D43" t="s">
        <v>8</v>
      </c>
      <c r="E43" t="s">
        <v>9</v>
      </c>
      <c r="F43" t="s">
        <v>13</v>
      </c>
      <c r="G43" t="s">
        <v>18</v>
      </c>
      <c r="H43">
        <v>0.22</v>
      </c>
      <c r="I43">
        <v>0.2727</v>
      </c>
      <c r="J43">
        <v>0.75</v>
      </c>
      <c r="K43">
        <v>0</v>
      </c>
      <c r="L43">
        <v>9</v>
      </c>
      <c r="M43">
        <v>50</v>
      </c>
      <c r="N43">
        <v>59</v>
      </c>
    </row>
    <row r="44" spans="1:14" x14ac:dyDescent="0.3">
      <c r="A44">
        <v>653</v>
      </c>
      <c r="B44">
        <v>40573</v>
      </c>
      <c r="C44">
        <v>0.5</v>
      </c>
      <c r="D44" t="s">
        <v>8</v>
      </c>
      <c r="E44" t="s">
        <v>9</v>
      </c>
      <c r="F44" t="s">
        <v>13</v>
      </c>
      <c r="G44" t="s">
        <v>18</v>
      </c>
      <c r="H44">
        <v>0.3</v>
      </c>
      <c r="I44">
        <v>0.31819999999999998</v>
      </c>
      <c r="J44">
        <v>0.52</v>
      </c>
      <c r="K44">
        <v>0.1045</v>
      </c>
      <c r="L44">
        <v>10</v>
      </c>
      <c r="M44">
        <v>87</v>
      </c>
      <c r="N44">
        <v>97</v>
      </c>
    </row>
    <row r="45" spans="1:14" x14ac:dyDescent="0.3">
      <c r="A45">
        <v>654</v>
      </c>
      <c r="B45">
        <v>40573</v>
      </c>
      <c r="C45">
        <v>0.54166666666666663</v>
      </c>
      <c r="D45" t="s">
        <v>8</v>
      </c>
      <c r="E45" t="s">
        <v>9</v>
      </c>
      <c r="F45" t="s">
        <v>13</v>
      </c>
      <c r="G45" t="s">
        <v>18</v>
      </c>
      <c r="H45">
        <v>0.28000000000000003</v>
      </c>
      <c r="I45">
        <v>0.28789999999999999</v>
      </c>
      <c r="J45">
        <v>0.61</v>
      </c>
      <c r="K45">
        <v>0.1045</v>
      </c>
      <c r="L45">
        <v>13</v>
      </c>
      <c r="M45">
        <v>71</v>
      </c>
      <c r="N45">
        <v>84</v>
      </c>
    </row>
    <row r="46" spans="1:14" x14ac:dyDescent="0.3">
      <c r="A46">
        <v>655</v>
      </c>
      <c r="B46">
        <v>40573</v>
      </c>
      <c r="C46">
        <v>0.58333333333333337</v>
      </c>
      <c r="D46" t="s">
        <v>8</v>
      </c>
      <c r="E46" t="s">
        <v>9</v>
      </c>
      <c r="F46" t="s">
        <v>13</v>
      </c>
      <c r="G46" t="s">
        <v>18</v>
      </c>
      <c r="H46">
        <v>0.28000000000000003</v>
      </c>
      <c r="I46">
        <v>0.30299999999999999</v>
      </c>
      <c r="J46">
        <v>0.61</v>
      </c>
      <c r="K46">
        <v>8.9599999999999999E-2</v>
      </c>
      <c r="L46">
        <v>18</v>
      </c>
      <c r="M46">
        <v>104</v>
      </c>
      <c r="N46">
        <v>122</v>
      </c>
    </row>
    <row r="47" spans="1:14" x14ac:dyDescent="0.3">
      <c r="A47">
        <v>656</v>
      </c>
      <c r="B47">
        <v>40573</v>
      </c>
      <c r="C47">
        <v>0.625</v>
      </c>
      <c r="D47" t="s">
        <v>8</v>
      </c>
      <c r="E47" t="s">
        <v>9</v>
      </c>
      <c r="F47" t="s">
        <v>13</v>
      </c>
      <c r="G47" t="s">
        <v>18</v>
      </c>
      <c r="H47">
        <v>0.3</v>
      </c>
      <c r="I47">
        <v>0.33329999999999999</v>
      </c>
      <c r="J47">
        <v>0.56000000000000005</v>
      </c>
      <c r="K47">
        <v>0</v>
      </c>
      <c r="L47">
        <v>14</v>
      </c>
      <c r="M47">
        <v>95</v>
      </c>
      <c r="N47">
        <v>109</v>
      </c>
    </row>
    <row r="48" spans="1:14" x14ac:dyDescent="0.3">
      <c r="A48">
        <v>657</v>
      </c>
      <c r="B48">
        <v>40573</v>
      </c>
      <c r="C48">
        <v>0.66666666666666663</v>
      </c>
      <c r="D48" t="s">
        <v>8</v>
      </c>
      <c r="E48" t="s">
        <v>9</v>
      </c>
      <c r="F48" t="s">
        <v>13</v>
      </c>
      <c r="G48" t="s">
        <v>18</v>
      </c>
      <c r="H48">
        <v>0.3</v>
      </c>
      <c r="I48">
        <v>0.33329999999999999</v>
      </c>
      <c r="J48">
        <v>0.56000000000000005</v>
      </c>
      <c r="K48">
        <v>0</v>
      </c>
      <c r="L48">
        <v>19</v>
      </c>
      <c r="M48">
        <v>104</v>
      </c>
      <c r="N48">
        <v>123</v>
      </c>
    </row>
    <row r="49" spans="1:14" x14ac:dyDescent="0.3">
      <c r="A49">
        <v>658</v>
      </c>
      <c r="B49">
        <v>40573</v>
      </c>
      <c r="C49">
        <v>0.70833333333333337</v>
      </c>
      <c r="D49" t="s">
        <v>8</v>
      </c>
      <c r="E49" t="s">
        <v>9</v>
      </c>
      <c r="F49" t="s">
        <v>13</v>
      </c>
      <c r="G49" t="s">
        <v>18</v>
      </c>
      <c r="H49">
        <v>0.3</v>
      </c>
      <c r="I49">
        <v>0.28789999999999999</v>
      </c>
      <c r="J49">
        <v>0.56000000000000005</v>
      </c>
      <c r="K49">
        <v>0.19400000000000001</v>
      </c>
      <c r="L49">
        <v>6</v>
      </c>
      <c r="M49">
        <v>71</v>
      </c>
      <c r="N49">
        <v>77</v>
      </c>
    </row>
    <row r="50" spans="1:14" x14ac:dyDescent="0.3">
      <c r="A50">
        <v>659</v>
      </c>
      <c r="B50">
        <v>40573</v>
      </c>
      <c r="C50">
        <v>0.75</v>
      </c>
      <c r="D50" t="s">
        <v>8</v>
      </c>
      <c r="E50" t="s">
        <v>9</v>
      </c>
      <c r="F50" t="s">
        <v>13</v>
      </c>
      <c r="G50" t="s">
        <v>18</v>
      </c>
      <c r="H50">
        <v>0.26</v>
      </c>
      <c r="I50">
        <v>0.2576</v>
      </c>
      <c r="J50">
        <v>0.65</v>
      </c>
      <c r="K50">
        <v>0.16420000000000001</v>
      </c>
      <c r="L50">
        <v>8</v>
      </c>
      <c r="M50">
        <v>57</v>
      </c>
      <c r="N50">
        <v>65</v>
      </c>
    </row>
    <row r="51" spans="1:14" x14ac:dyDescent="0.3">
      <c r="A51">
        <v>660</v>
      </c>
      <c r="B51">
        <v>40573</v>
      </c>
      <c r="C51">
        <v>0.79166666666666663</v>
      </c>
      <c r="D51" t="s">
        <v>8</v>
      </c>
      <c r="E51" t="s">
        <v>9</v>
      </c>
      <c r="F51" t="s">
        <v>13</v>
      </c>
      <c r="G51" t="s">
        <v>18</v>
      </c>
      <c r="H51">
        <v>0.26</v>
      </c>
      <c r="I51">
        <v>0.2576</v>
      </c>
      <c r="J51">
        <v>0.65</v>
      </c>
      <c r="K51">
        <v>0.19400000000000001</v>
      </c>
      <c r="L51">
        <v>9</v>
      </c>
      <c r="M51">
        <v>46</v>
      </c>
      <c r="N51">
        <v>55</v>
      </c>
    </row>
    <row r="52" spans="1:14" x14ac:dyDescent="0.3">
      <c r="A52">
        <v>661</v>
      </c>
      <c r="B52">
        <v>40573</v>
      </c>
      <c r="C52">
        <v>0.83333333333333337</v>
      </c>
      <c r="D52" t="s">
        <v>8</v>
      </c>
      <c r="E52" t="s">
        <v>9</v>
      </c>
      <c r="F52" t="s">
        <v>13</v>
      </c>
      <c r="G52" t="s">
        <v>19</v>
      </c>
      <c r="H52">
        <v>0.26</v>
      </c>
      <c r="I52">
        <v>0.2727</v>
      </c>
      <c r="J52">
        <v>0.65</v>
      </c>
      <c r="K52">
        <v>0.1045</v>
      </c>
      <c r="L52">
        <v>3</v>
      </c>
      <c r="M52">
        <v>30</v>
      </c>
      <c r="N52">
        <v>33</v>
      </c>
    </row>
    <row r="53" spans="1:14" x14ac:dyDescent="0.3">
      <c r="A53">
        <v>662</v>
      </c>
      <c r="B53">
        <v>40573</v>
      </c>
      <c r="C53">
        <v>0.875</v>
      </c>
      <c r="D53" t="s">
        <v>8</v>
      </c>
      <c r="E53" t="s">
        <v>9</v>
      </c>
      <c r="F53" t="s">
        <v>13</v>
      </c>
      <c r="G53" t="s">
        <v>19</v>
      </c>
      <c r="H53">
        <v>0.24</v>
      </c>
      <c r="I53">
        <v>0.2424</v>
      </c>
      <c r="J53">
        <v>0.7</v>
      </c>
      <c r="K53">
        <v>0.16420000000000001</v>
      </c>
      <c r="L53">
        <v>3</v>
      </c>
      <c r="M53">
        <v>25</v>
      </c>
      <c r="N53">
        <v>28</v>
      </c>
    </row>
    <row r="54" spans="1:14" x14ac:dyDescent="0.3">
      <c r="A54">
        <v>663</v>
      </c>
      <c r="B54">
        <v>40573</v>
      </c>
      <c r="C54">
        <v>0.91666666666666663</v>
      </c>
      <c r="D54" t="s">
        <v>8</v>
      </c>
      <c r="E54" t="s">
        <v>9</v>
      </c>
      <c r="F54" t="s">
        <v>13</v>
      </c>
      <c r="G54" t="s">
        <v>19</v>
      </c>
      <c r="H54">
        <v>0.24</v>
      </c>
      <c r="I54">
        <v>0.2273</v>
      </c>
      <c r="J54">
        <v>0.7</v>
      </c>
      <c r="K54">
        <v>0.19400000000000001</v>
      </c>
      <c r="L54">
        <v>2</v>
      </c>
      <c r="M54">
        <v>19</v>
      </c>
      <c r="N54">
        <v>21</v>
      </c>
    </row>
    <row r="55" spans="1:14" x14ac:dyDescent="0.3">
      <c r="A55">
        <v>664</v>
      </c>
      <c r="B55">
        <v>40573</v>
      </c>
      <c r="C55">
        <v>0.95833333333333337</v>
      </c>
      <c r="D55" t="s">
        <v>8</v>
      </c>
      <c r="E55" t="s">
        <v>9</v>
      </c>
      <c r="F55" t="s">
        <v>13</v>
      </c>
      <c r="G55" t="s">
        <v>19</v>
      </c>
      <c r="H55">
        <v>0.24</v>
      </c>
      <c r="I55">
        <v>0.21210000000000001</v>
      </c>
      <c r="J55">
        <v>0.65</v>
      </c>
      <c r="K55">
        <v>0.28360000000000002</v>
      </c>
      <c r="L55">
        <v>5</v>
      </c>
      <c r="M55">
        <v>16</v>
      </c>
      <c r="N55">
        <v>21</v>
      </c>
    </row>
    <row r="56" spans="1:14" x14ac:dyDescent="0.3">
      <c r="A56">
        <v>665</v>
      </c>
      <c r="B56">
        <v>40574</v>
      </c>
      <c r="C56">
        <v>0</v>
      </c>
      <c r="D56" t="s">
        <v>8</v>
      </c>
      <c r="E56" t="s">
        <v>9</v>
      </c>
      <c r="F56" t="s">
        <v>14</v>
      </c>
      <c r="G56" t="s">
        <v>19</v>
      </c>
      <c r="H56">
        <v>0.24</v>
      </c>
      <c r="I56">
        <v>0.2273</v>
      </c>
      <c r="J56">
        <v>0.65</v>
      </c>
      <c r="K56">
        <v>0.22389999999999999</v>
      </c>
      <c r="L56">
        <v>1</v>
      </c>
      <c r="M56">
        <v>6</v>
      </c>
      <c r="N56">
        <v>7</v>
      </c>
    </row>
    <row r="57" spans="1:14" x14ac:dyDescent="0.3">
      <c r="A57">
        <v>666</v>
      </c>
      <c r="B57">
        <v>40574</v>
      </c>
      <c r="C57">
        <v>4.1666666666666664E-2</v>
      </c>
      <c r="D57" t="s">
        <v>8</v>
      </c>
      <c r="E57" t="s">
        <v>9</v>
      </c>
      <c r="F57" t="s">
        <v>14</v>
      </c>
      <c r="G57" t="s">
        <v>18</v>
      </c>
      <c r="H57">
        <v>0.22</v>
      </c>
      <c r="I57">
        <v>0.21210000000000001</v>
      </c>
      <c r="J57">
        <v>0.64</v>
      </c>
      <c r="K57">
        <v>0.25369999999999998</v>
      </c>
      <c r="L57">
        <v>2</v>
      </c>
      <c r="M57">
        <v>5</v>
      </c>
      <c r="N57">
        <v>7</v>
      </c>
    </row>
    <row r="58" spans="1:14" x14ac:dyDescent="0.3">
      <c r="A58">
        <v>667</v>
      </c>
      <c r="B58">
        <v>40574</v>
      </c>
      <c r="C58">
        <v>8.3333333333333329E-2</v>
      </c>
      <c r="D58" t="s">
        <v>8</v>
      </c>
      <c r="E58" t="s">
        <v>9</v>
      </c>
      <c r="F58" t="s">
        <v>14</v>
      </c>
      <c r="G58" t="s">
        <v>18</v>
      </c>
      <c r="H58">
        <v>0.22</v>
      </c>
      <c r="I58">
        <v>0.2273</v>
      </c>
      <c r="J58">
        <v>0.64</v>
      </c>
      <c r="K58">
        <v>0.19400000000000001</v>
      </c>
      <c r="L58">
        <v>0</v>
      </c>
      <c r="M58">
        <v>1</v>
      </c>
      <c r="N58">
        <v>1</v>
      </c>
    </row>
    <row r="59" spans="1:14" x14ac:dyDescent="0.3">
      <c r="A59">
        <v>668</v>
      </c>
      <c r="B59">
        <v>40574</v>
      </c>
      <c r="C59">
        <v>0.125</v>
      </c>
      <c r="D59" t="s">
        <v>8</v>
      </c>
      <c r="E59" t="s">
        <v>9</v>
      </c>
      <c r="F59" t="s">
        <v>14</v>
      </c>
      <c r="G59" t="s">
        <v>18</v>
      </c>
      <c r="H59">
        <v>0.22</v>
      </c>
      <c r="I59">
        <v>0.2273</v>
      </c>
      <c r="J59">
        <v>0.64</v>
      </c>
      <c r="K59">
        <v>0.19400000000000001</v>
      </c>
      <c r="L59">
        <v>0</v>
      </c>
      <c r="M59">
        <v>2</v>
      </c>
      <c r="N59">
        <v>2</v>
      </c>
    </row>
    <row r="60" spans="1:14" x14ac:dyDescent="0.3">
      <c r="A60">
        <v>669</v>
      </c>
      <c r="B60">
        <v>40574</v>
      </c>
      <c r="C60">
        <v>0.16666666666666666</v>
      </c>
      <c r="D60" t="s">
        <v>8</v>
      </c>
      <c r="E60" t="s">
        <v>9</v>
      </c>
      <c r="F60" t="s">
        <v>14</v>
      </c>
      <c r="G60" t="s">
        <v>18</v>
      </c>
      <c r="H60">
        <v>0.2</v>
      </c>
      <c r="I60">
        <v>0.19700000000000001</v>
      </c>
      <c r="J60">
        <v>0.59</v>
      </c>
      <c r="K60">
        <v>0.22389999999999999</v>
      </c>
      <c r="L60">
        <v>0</v>
      </c>
      <c r="M60">
        <v>2</v>
      </c>
      <c r="N60">
        <v>2</v>
      </c>
    </row>
    <row r="61" spans="1:14" x14ac:dyDescent="0.3">
      <c r="A61">
        <v>670</v>
      </c>
      <c r="B61">
        <v>40574</v>
      </c>
      <c r="C61">
        <v>0.20833333333333334</v>
      </c>
      <c r="D61" t="s">
        <v>8</v>
      </c>
      <c r="E61" t="s">
        <v>9</v>
      </c>
      <c r="F61" t="s">
        <v>14</v>
      </c>
      <c r="G61" t="s">
        <v>18</v>
      </c>
      <c r="H61">
        <v>0.18</v>
      </c>
      <c r="I61">
        <v>0.16669999999999999</v>
      </c>
      <c r="J61">
        <v>0.64</v>
      </c>
      <c r="K61">
        <v>0.28360000000000002</v>
      </c>
      <c r="L61">
        <v>0</v>
      </c>
      <c r="M61">
        <v>8</v>
      </c>
      <c r="N61">
        <v>8</v>
      </c>
    </row>
    <row r="62" spans="1:14" x14ac:dyDescent="0.3">
      <c r="A62">
        <v>671</v>
      </c>
      <c r="B62">
        <v>40574</v>
      </c>
      <c r="C62">
        <v>0.25</v>
      </c>
      <c r="D62" t="s">
        <v>8</v>
      </c>
      <c r="E62" t="s">
        <v>9</v>
      </c>
      <c r="F62" t="s">
        <v>14</v>
      </c>
      <c r="G62" t="s">
        <v>18</v>
      </c>
      <c r="H62">
        <v>0.16</v>
      </c>
      <c r="I62">
        <v>0.13639999999999999</v>
      </c>
      <c r="J62">
        <v>0.69</v>
      </c>
      <c r="K62">
        <v>0.32840000000000003</v>
      </c>
      <c r="L62">
        <v>0</v>
      </c>
      <c r="M62">
        <v>37</v>
      </c>
      <c r="N62">
        <v>37</v>
      </c>
    </row>
    <row r="63" spans="1:14" x14ac:dyDescent="0.3">
      <c r="A63">
        <v>672</v>
      </c>
      <c r="B63">
        <v>40574</v>
      </c>
      <c r="C63">
        <v>0.29166666666666669</v>
      </c>
      <c r="D63" t="s">
        <v>8</v>
      </c>
      <c r="E63" t="s">
        <v>9</v>
      </c>
      <c r="F63" t="s">
        <v>14</v>
      </c>
      <c r="G63" t="s">
        <v>19</v>
      </c>
      <c r="H63">
        <v>0.16</v>
      </c>
      <c r="I63">
        <v>0.13639999999999999</v>
      </c>
      <c r="J63">
        <v>0.64</v>
      </c>
      <c r="K63">
        <v>0.28360000000000002</v>
      </c>
      <c r="L63">
        <v>1</v>
      </c>
      <c r="M63">
        <v>71</v>
      </c>
      <c r="N63">
        <v>72</v>
      </c>
    </row>
    <row r="64" spans="1:14" x14ac:dyDescent="0.3">
      <c r="A64">
        <v>673</v>
      </c>
      <c r="B64">
        <v>40574</v>
      </c>
      <c r="C64">
        <v>0.33333333333333331</v>
      </c>
      <c r="D64" t="s">
        <v>8</v>
      </c>
      <c r="E64" t="s">
        <v>9</v>
      </c>
      <c r="F64" t="s">
        <v>14</v>
      </c>
      <c r="G64" t="s">
        <v>19</v>
      </c>
      <c r="H64">
        <v>0.16</v>
      </c>
      <c r="I64">
        <v>0.13639999999999999</v>
      </c>
      <c r="J64">
        <v>0.59</v>
      </c>
      <c r="K64">
        <v>0.28360000000000002</v>
      </c>
      <c r="L64">
        <v>3</v>
      </c>
      <c r="M64">
        <v>182</v>
      </c>
      <c r="N64">
        <v>185</v>
      </c>
    </row>
    <row r="65" spans="1:14" x14ac:dyDescent="0.3">
      <c r="A65">
        <v>674</v>
      </c>
      <c r="B65">
        <v>40574</v>
      </c>
      <c r="C65">
        <v>0.375</v>
      </c>
      <c r="D65" t="s">
        <v>8</v>
      </c>
      <c r="E65" t="s">
        <v>9</v>
      </c>
      <c r="F65" t="s">
        <v>14</v>
      </c>
      <c r="G65" t="s">
        <v>19</v>
      </c>
      <c r="H65">
        <v>0.16</v>
      </c>
      <c r="I65">
        <v>0.13639999999999999</v>
      </c>
      <c r="J65">
        <v>0.59</v>
      </c>
      <c r="K65">
        <v>0.29849999999999999</v>
      </c>
      <c r="L65">
        <v>0</v>
      </c>
      <c r="M65">
        <v>112</v>
      </c>
      <c r="N65">
        <v>112</v>
      </c>
    </row>
    <row r="66" spans="1:14" x14ac:dyDescent="0.3">
      <c r="A66">
        <v>675</v>
      </c>
      <c r="B66">
        <v>40574</v>
      </c>
      <c r="C66">
        <v>0.41666666666666669</v>
      </c>
      <c r="D66" t="s">
        <v>8</v>
      </c>
      <c r="E66" t="s">
        <v>9</v>
      </c>
      <c r="F66" t="s">
        <v>14</v>
      </c>
      <c r="G66" t="s">
        <v>19</v>
      </c>
      <c r="H66">
        <v>0.16</v>
      </c>
      <c r="I66">
        <v>0.1515</v>
      </c>
      <c r="J66">
        <v>0.59</v>
      </c>
      <c r="K66">
        <v>0.19400000000000001</v>
      </c>
      <c r="L66">
        <v>1</v>
      </c>
      <c r="M66">
        <v>68</v>
      </c>
      <c r="N66">
        <v>69</v>
      </c>
    </row>
    <row r="67" spans="1:14" x14ac:dyDescent="0.3">
      <c r="A67">
        <v>676</v>
      </c>
      <c r="B67">
        <v>40574</v>
      </c>
      <c r="C67">
        <v>0.45833333333333331</v>
      </c>
      <c r="D67" t="s">
        <v>8</v>
      </c>
      <c r="E67" t="s">
        <v>9</v>
      </c>
      <c r="F67" t="s">
        <v>14</v>
      </c>
      <c r="G67" t="s">
        <v>19</v>
      </c>
      <c r="H67">
        <v>0.16</v>
      </c>
      <c r="I67">
        <v>0.1515</v>
      </c>
      <c r="J67">
        <v>0.59</v>
      </c>
      <c r="K67">
        <v>0.19400000000000001</v>
      </c>
      <c r="L67">
        <v>2</v>
      </c>
      <c r="M67">
        <v>46</v>
      </c>
      <c r="N67">
        <v>48</v>
      </c>
    </row>
    <row r="68" spans="1:14" x14ac:dyDescent="0.3">
      <c r="A68">
        <v>677</v>
      </c>
      <c r="B68">
        <v>40574</v>
      </c>
      <c r="C68">
        <v>0.5</v>
      </c>
      <c r="D68" t="s">
        <v>8</v>
      </c>
      <c r="E68" t="s">
        <v>9</v>
      </c>
      <c r="F68" t="s">
        <v>14</v>
      </c>
      <c r="G68" t="s">
        <v>19</v>
      </c>
      <c r="H68">
        <v>0.18</v>
      </c>
      <c r="I68">
        <v>0.21210000000000001</v>
      </c>
      <c r="J68">
        <v>0.55000000000000004</v>
      </c>
      <c r="K68">
        <v>0.1045</v>
      </c>
      <c r="L68">
        <v>6</v>
      </c>
      <c r="M68">
        <v>62</v>
      </c>
      <c r="N68">
        <v>68</v>
      </c>
    </row>
    <row r="69" spans="1:14" x14ac:dyDescent="0.3">
      <c r="A69">
        <v>678</v>
      </c>
      <c r="B69">
        <v>40574</v>
      </c>
      <c r="C69">
        <v>0.54166666666666663</v>
      </c>
      <c r="D69" t="s">
        <v>8</v>
      </c>
      <c r="E69" t="s">
        <v>9</v>
      </c>
      <c r="F69" t="s">
        <v>14</v>
      </c>
      <c r="G69" t="s">
        <v>19</v>
      </c>
      <c r="H69">
        <v>0.16</v>
      </c>
      <c r="I69">
        <v>0.2273</v>
      </c>
      <c r="J69">
        <v>0.59</v>
      </c>
      <c r="K69">
        <v>0</v>
      </c>
      <c r="L69">
        <v>2</v>
      </c>
      <c r="M69">
        <v>52</v>
      </c>
      <c r="N69">
        <v>54</v>
      </c>
    </row>
    <row r="70" spans="1:14" x14ac:dyDescent="0.3">
      <c r="A70">
        <v>679</v>
      </c>
      <c r="B70">
        <v>40574</v>
      </c>
      <c r="C70">
        <v>0.58333333333333337</v>
      </c>
      <c r="D70" t="s">
        <v>8</v>
      </c>
      <c r="E70" t="s">
        <v>9</v>
      </c>
      <c r="F70" t="s">
        <v>14</v>
      </c>
      <c r="G70" t="s">
        <v>19</v>
      </c>
      <c r="H70">
        <v>0.18</v>
      </c>
      <c r="I70">
        <v>0.19700000000000001</v>
      </c>
      <c r="J70">
        <v>0.55000000000000004</v>
      </c>
      <c r="K70">
        <v>0.1343</v>
      </c>
      <c r="L70">
        <v>1</v>
      </c>
      <c r="M70">
        <v>85</v>
      </c>
      <c r="N70">
        <v>86</v>
      </c>
    </row>
    <row r="71" spans="1:14" x14ac:dyDescent="0.3">
      <c r="A71">
        <v>680</v>
      </c>
      <c r="B71">
        <v>40574</v>
      </c>
      <c r="C71">
        <v>0.625</v>
      </c>
      <c r="D71" t="s">
        <v>8</v>
      </c>
      <c r="E71" t="s">
        <v>9</v>
      </c>
      <c r="F71" t="s">
        <v>14</v>
      </c>
      <c r="G71" t="s">
        <v>19</v>
      </c>
      <c r="H71">
        <v>0.16</v>
      </c>
      <c r="I71">
        <v>0.18179999999999999</v>
      </c>
      <c r="J71">
        <v>0.59</v>
      </c>
      <c r="K71">
        <v>0.1343</v>
      </c>
      <c r="L71">
        <v>3</v>
      </c>
      <c r="M71">
        <v>41</v>
      </c>
      <c r="N71">
        <v>44</v>
      </c>
    </row>
    <row r="72" spans="1:14" x14ac:dyDescent="0.3">
      <c r="A72">
        <v>681</v>
      </c>
      <c r="B72">
        <v>40574</v>
      </c>
      <c r="C72">
        <v>0.66666666666666663</v>
      </c>
      <c r="D72" t="s">
        <v>8</v>
      </c>
      <c r="E72" t="s">
        <v>9</v>
      </c>
      <c r="F72" t="s">
        <v>14</v>
      </c>
      <c r="G72" t="s">
        <v>19</v>
      </c>
      <c r="H72">
        <v>0.16</v>
      </c>
      <c r="I72">
        <v>0.18179999999999999</v>
      </c>
      <c r="J72">
        <v>0.56000000000000005</v>
      </c>
      <c r="K72">
        <v>0.19400000000000001</v>
      </c>
      <c r="L72">
        <v>3</v>
      </c>
      <c r="M72">
        <v>83</v>
      </c>
      <c r="N72">
        <v>86</v>
      </c>
    </row>
    <row r="73" spans="1:14" x14ac:dyDescent="0.3">
      <c r="A73">
        <v>682</v>
      </c>
      <c r="B73">
        <v>40574</v>
      </c>
      <c r="C73">
        <v>0.70833333333333337</v>
      </c>
      <c r="D73" t="s">
        <v>8</v>
      </c>
      <c r="E73" t="s">
        <v>9</v>
      </c>
      <c r="F73" t="s">
        <v>14</v>
      </c>
      <c r="G73" t="s">
        <v>19</v>
      </c>
      <c r="H73">
        <v>0.16</v>
      </c>
      <c r="I73">
        <v>0.1515</v>
      </c>
      <c r="J73">
        <v>0.59</v>
      </c>
      <c r="K73">
        <v>0.19400000000000001</v>
      </c>
      <c r="L73">
        <v>6</v>
      </c>
      <c r="M73">
        <v>155</v>
      </c>
      <c r="N73">
        <v>161</v>
      </c>
    </row>
    <row r="74" spans="1:14" x14ac:dyDescent="0.3">
      <c r="A74">
        <v>683</v>
      </c>
      <c r="B74">
        <v>40574</v>
      </c>
      <c r="C74">
        <v>0.75</v>
      </c>
      <c r="D74" t="s">
        <v>8</v>
      </c>
      <c r="E74" t="s">
        <v>9</v>
      </c>
      <c r="F74" t="s">
        <v>14</v>
      </c>
      <c r="G74" t="s">
        <v>19</v>
      </c>
      <c r="H74">
        <v>0.16</v>
      </c>
      <c r="I74">
        <v>0.1515</v>
      </c>
      <c r="J74">
        <v>0.55000000000000004</v>
      </c>
      <c r="K74">
        <v>0.22389999999999999</v>
      </c>
      <c r="L74">
        <v>3</v>
      </c>
      <c r="M74">
        <v>153</v>
      </c>
      <c r="N74">
        <v>156</v>
      </c>
    </row>
    <row r="75" spans="1:14" x14ac:dyDescent="0.3">
      <c r="A75">
        <v>684</v>
      </c>
      <c r="B75">
        <v>40574</v>
      </c>
      <c r="C75">
        <v>0.79166666666666663</v>
      </c>
      <c r="D75" t="s">
        <v>8</v>
      </c>
      <c r="E75" t="s">
        <v>9</v>
      </c>
      <c r="F75" t="s">
        <v>14</v>
      </c>
      <c r="G75" t="s">
        <v>18</v>
      </c>
      <c r="H75">
        <v>0.3</v>
      </c>
      <c r="I75">
        <v>0.31819999999999998</v>
      </c>
      <c r="J75">
        <v>0.61</v>
      </c>
      <c r="K75">
        <v>0.1045</v>
      </c>
      <c r="L75">
        <v>3</v>
      </c>
      <c r="M75">
        <v>108</v>
      </c>
      <c r="N75">
        <v>111</v>
      </c>
    </row>
    <row r="76" spans="1:14" x14ac:dyDescent="0.3">
      <c r="A76">
        <v>685</v>
      </c>
      <c r="B76">
        <v>40574</v>
      </c>
      <c r="C76">
        <v>0.83333333333333337</v>
      </c>
      <c r="D76" t="s">
        <v>8</v>
      </c>
      <c r="E76" t="s">
        <v>9</v>
      </c>
      <c r="F76" t="s">
        <v>14</v>
      </c>
      <c r="G76" t="s">
        <v>20</v>
      </c>
      <c r="H76">
        <v>0.16</v>
      </c>
      <c r="I76">
        <v>0.16669999999999999</v>
      </c>
      <c r="J76">
        <v>0.59</v>
      </c>
      <c r="K76">
        <v>0.16420000000000001</v>
      </c>
      <c r="L76">
        <v>0</v>
      </c>
      <c r="M76">
        <v>78</v>
      </c>
      <c r="N76">
        <v>78</v>
      </c>
    </row>
    <row r="77" spans="1:14" x14ac:dyDescent="0.3">
      <c r="A77">
        <v>686</v>
      </c>
      <c r="B77">
        <v>40574</v>
      </c>
      <c r="C77">
        <v>0.875</v>
      </c>
      <c r="D77" t="s">
        <v>8</v>
      </c>
      <c r="E77" t="s">
        <v>9</v>
      </c>
      <c r="F77" t="s">
        <v>14</v>
      </c>
      <c r="G77" t="s">
        <v>20</v>
      </c>
      <c r="H77">
        <v>0.16</v>
      </c>
      <c r="I77">
        <v>0.19700000000000001</v>
      </c>
      <c r="J77">
        <v>0.59</v>
      </c>
      <c r="K77">
        <v>8.9599999999999999E-2</v>
      </c>
      <c r="L77">
        <v>3</v>
      </c>
      <c r="M77">
        <v>53</v>
      </c>
      <c r="N77">
        <v>56</v>
      </c>
    </row>
    <row r="78" spans="1:14" x14ac:dyDescent="0.3">
      <c r="A78">
        <v>687</v>
      </c>
      <c r="B78">
        <v>40574</v>
      </c>
      <c r="C78">
        <v>0.91666666666666663</v>
      </c>
      <c r="D78" t="s">
        <v>8</v>
      </c>
      <c r="E78" t="s">
        <v>9</v>
      </c>
      <c r="F78" t="s">
        <v>14</v>
      </c>
      <c r="G78" t="s">
        <v>19</v>
      </c>
      <c r="H78">
        <v>0.16</v>
      </c>
      <c r="I78">
        <v>0.18179999999999999</v>
      </c>
      <c r="J78">
        <v>0.59</v>
      </c>
      <c r="K78">
        <v>0.1045</v>
      </c>
      <c r="L78">
        <v>0</v>
      </c>
      <c r="M78">
        <v>34</v>
      </c>
      <c r="N78">
        <v>34</v>
      </c>
    </row>
    <row r="79" spans="1:14" x14ac:dyDescent="0.3">
      <c r="A79">
        <v>688</v>
      </c>
      <c r="B79">
        <v>40574</v>
      </c>
      <c r="C79">
        <v>0.95833333333333337</v>
      </c>
      <c r="D79" t="s">
        <v>8</v>
      </c>
      <c r="E79" t="s">
        <v>9</v>
      </c>
      <c r="F79" t="s">
        <v>14</v>
      </c>
      <c r="G79" t="s">
        <v>19</v>
      </c>
      <c r="H79">
        <v>0.16</v>
      </c>
      <c r="I79">
        <v>0.19700000000000001</v>
      </c>
      <c r="J79">
        <v>0.64</v>
      </c>
      <c r="K79">
        <v>8.9599999999999999E-2</v>
      </c>
      <c r="L79">
        <v>2</v>
      </c>
      <c r="M79">
        <v>15</v>
      </c>
      <c r="N79">
        <v>17</v>
      </c>
    </row>
    <row r="80" spans="1:14" x14ac:dyDescent="0.3">
      <c r="A80">
        <v>689</v>
      </c>
      <c r="B80">
        <v>40575</v>
      </c>
      <c r="C80">
        <v>0</v>
      </c>
      <c r="D80" t="s">
        <v>8</v>
      </c>
      <c r="E80" t="s">
        <v>9</v>
      </c>
      <c r="F80" t="s">
        <v>15</v>
      </c>
      <c r="G80" t="s">
        <v>19</v>
      </c>
      <c r="H80">
        <v>0.16</v>
      </c>
      <c r="I80">
        <v>0.18179999999999999</v>
      </c>
      <c r="J80">
        <v>0.64</v>
      </c>
      <c r="K80">
        <v>0.1045</v>
      </c>
      <c r="L80">
        <v>2</v>
      </c>
      <c r="M80">
        <v>6</v>
      </c>
      <c r="N80">
        <v>8</v>
      </c>
    </row>
    <row r="81" spans="1:14" x14ac:dyDescent="0.3">
      <c r="A81">
        <v>690</v>
      </c>
      <c r="B81">
        <v>40575</v>
      </c>
      <c r="C81">
        <v>4.1666666666666664E-2</v>
      </c>
      <c r="D81" t="s">
        <v>8</v>
      </c>
      <c r="E81" t="s">
        <v>9</v>
      </c>
      <c r="F81" t="s">
        <v>15</v>
      </c>
      <c r="G81" t="s">
        <v>19</v>
      </c>
      <c r="H81">
        <v>0.16</v>
      </c>
      <c r="I81">
        <v>0.18179999999999999</v>
      </c>
      <c r="J81">
        <v>0.69</v>
      </c>
      <c r="K81">
        <v>0.1045</v>
      </c>
      <c r="L81">
        <v>0</v>
      </c>
      <c r="M81">
        <v>3</v>
      </c>
      <c r="N81">
        <v>3</v>
      </c>
    </row>
    <row r="82" spans="1:14" x14ac:dyDescent="0.3">
      <c r="A82">
        <v>691</v>
      </c>
      <c r="B82">
        <v>40575</v>
      </c>
      <c r="C82">
        <v>8.3333333333333329E-2</v>
      </c>
      <c r="D82" t="s">
        <v>8</v>
      </c>
      <c r="E82" t="s">
        <v>9</v>
      </c>
      <c r="F82" t="s">
        <v>15</v>
      </c>
      <c r="G82" t="s">
        <v>19</v>
      </c>
      <c r="H82">
        <v>0.16</v>
      </c>
      <c r="I82">
        <v>0.2273</v>
      </c>
      <c r="J82">
        <v>0.69</v>
      </c>
      <c r="K82">
        <v>0</v>
      </c>
      <c r="L82">
        <v>0</v>
      </c>
      <c r="M82">
        <v>2</v>
      </c>
      <c r="N82">
        <v>2</v>
      </c>
    </row>
    <row r="83" spans="1:14" x14ac:dyDescent="0.3">
      <c r="A83">
        <v>692</v>
      </c>
      <c r="B83">
        <v>40575</v>
      </c>
      <c r="C83">
        <v>0.125</v>
      </c>
      <c r="D83" t="s">
        <v>8</v>
      </c>
      <c r="E83" t="s">
        <v>9</v>
      </c>
      <c r="F83" t="s">
        <v>15</v>
      </c>
      <c r="G83" t="s">
        <v>19</v>
      </c>
      <c r="H83">
        <v>0.16</v>
      </c>
      <c r="I83">
        <v>0.2273</v>
      </c>
      <c r="J83">
        <v>0.69</v>
      </c>
      <c r="K83">
        <v>0</v>
      </c>
      <c r="L83">
        <v>0</v>
      </c>
      <c r="M83">
        <v>2</v>
      </c>
      <c r="N83">
        <v>2</v>
      </c>
    </row>
    <row r="84" spans="1:14" x14ac:dyDescent="0.3">
      <c r="A84">
        <v>693</v>
      </c>
      <c r="B84">
        <v>40575</v>
      </c>
      <c r="C84">
        <v>0.20833333333333334</v>
      </c>
      <c r="D84" t="s">
        <v>8</v>
      </c>
      <c r="E84" t="s">
        <v>9</v>
      </c>
      <c r="F84" t="s">
        <v>15</v>
      </c>
      <c r="G84" t="s">
        <v>20</v>
      </c>
      <c r="H84">
        <v>0.14000000000000001</v>
      </c>
      <c r="I84">
        <v>0.21210000000000001</v>
      </c>
      <c r="J84">
        <v>0.93</v>
      </c>
      <c r="K84">
        <v>0</v>
      </c>
      <c r="L84">
        <v>0</v>
      </c>
      <c r="M84">
        <v>3</v>
      </c>
      <c r="N84">
        <v>3</v>
      </c>
    </row>
    <row r="85" spans="1:14" x14ac:dyDescent="0.3">
      <c r="A85">
        <v>694</v>
      </c>
      <c r="B85">
        <v>40575</v>
      </c>
      <c r="C85">
        <v>0.25</v>
      </c>
      <c r="D85" t="s">
        <v>8</v>
      </c>
      <c r="E85" t="s">
        <v>9</v>
      </c>
      <c r="F85" t="s">
        <v>15</v>
      </c>
      <c r="G85" t="s">
        <v>20</v>
      </c>
      <c r="H85">
        <v>0.14000000000000001</v>
      </c>
      <c r="I85">
        <v>0.21210000000000001</v>
      </c>
      <c r="J85">
        <v>0.93</v>
      </c>
      <c r="K85">
        <v>0</v>
      </c>
      <c r="L85">
        <v>0</v>
      </c>
      <c r="M85">
        <v>22</v>
      </c>
      <c r="N85">
        <v>22</v>
      </c>
    </row>
    <row r="86" spans="1:14" x14ac:dyDescent="0.3">
      <c r="A86">
        <v>695</v>
      </c>
      <c r="B86">
        <v>40575</v>
      </c>
      <c r="C86">
        <v>0.29166666666666669</v>
      </c>
      <c r="D86" t="s">
        <v>8</v>
      </c>
      <c r="E86" t="s">
        <v>9</v>
      </c>
      <c r="F86" t="s">
        <v>15</v>
      </c>
      <c r="G86" t="s">
        <v>20</v>
      </c>
      <c r="H86">
        <v>0.16</v>
      </c>
      <c r="I86">
        <v>0.2273</v>
      </c>
      <c r="J86">
        <v>0.93</v>
      </c>
      <c r="K86">
        <v>0</v>
      </c>
      <c r="L86">
        <v>0</v>
      </c>
      <c r="M86">
        <v>52</v>
      </c>
      <c r="N86">
        <v>52</v>
      </c>
    </row>
    <row r="87" spans="1:14" x14ac:dyDescent="0.3">
      <c r="A87">
        <v>696</v>
      </c>
      <c r="B87">
        <v>40575</v>
      </c>
      <c r="C87">
        <v>0.33333333333333331</v>
      </c>
      <c r="D87" t="s">
        <v>8</v>
      </c>
      <c r="E87" t="s">
        <v>9</v>
      </c>
      <c r="F87" t="s">
        <v>15</v>
      </c>
      <c r="G87" t="s">
        <v>20</v>
      </c>
      <c r="H87">
        <v>0.16</v>
      </c>
      <c r="I87">
        <v>0.2273</v>
      </c>
      <c r="J87">
        <v>0.93</v>
      </c>
      <c r="K87">
        <v>0</v>
      </c>
      <c r="L87">
        <v>3</v>
      </c>
      <c r="M87">
        <v>132</v>
      </c>
      <c r="N87">
        <v>135</v>
      </c>
    </row>
    <row r="88" spans="1:14" x14ac:dyDescent="0.3">
      <c r="A88">
        <v>697</v>
      </c>
      <c r="B88">
        <v>40575</v>
      </c>
      <c r="C88">
        <v>0.375</v>
      </c>
      <c r="D88" t="s">
        <v>8</v>
      </c>
      <c r="E88" t="s">
        <v>9</v>
      </c>
      <c r="F88" t="s">
        <v>15</v>
      </c>
      <c r="G88" t="s">
        <v>19</v>
      </c>
      <c r="H88">
        <v>0.16</v>
      </c>
      <c r="I88">
        <v>0.2273</v>
      </c>
      <c r="J88">
        <v>0.93</v>
      </c>
      <c r="K88">
        <v>0</v>
      </c>
      <c r="L88">
        <v>2</v>
      </c>
      <c r="M88">
        <v>114</v>
      </c>
      <c r="N88">
        <v>116</v>
      </c>
    </row>
    <row r="89" spans="1:14" x14ac:dyDescent="0.3">
      <c r="A89">
        <v>698</v>
      </c>
      <c r="B89">
        <v>40575</v>
      </c>
      <c r="C89">
        <v>0.41666666666666669</v>
      </c>
      <c r="D89" t="s">
        <v>8</v>
      </c>
      <c r="E89" t="s">
        <v>9</v>
      </c>
      <c r="F89" t="s">
        <v>15</v>
      </c>
      <c r="G89" t="s">
        <v>19</v>
      </c>
      <c r="H89">
        <v>0.16</v>
      </c>
      <c r="I89">
        <v>0.2273</v>
      </c>
      <c r="J89">
        <v>0.93</v>
      </c>
      <c r="K89">
        <v>0</v>
      </c>
      <c r="L89">
        <v>0</v>
      </c>
      <c r="M89">
        <v>47</v>
      </c>
      <c r="N89">
        <v>47</v>
      </c>
    </row>
    <row r="90" spans="1:14" x14ac:dyDescent="0.3">
      <c r="A90">
        <v>699</v>
      </c>
      <c r="B90">
        <v>40575</v>
      </c>
      <c r="C90">
        <v>0.45833333333333331</v>
      </c>
      <c r="D90" t="s">
        <v>8</v>
      </c>
      <c r="E90" t="s">
        <v>9</v>
      </c>
      <c r="F90" t="s">
        <v>15</v>
      </c>
      <c r="G90" t="s">
        <v>19</v>
      </c>
      <c r="H90">
        <v>0.18</v>
      </c>
      <c r="I90">
        <v>0.2424</v>
      </c>
      <c r="J90">
        <v>0.86</v>
      </c>
      <c r="K90">
        <v>0</v>
      </c>
      <c r="L90">
        <v>2</v>
      </c>
      <c r="M90">
        <v>49</v>
      </c>
      <c r="N90">
        <v>51</v>
      </c>
    </row>
    <row r="91" spans="1:14" x14ac:dyDescent="0.3">
      <c r="A91">
        <v>700</v>
      </c>
      <c r="B91">
        <v>40575</v>
      </c>
      <c r="C91">
        <v>0.5</v>
      </c>
      <c r="D91" t="s">
        <v>8</v>
      </c>
      <c r="E91" t="s">
        <v>9</v>
      </c>
      <c r="F91" t="s">
        <v>15</v>
      </c>
      <c r="G91" t="s">
        <v>19</v>
      </c>
      <c r="H91">
        <v>0.2</v>
      </c>
      <c r="I91">
        <v>0.2576</v>
      </c>
      <c r="J91">
        <v>0.86</v>
      </c>
      <c r="K91">
        <v>0</v>
      </c>
      <c r="L91">
        <v>2</v>
      </c>
      <c r="M91">
        <v>53</v>
      </c>
      <c r="N91">
        <v>55</v>
      </c>
    </row>
    <row r="92" spans="1:14" x14ac:dyDescent="0.3">
      <c r="A92">
        <v>701</v>
      </c>
      <c r="B92">
        <v>40575</v>
      </c>
      <c r="C92">
        <v>0.54166666666666663</v>
      </c>
      <c r="D92" t="s">
        <v>8</v>
      </c>
      <c r="E92" t="s">
        <v>9</v>
      </c>
      <c r="F92" t="s">
        <v>15</v>
      </c>
      <c r="G92" t="s">
        <v>19</v>
      </c>
      <c r="H92">
        <v>0.2</v>
      </c>
      <c r="I92">
        <v>0.2576</v>
      </c>
      <c r="J92">
        <v>0.86</v>
      </c>
      <c r="K92">
        <v>0</v>
      </c>
      <c r="L92">
        <v>3</v>
      </c>
      <c r="M92">
        <v>49</v>
      </c>
      <c r="N92">
        <v>52</v>
      </c>
    </row>
    <row r="93" spans="1:14" x14ac:dyDescent="0.3">
      <c r="A93">
        <v>702</v>
      </c>
      <c r="B93">
        <v>40575</v>
      </c>
      <c r="C93">
        <v>0.58333333333333337</v>
      </c>
      <c r="D93" t="s">
        <v>8</v>
      </c>
      <c r="E93" t="s">
        <v>9</v>
      </c>
      <c r="F93" t="s">
        <v>15</v>
      </c>
      <c r="G93" t="s">
        <v>19</v>
      </c>
      <c r="H93">
        <v>0.22</v>
      </c>
      <c r="I93">
        <v>0.2576</v>
      </c>
      <c r="J93">
        <v>0.8</v>
      </c>
      <c r="K93">
        <v>8.9599999999999999E-2</v>
      </c>
      <c r="L93">
        <v>5</v>
      </c>
      <c r="M93">
        <v>49</v>
      </c>
      <c r="N93">
        <v>54</v>
      </c>
    </row>
    <row r="94" spans="1:14" x14ac:dyDescent="0.3">
      <c r="A94">
        <v>703</v>
      </c>
      <c r="B94">
        <v>40575</v>
      </c>
      <c r="C94">
        <v>0.625</v>
      </c>
      <c r="D94" t="s">
        <v>8</v>
      </c>
      <c r="E94" t="s">
        <v>9</v>
      </c>
      <c r="F94" t="s">
        <v>15</v>
      </c>
      <c r="G94" t="s">
        <v>19</v>
      </c>
      <c r="H94">
        <v>0.24</v>
      </c>
      <c r="I94">
        <v>0.28789999999999999</v>
      </c>
      <c r="J94">
        <v>0.75</v>
      </c>
      <c r="K94">
        <v>0</v>
      </c>
      <c r="L94">
        <v>7</v>
      </c>
      <c r="M94">
        <v>45</v>
      </c>
      <c r="N94">
        <v>52</v>
      </c>
    </row>
    <row r="95" spans="1:14" x14ac:dyDescent="0.3">
      <c r="A95">
        <v>704</v>
      </c>
      <c r="B95">
        <v>40575</v>
      </c>
      <c r="C95">
        <v>0.66666666666666663</v>
      </c>
      <c r="D95" t="s">
        <v>8</v>
      </c>
      <c r="E95" t="s">
        <v>9</v>
      </c>
      <c r="F95" t="s">
        <v>15</v>
      </c>
      <c r="G95" t="s">
        <v>19</v>
      </c>
      <c r="H95">
        <v>0.24</v>
      </c>
      <c r="I95">
        <v>0.2424</v>
      </c>
      <c r="J95">
        <v>0.75</v>
      </c>
      <c r="K95">
        <v>0.1343</v>
      </c>
      <c r="L95">
        <v>3</v>
      </c>
      <c r="M95">
        <v>61</v>
      </c>
      <c r="N95">
        <v>64</v>
      </c>
    </row>
    <row r="96" spans="1:14" x14ac:dyDescent="0.3">
      <c r="A96">
        <v>705</v>
      </c>
      <c r="B96">
        <v>40575</v>
      </c>
      <c r="C96">
        <v>0.70833333333333337</v>
      </c>
      <c r="D96" t="s">
        <v>8</v>
      </c>
      <c r="E96" t="s">
        <v>9</v>
      </c>
      <c r="F96" t="s">
        <v>15</v>
      </c>
      <c r="G96" t="s">
        <v>19</v>
      </c>
      <c r="H96">
        <v>0.24</v>
      </c>
      <c r="I96">
        <v>0.28789999999999999</v>
      </c>
      <c r="J96">
        <v>0.75</v>
      </c>
      <c r="K96">
        <v>0</v>
      </c>
      <c r="L96">
        <v>4</v>
      </c>
      <c r="M96">
        <v>172</v>
      </c>
      <c r="N96">
        <v>176</v>
      </c>
    </row>
    <row r="97" spans="1:14" x14ac:dyDescent="0.3">
      <c r="A97">
        <v>706</v>
      </c>
      <c r="B97">
        <v>40575</v>
      </c>
      <c r="C97">
        <v>0.75</v>
      </c>
      <c r="D97" t="s">
        <v>8</v>
      </c>
      <c r="E97" t="s">
        <v>9</v>
      </c>
      <c r="F97" t="s">
        <v>15</v>
      </c>
      <c r="G97" t="s">
        <v>19</v>
      </c>
      <c r="H97">
        <v>0.24</v>
      </c>
      <c r="I97">
        <v>0.2576</v>
      </c>
      <c r="J97">
        <v>0.81</v>
      </c>
      <c r="K97">
        <v>0.1045</v>
      </c>
      <c r="L97">
        <v>3</v>
      </c>
      <c r="M97">
        <v>165</v>
      </c>
      <c r="N97">
        <v>168</v>
      </c>
    </row>
    <row r="98" spans="1:14" x14ac:dyDescent="0.3">
      <c r="A98">
        <v>707</v>
      </c>
      <c r="B98">
        <v>40575</v>
      </c>
      <c r="C98">
        <v>0.79166666666666663</v>
      </c>
      <c r="D98" t="s">
        <v>8</v>
      </c>
      <c r="E98" t="s">
        <v>9</v>
      </c>
      <c r="F98" t="s">
        <v>15</v>
      </c>
      <c r="G98" t="s">
        <v>19</v>
      </c>
      <c r="H98">
        <v>0.24</v>
      </c>
      <c r="I98">
        <v>0.2424</v>
      </c>
      <c r="J98">
        <v>0.81</v>
      </c>
      <c r="K98">
        <v>0.1343</v>
      </c>
      <c r="L98">
        <v>3</v>
      </c>
      <c r="M98">
        <v>105</v>
      </c>
      <c r="N98">
        <v>108</v>
      </c>
    </row>
    <row r="99" spans="1:14" x14ac:dyDescent="0.3">
      <c r="A99">
        <v>708</v>
      </c>
      <c r="B99">
        <v>40575</v>
      </c>
      <c r="C99">
        <v>0.83333333333333337</v>
      </c>
      <c r="D99" t="s">
        <v>8</v>
      </c>
      <c r="E99" t="s">
        <v>9</v>
      </c>
      <c r="F99" t="s">
        <v>15</v>
      </c>
      <c r="G99" t="s">
        <v>19</v>
      </c>
      <c r="H99">
        <v>0.22</v>
      </c>
      <c r="I99">
        <v>0.2273</v>
      </c>
      <c r="J99">
        <v>0.87</v>
      </c>
      <c r="K99">
        <v>0.1343</v>
      </c>
      <c r="L99">
        <v>5</v>
      </c>
      <c r="M99">
        <v>69</v>
      </c>
      <c r="N99">
        <v>74</v>
      </c>
    </row>
    <row r="100" spans="1:14" x14ac:dyDescent="0.3">
      <c r="A100">
        <v>709</v>
      </c>
      <c r="B100">
        <v>40575</v>
      </c>
      <c r="C100">
        <v>0.875</v>
      </c>
      <c r="D100" t="s">
        <v>8</v>
      </c>
      <c r="E100" t="s">
        <v>9</v>
      </c>
      <c r="F100" t="s">
        <v>15</v>
      </c>
      <c r="G100" t="s">
        <v>19</v>
      </c>
      <c r="H100">
        <v>0.22</v>
      </c>
      <c r="I100">
        <v>0.2273</v>
      </c>
      <c r="J100">
        <v>0.87</v>
      </c>
      <c r="K100">
        <v>0.1343</v>
      </c>
      <c r="L100">
        <v>0</v>
      </c>
      <c r="M100">
        <v>64</v>
      </c>
      <c r="N100">
        <v>64</v>
      </c>
    </row>
    <row r="101" spans="1:14" x14ac:dyDescent="0.3">
      <c r="A101">
        <v>710</v>
      </c>
      <c r="B101">
        <v>40575</v>
      </c>
      <c r="C101">
        <v>0.91666666666666663</v>
      </c>
      <c r="D101" t="s">
        <v>8</v>
      </c>
      <c r="E101" t="s">
        <v>9</v>
      </c>
      <c r="F101" t="s">
        <v>15</v>
      </c>
      <c r="G101" t="s">
        <v>19</v>
      </c>
      <c r="H101">
        <v>0.22</v>
      </c>
      <c r="I101">
        <v>0.2576</v>
      </c>
      <c r="J101">
        <v>0.87</v>
      </c>
      <c r="K101">
        <v>8.9599999999999999E-2</v>
      </c>
      <c r="L101">
        <v>2</v>
      </c>
      <c r="M101">
        <v>34</v>
      </c>
      <c r="N101">
        <v>36</v>
      </c>
    </row>
    <row r="102" spans="1:14" x14ac:dyDescent="0.3">
      <c r="A102">
        <v>711</v>
      </c>
      <c r="B102">
        <v>40575</v>
      </c>
      <c r="C102">
        <v>0.95833333333333337</v>
      </c>
      <c r="D102" t="s">
        <v>8</v>
      </c>
      <c r="E102" t="s">
        <v>9</v>
      </c>
      <c r="F102" t="s">
        <v>15</v>
      </c>
      <c r="G102" t="s">
        <v>20</v>
      </c>
      <c r="H102">
        <v>0.2</v>
      </c>
      <c r="I102">
        <v>0.19700000000000001</v>
      </c>
      <c r="J102">
        <v>0.93</v>
      </c>
      <c r="K102">
        <v>0.19400000000000001</v>
      </c>
      <c r="L102">
        <v>1</v>
      </c>
      <c r="M102">
        <v>15</v>
      </c>
      <c r="N102">
        <v>16</v>
      </c>
    </row>
    <row r="103" spans="1:14" x14ac:dyDescent="0.3">
      <c r="A103">
        <v>712</v>
      </c>
      <c r="B103">
        <v>40576</v>
      </c>
      <c r="C103">
        <v>0</v>
      </c>
      <c r="D103" t="s">
        <v>8</v>
      </c>
      <c r="E103" t="s">
        <v>9</v>
      </c>
      <c r="F103" t="s">
        <v>16</v>
      </c>
      <c r="G103" t="s">
        <v>20</v>
      </c>
      <c r="H103">
        <v>0.22</v>
      </c>
      <c r="I103">
        <v>0.2424</v>
      </c>
      <c r="J103">
        <v>0.93</v>
      </c>
      <c r="K103">
        <v>0.1045</v>
      </c>
      <c r="L103">
        <v>0</v>
      </c>
      <c r="M103">
        <v>2</v>
      </c>
      <c r="N103">
        <v>2</v>
      </c>
    </row>
    <row r="104" spans="1:14" x14ac:dyDescent="0.3">
      <c r="A104">
        <v>713</v>
      </c>
      <c r="B104">
        <v>40576</v>
      </c>
      <c r="C104">
        <v>4.1666666666666664E-2</v>
      </c>
      <c r="D104" t="s">
        <v>8</v>
      </c>
      <c r="E104" t="s">
        <v>9</v>
      </c>
      <c r="F104" t="s">
        <v>16</v>
      </c>
      <c r="G104" t="s">
        <v>20</v>
      </c>
      <c r="H104">
        <v>0.22</v>
      </c>
      <c r="I104">
        <v>0.2273</v>
      </c>
      <c r="J104">
        <v>0.93</v>
      </c>
      <c r="K104">
        <v>0.19400000000000001</v>
      </c>
      <c r="L104">
        <v>0</v>
      </c>
      <c r="M104">
        <v>3</v>
      </c>
      <c r="N104">
        <v>3</v>
      </c>
    </row>
    <row r="105" spans="1:14" x14ac:dyDescent="0.3">
      <c r="A105">
        <v>714</v>
      </c>
      <c r="B105">
        <v>40576</v>
      </c>
      <c r="C105">
        <v>8.3333333333333329E-2</v>
      </c>
      <c r="D105" t="s">
        <v>8</v>
      </c>
      <c r="E105" t="s">
        <v>9</v>
      </c>
      <c r="F105" t="s">
        <v>16</v>
      </c>
      <c r="G105" t="s">
        <v>20</v>
      </c>
      <c r="H105">
        <v>0.22</v>
      </c>
      <c r="I105">
        <v>0.2273</v>
      </c>
      <c r="J105">
        <v>0.93</v>
      </c>
      <c r="K105">
        <v>0.1343</v>
      </c>
      <c r="L105">
        <v>4</v>
      </c>
      <c r="M105">
        <v>0</v>
      </c>
      <c r="N105">
        <v>4</v>
      </c>
    </row>
    <row r="106" spans="1:14" x14ac:dyDescent="0.3">
      <c r="A106">
        <v>715</v>
      </c>
      <c r="B106">
        <v>40576</v>
      </c>
      <c r="C106">
        <v>0.125</v>
      </c>
      <c r="D106" t="s">
        <v>8</v>
      </c>
      <c r="E106" t="s">
        <v>9</v>
      </c>
      <c r="F106" t="s">
        <v>16</v>
      </c>
      <c r="G106" t="s">
        <v>20</v>
      </c>
      <c r="H106">
        <v>0.22</v>
      </c>
      <c r="I106">
        <v>0.2273</v>
      </c>
      <c r="J106">
        <v>0.93</v>
      </c>
      <c r="K106">
        <v>0.1343</v>
      </c>
      <c r="L106">
        <v>0</v>
      </c>
      <c r="M106">
        <v>1</v>
      </c>
      <c r="N106">
        <v>1</v>
      </c>
    </row>
    <row r="107" spans="1:14" x14ac:dyDescent="0.3">
      <c r="A107">
        <v>716</v>
      </c>
      <c r="B107">
        <v>40576</v>
      </c>
      <c r="C107">
        <v>0.16666666666666666</v>
      </c>
      <c r="D107" t="s">
        <v>8</v>
      </c>
      <c r="E107" t="s">
        <v>9</v>
      </c>
      <c r="F107" t="s">
        <v>16</v>
      </c>
      <c r="G107" t="s">
        <v>20</v>
      </c>
      <c r="H107">
        <v>0.22</v>
      </c>
      <c r="I107">
        <v>0.21210000000000001</v>
      </c>
      <c r="J107">
        <v>0.93</v>
      </c>
      <c r="K107">
        <v>0.28360000000000002</v>
      </c>
      <c r="L107">
        <v>0</v>
      </c>
      <c r="M107">
        <v>1</v>
      </c>
      <c r="N107">
        <v>1</v>
      </c>
    </row>
    <row r="108" spans="1:14" x14ac:dyDescent="0.3">
      <c r="A108">
        <v>717</v>
      </c>
      <c r="B108">
        <v>40576</v>
      </c>
      <c r="C108">
        <v>0.20833333333333334</v>
      </c>
      <c r="D108" t="s">
        <v>8</v>
      </c>
      <c r="E108" t="s">
        <v>9</v>
      </c>
      <c r="F108" t="s">
        <v>16</v>
      </c>
      <c r="G108" t="s">
        <v>20</v>
      </c>
      <c r="H108">
        <v>0.22</v>
      </c>
      <c r="I108">
        <v>0.2424</v>
      </c>
      <c r="J108">
        <v>0.93</v>
      </c>
      <c r="K108">
        <v>0.1045</v>
      </c>
      <c r="L108">
        <v>0</v>
      </c>
      <c r="M108">
        <v>3</v>
      </c>
      <c r="N108">
        <v>3</v>
      </c>
    </row>
    <row r="109" spans="1:14" x14ac:dyDescent="0.3">
      <c r="A109">
        <v>718</v>
      </c>
      <c r="B109">
        <v>40576</v>
      </c>
      <c r="C109">
        <v>0.25</v>
      </c>
      <c r="D109" t="s">
        <v>8</v>
      </c>
      <c r="E109" t="s">
        <v>9</v>
      </c>
      <c r="F109" t="s">
        <v>16</v>
      </c>
      <c r="G109" t="s">
        <v>20</v>
      </c>
      <c r="H109">
        <v>0.22</v>
      </c>
      <c r="I109">
        <v>0.2424</v>
      </c>
      <c r="J109">
        <v>0.93</v>
      </c>
      <c r="K109">
        <v>0.1045</v>
      </c>
      <c r="L109">
        <v>1</v>
      </c>
      <c r="M109">
        <v>17</v>
      </c>
      <c r="N109">
        <v>18</v>
      </c>
    </row>
    <row r="110" spans="1:14" x14ac:dyDescent="0.3">
      <c r="A110">
        <v>719</v>
      </c>
      <c r="B110">
        <v>40576</v>
      </c>
      <c r="C110">
        <v>0.29166666666666669</v>
      </c>
      <c r="D110" t="s">
        <v>8</v>
      </c>
      <c r="E110" t="s">
        <v>9</v>
      </c>
      <c r="F110" t="s">
        <v>16</v>
      </c>
      <c r="G110" t="s">
        <v>20</v>
      </c>
      <c r="H110">
        <v>0.22</v>
      </c>
      <c r="I110">
        <v>0.21210000000000001</v>
      </c>
      <c r="J110">
        <v>0.93</v>
      </c>
      <c r="K110">
        <v>0.22389999999999999</v>
      </c>
      <c r="L110">
        <v>1</v>
      </c>
      <c r="M110">
        <v>48</v>
      </c>
      <c r="N110">
        <v>49</v>
      </c>
    </row>
    <row r="111" spans="1:14" x14ac:dyDescent="0.3">
      <c r="A111">
        <v>720</v>
      </c>
      <c r="B111">
        <v>40576</v>
      </c>
      <c r="C111">
        <v>0.33333333333333331</v>
      </c>
      <c r="D111" t="s">
        <v>8</v>
      </c>
      <c r="E111" t="s">
        <v>9</v>
      </c>
      <c r="F111" t="s">
        <v>16</v>
      </c>
      <c r="G111" t="s">
        <v>20</v>
      </c>
      <c r="H111">
        <v>0.22</v>
      </c>
      <c r="I111">
        <v>0.21210000000000001</v>
      </c>
      <c r="J111">
        <v>0.93</v>
      </c>
      <c r="K111">
        <v>0.22389999999999999</v>
      </c>
      <c r="L111">
        <v>1</v>
      </c>
      <c r="M111">
        <v>154</v>
      </c>
      <c r="N111">
        <v>155</v>
      </c>
    </row>
    <row r="112" spans="1:14" x14ac:dyDescent="0.3">
      <c r="A112">
        <v>721</v>
      </c>
      <c r="B112">
        <v>40576</v>
      </c>
      <c r="C112">
        <v>0.375</v>
      </c>
      <c r="D112" t="s">
        <v>8</v>
      </c>
      <c r="E112" t="s">
        <v>9</v>
      </c>
      <c r="F112" t="s">
        <v>16</v>
      </c>
      <c r="G112" t="s">
        <v>19</v>
      </c>
      <c r="H112">
        <v>0.24</v>
      </c>
      <c r="I112">
        <v>0.2576</v>
      </c>
      <c r="J112">
        <v>0.93</v>
      </c>
      <c r="K112">
        <v>8.9599999999999999E-2</v>
      </c>
      <c r="L112">
        <v>4</v>
      </c>
      <c r="M112">
        <v>119</v>
      </c>
      <c r="N112">
        <v>123</v>
      </c>
    </row>
    <row r="113" spans="1:14" x14ac:dyDescent="0.3">
      <c r="A113">
        <v>722</v>
      </c>
      <c r="B113">
        <v>40576</v>
      </c>
      <c r="C113">
        <v>0.41666666666666669</v>
      </c>
      <c r="D113" t="s">
        <v>8</v>
      </c>
      <c r="E113" t="s">
        <v>9</v>
      </c>
      <c r="F113" t="s">
        <v>16</v>
      </c>
      <c r="G113" t="s">
        <v>19</v>
      </c>
      <c r="H113">
        <v>0.22</v>
      </c>
      <c r="I113">
        <v>0.2727</v>
      </c>
      <c r="J113">
        <v>1</v>
      </c>
      <c r="K113">
        <v>0</v>
      </c>
      <c r="L113">
        <v>2</v>
      </c>
      <c r="M113">
        <v>59</v>
      </c>
      <c r="N113">
        <v>61</v>
      </c>
    </row>
    <row r="114" spans="1:14" x14ac:dyDescent="0.3">
      <c r="A114">
        <v>723</v>
      </c>
      <c r="B114">
        <v>40576</v>
      </c>
      <c r="C114">
        <v>0.45833333333333331</v>
      </c>
      <c r="D114" t="s">
        <v>8</v>
      </c>
      <c r="E114" t="s">
        <v>9</v>
      </c>
      <c r="F114" t="s">
        <v>16</v>
      </c>
      <c r="G114" t="s">
        <v>19</v>
      </c>
      <c r="H114">
        <v>0.24</v>
      </c>
      <c r="I114">
        <v>0.2273</v>
      </c>
      <c r="J114">
        <v>0.93</v>
      </c>
      <c r="K114">
        <v>0.19400000000000001</v>
      </c>
      <c r="L114">
        <v>5</v>
      </c>
      <c r="M114">
        <v>47</v>
      </c>
      <c r="N114">
        <v>52</v>
      </c>
    </row>
    <row r="115" spans="1:14" x14ac:dyDescent="0.3">
      <c r="A115">
        <v>724</v>
      </c>
      <c r="B115">
        <v>40576</v>
      </c>
      <c r="C115">
        <v>0.5</v>
      </c>
      <c r="D115" t="s">
        <v>8</v>
      </c>
      <c r="E115" t="s">
        <v>9</v>
      </c>
      <c r="F115" t="s">
        <v>16</v>
      </c>
      <c r="G115" t="s">
        <v>19</v>
      </c>
      <c r="H115">
        <v>0.24</v>
      </c>
      <c r="I115">
        <v>0.2273</v>
      </c>
      <c r="J115">
        <v>0.93</v>
      </c>
      <c r="K115">
        <v>0.22389999999999999</v>
      </c>
      <c r="L115">
        <v>3</v>
      </c>
      <c r="M115">
        <v>61</v>
      </c>
      <c r="N115">
        <v>64</v>
      </c>
    </row>
    <row r="116" spans="1:14" x14ac:dyDescent="0.3">
      <c r="A116">
        <v>725</v>
      </c>
      <c r="B116">
        <v>40576</v>
      </c>
      <c r="C116">
        <v>0.54166666666666663</v>
      </c>
      <c r="D116" t="s">
        <v>8</v>
      </c>
      <c r="E116" t="s">
        <v>9</v>
      </c>
      <c r="F116" t="s">
        <v>16</v>
      </c>
      <c r="G116" t="s">
        <v>18</v>
      </c>
      <c r="H116">
        <v>0.34</v>
      </c>
      <c r="I116">
        <v>0.33329999999999999</v>
      </c>
      <c r="J116">
        <v>0.93</v>
      </c>
      <c r="K116">
        <v>0.16420000000000001</v>
      </c>
      <c r="L116">
        <v>1</v>
      </c>
      <c r="M116">
        <v>74</v>
      </c>
      <c r="N116">
        <v>75</v>
      </c>
    </row>
    <row r="117" spans="1:14" x14ac:dyDescent="0.3">
      <c r="A117">
        <v>726</v>
      </c>
      <c r="B117">
        <v>40576</v>
      </c>
      <c r="C117">
        <v>0.58333333333333337</v>
      </c>
      <c r="D117" t="s">
        <v>8</v>
      </c>
      <c r="E117" t="s">
        <v>9</v>
      </c>
      <c r="F117" t="s">
        <v>16</v>
      </c>
      <c r="G117" t="s">
        <v>18</v>
      </c>
      <c r="H117">
        <v>0.38</v>
      </c>
      <c r="I117">
        <v>0.39389999999999997</v>
      </c>
      <c r="J117">
        <v>0.82</v>
      </c>
      <c r="K117">
        <v>0.3881</v>
      </c>
      <c r="L117">
        <v>2</v>
      </c>
      <c r="M117">
        <v>61</v>
      </c>
      <c r="N117">
        <v>63</v>
      </c>
    </row>
    <row r="118" spans="1:14" x14ac:dyDescent="0.3">
      <c r="A118">
        <v>727</v>
      </c>
      <c r="B118">
        <v>40576</v>
      </c>
      <c r="C118">
        <v>0.625</v>
      </c>
      <c r="D118" t="s">
        <v>8</v>
      </c>
      <c r="E118" t="s">
        <v>9</v>
      </c>
      <c r="F118" t="s">
        <v>16</v>
      </c>
      <c r="G118" t="s">
        <v>18</v>
      </c>
      <c r="H118">
        <v>0.38</v>
      </c>
      <c r="I118">
        <v>0.39389999999999997</v>
      </c>
      <c r="J118">
        <v>0.76</v>
      </c>
      <c r="K118">
        <v>0.32840000000000003</v>
      </c>
      <c r="L118">
        <v>10</v>
      </c>
      <c r="M118">
        <v>66</v>
      </c>
      <c r="N118">
        <v>76</v>
      </c>
    </row>
    <row r="119" spans="1:14" x14ac:dyDescent="0.3">
      <c r="A119">
        <v>728</v>
      </c>
      <c r="B119">
        <v>40576</v>
      </c>
      <c r="C119">
        <v>0.66666666666666663</v>
      </c>
      <c r="D119" t="s">
        <v>8</v>
      </c>
      <c r="E119" t="s">
        <v>9</v>
      </c>
      <c r="F119" t="s">
        <v>16</v>
      </c>
      <c r="G119" t="s">
        <v>18</v>
      </c>
      <c r="H119">
        <v>0.36</v>
      </c>
      <c r="I119">
        <v>0.33329999999999999</v>
      </c>
      <c r="J119">
        <v>0.71</v>
      </c>
      <c r="K119">
        <v>0.29849999999999999</v>
      </c>
      <c r="L119">
        <v>8</v>
      </c>
      <c r="M119">
        <v>95</v>
      </c>
      <c r="N119">
        <v>103</v>
      </c>
    </row>
    <row r="120" spans="1:14" x14ac:dyDescent="0.3">
      <c r="A120">
        <v>729</v>
      </c>
      <c r="B120">
        <v>40576</v>
      </c>
      <c r="C120">
        <v>0.70833333333333337</v>
      </c>
      <c r="D120" t="s">
        <v>8</v>
      </c>
      <c r="E120" t="s">
        <v>9</v>
      </c>
      <c r="F120" t="s">
        <v>16</v>
      </c>
      <c r="G120" t="s">
        <v>18</v>
      </c>
      <c r="H120">
        <v>0.36</v>
      </c>
      <c r="I120">
        <v>0.31819999999999998</v>
      </c>
      <c r="J120">
        <v>0.53</v>
      </c>
      <c r="K120">
        <v>0.52239999999999998</v>
      </c>
      <c r="L120">
        <v>7</v>
      </c>
      <c r="M120">
        <v>183</v>
      </c>
      <c r="N120">
        <v>190</v>
      </c>
    </row>
    <row r="121" spans="1:14" x14ac:dyDescent="0.3">
      <c r="A121">
        <v>730</v>
      </c>
      <c r="B121">
        <v>40576</v>
      </c>
      <c r="C121">
        <v>0.75</v>
      </c>
      <c r="D121" t="s">
        <v>8</v>
      </c>
      <c r="E121" t="s">
        <v>9</v>
      </c>
      <c r="F121" t="s">
        <v>16</v>
      </c>
      <c r="G121" t="s">
        <v>18</v>
      </c>
      <c r="H121">
        <v>0.34</v>
      </c>
      <c r="I121">
        <v>0.28789999999999999</v>
      </c>
      <c r="J121">
        <v>0.42</v>
      </c>
      <c r="K121">
        <v>0.55220000000000002</v>
      </c>
      <c r="L121">
        <v>7</v>
      </c>
      <c r="M121">
        <v>175</v>
      </c>
      <c r="N121">
        <v>182</v>
      </c>
    </row>
    <row r="122" spans="1:14" x14ac:dyDescent="0.3">
      <c r="A122">
        <v>731</v>
      </c>
      <c r="B122">
        <v>40576</v>
      </c>
      <c r="C122">
        <v>0.79166666666666663</v>
      </c>
      <c r="D122" t="s">
        <v>8</v>
      </c>
      <c r="E122" t="s">
        <v>9</v>
      </c>
      <c r="F122" t="s">
        <v>16</v>
      </c>
      <c r="G122" t="s">
        <v>18</v>
      </c>
      <c r="H122">
        <v>0.28000000000000003</v>
      </c>
      <c r="I122">
        <v>0.2424</v>
      </c>
      <c r="J122">
        <v>0.45</v>
      </c>
      <c r="K122">
        <v>0.49249999999999999</v>
      </c>
      <c r="L122">
        <v>3</v>
      </c>
      <c r="M122">
        <v>88</v>
      </c>
      <c r="N122">
        <v>91</v>
      </c>
    </row>
    <row r="123" spans="1:14" x14ac:dyDescent="0.3">
      <c r="A123">
        <v>732</v>
      </c>
      <c r="B123">
        <v>40576</v>
      </c>
      <c r="C123">
        <v>0.83333333333333337</v>
      </c>
      <c r="D123" t="s">
        <v>8</v>
      </c>
      <c r="E123" t="s">
        <v>9</v>
      </c>
      <c r="F123" t="s">
        <v>16</v>
      </c>
      <c r="G123" t="s">
        <v>18</v>
      </c>
      <c r="H123">
        <v>0.24</v>
      </c>
      <c r="I123">
        <v>0.19700000000000001</v>
      </c>
      <c r="J123">
        <v>0.48</v>
      </c>
      <c r="K123">
        <v>0.55220000000000002</v>
      </c>
      <c r="L123">
        <v>4</v>
      </c>
      <c r="M123">
        <v>71</v>
      </c>
      <c r="N123">
        <v>75</v>
      </c>
    </row>
    <row r="124" spans="1:14" x14ac:dyDescent="0.3">
      <c r="A124">
        <v>733</v>
      </c>
      <c r="B124">
        <v>40576</v>
      </c>
      <c r="C124">
        <v>0.875</v>
      </c>
      <c r="D124" t="s">
        <v>8</v>
      </c>
      <c r="E124" t="s">
        <v>9</v>
      </c>
      <c r="F124" t="s">
        <v>16</v>
      </c>
      <c r="G124" t="s">
        <v>18</v>
      </c>
      <c r="H124">
        <v>0.22</v>
      </c>
      <c r="I124">
        <v>0.19700000000000001</v>
      </c>
      <c r="J124">
        <v>0.47</v>
      </c>
      <c r="K124">
        <v>0.32840000000000003</v>
      </c>
      <c r="L124">
        <v>1</v>
      </c>
      <c r="M124">
        <v>62</v>
      </c>
      <c r="N124">
        <v>63</v>
      </c>
    </row>
    <row r="125" spans="1:14" x14ac:dyDescent="0.3">
      <c r="A125">
        <v>734</v>
      </c>
      <c r="B125">
        <v>40576</v>
      </c>
      <c r="C125">
        <v>0.91666666666666663</v>
      </c>
      <c r="D125" t="s">
        <v>8</v>
      </c>
      <c r="E125" t="s">
        <v>9</v>
      </c>
      <c r="F125" t="s">
        <v>16</v>
      </c>
      <c r="G125" t="s">
        <v>18</v>
      </c>
      <c r="H125">
        <v>0.22</v>
      </c>
      <c r="I125">
        <v>0.21210000000000001</v>
      </c>
      <c r="J125">
        <v>0.44</v>
      </c>
      <c r="K125">
        <v>0.25369999999999998</v>
      </c>
      <c r="L125">
        <v>5</v>
      </c>
      <c r="M125">
        <v>35</v>
      </c>
      <c r="N125">
        <v>40</v>
      </c>
    </row>
    <row r="126" spans="1:14" x14ac:dyDescent="0.3">
      <c r="A126">
        <v>735</v>
      </c>
      <c r="B126">
        <v>40576</v>
      </c>
      <c r="C126">
        <v>0.95833333333333337</v>
      </c>
      <c r="D126" t="s">
        <v>8</v>
      </c>
      <c r="E126" t="s">
        <v>9</v>
      </c>
      <c r="F126" t="s">
        <v>16</v>
      </c>
      <c r="G126" t="s">
        <v>18</v>
      </c>
      <c r="H126">
        <v>0.2</v>
      </c>
      <c r="I126">
        <v>0.16669999999999999</v>
      </c>
      <c r="J126">
        <v>0.44</v>
      </c>
      <c r="K126">
        <v>0.44779999999999998</v>
      </c>
      <c r="L126">
        <v>3</v>
      </c>
      <c r="M126">
        <v>29</v>
      </c>
      <c r="N126">
        <v>32</v>
      </c>
    </row>
    <row r="127" spans="1:14" x14ac:dyDescent="0.3">
      <c r="A127">
        <v>736</v>
      </c>
      <c r="B127">
        <v>40577</v>
      </c>
      <c r="C127">
        <v>0</v>
      </c>
      <c r="D127" t="s">
        <v>8</v>
      </c>
      <c r="E127" t="s">
        <v>9</v>
      </c>
      <c r="F127" t="s">
        <v>17</v>
      </c>
      <c r="G127" t="s">
        <v>18</v>
      </c>
      <c r="H127">
        <v>0.2</v>
      </c>
      <c r="I127">
        <v>0.16669999999999999</v>
      </c>
      <c r="J127">
        <v>0.4</v>
      </c>
      <c r="K127">
        <v>0.44779999999999998</v>
      </c>
      <c r="L127">
        <v>1</v>
      </c>
      <c r="M127">
        <v>11</v>
      </c>
      <c r="N127">
        <v>12</v>
      </c>
    </row>
    <row r="128" spans="1:14" x14ac:dyDescent="0.3">
      <c r="A128">
        <v>737</v>
      </c>
      <c r="B128">
        <v>40577</v>
      </c>
      <c r="C128">
        <v>4.1666666666666664E-2</v>
      </c>
      <c r="D128" t="s">
        <v>8</v>
      </c>
      <c r="E128" t="s">
        <v>9</v>
      </c>
      <c r="F128" t="s">
        <v>17</v>
      </c>
      <c r="G128" t="s">
        <v>18</v>
      </c>
      <c r="H128">
        <v>0.2</v>
      </c>
      <c r="I128">
        <v>0.1515</v>
      </c>
      <c r="J128">
        <v>0.44</v>
      </c>
      <c r="K128">
        <v>0.52239999999999998</v>
      </c>
      <c r="L128">
        <v>0</v>
      </c>
      <c r="M128">
        <v>5</v>
      </c>
      <c r="N128">
        <v>5</v>
      </c>
    </row>
    <row r="129" spans="1:14" x14ac:dyDescent="0.3">
      <c r="A129">
        <v>738</v>
      </c>
      <c r="B129">
        <v>40577</v>
      </c>
      <c r="C129">
        <v>8.3333333333333329E-2</v>
      </c>
      <c r="D129" t="s">
        <v>8</v>
      </c>
      <c r="E129" t="s">
        <v>9</v>
      </c>
      <c r="F129" t="s">
        <v>17</v>
      </c>
      <c r="G129" t="s">
        <v>18</v>
      </c>
      <c r="H129">
        <v>0.18</v>
      </c>
      <c r="I129">
        <v>0.16669999999999999</v>
      </c>
      <c r="J129">
        <v>0.43</v>
      </c>
      <c r="K129">
        <v>0.25369999999999998</v>
      </c>
      <c r="L129">
        <v>0</v>
      </c>
      <c r="M129">
        <v>2</v>
      </c>
      <c r="N129">
        <v>2</v>
      </c>
    </row>
    <row r="130" spans="1:14" x14ac:dyDescent="0.3">
      <c r="A130">
        <v>739</v>
      </c>
      <c r="B130">
        <v>40577</v>
      </c>
      <c r="C130">
        <v>0.125</v>
      </c>
      <c r="D130" t="s">
        <v>8</v>
      </c>
      <c r="E130" t="s">
        <v>9</v>
      </c>
      <c r="F130" t="s">
        <v>17</v>
      </c>
      <c r="G130" t="s">
        <v>18</v>
      </c>
      <c r="H130">
        <v>0.18</v>
      </c>
      <c r="I130">
        <v>0.16669999999999999</v>
      </c>
      <c r="J130">
        <v>0.43</v>
      </c>
      <c r="K130">
        <v>0.25369999999999998</v>
      </c>
      <c r="L130">
        <v>0</v>
      </c>
      <c r="M130">
        <v>1</v>
      </c>
      <c r="N130">
        <v>1</v>
      </c>
    </row>
    <row r="131" spans="1:14" x14ac:dyDescent="0.3">
      <c r="A131">
        <v>740</v>
      </c>
      <c r="B131">
        <v>40577</v>
      </c>
      <c r="C131">
        <v>0.20833333333333334</v>
      </c>
      <c r="D131" t="s">
        <v>8</v>
      </c>
      <c r="E131" t="s">
        <v>9</v>
      </c>
      <c r="F131" t="s">
        <v>17</v>
      </c>
      <c r="G131" t="s">
        <v>18</v>
      </c>
      <c r="H131">
        <v>0.16</v>
      </c>
      <c r="I131">
        <v>0.13639999999999999</v>
      </c>
      <c r="J131">
        <v>0.5</v>
      </c>
      <c r="K131">
        <v>0.29849999999999999</v>
      </c>
      <c r="L131">
        <v>0</v>
      </c>
      <c r="M131">
        <v>2</v>
      </c>
      <c r="N131">
        <v>2</v>
      </c>
    </row>
    <row r="132" spans="1:14" x14ac:dyDescent="0.3">
      <c r="A132">
        <v>741</v>
      </c>
      <c r="B132">
        <v>40577</v>
      </c>
      <c r="C132">
        <v>0.25</v>
      </c>
      <c r="D132" t="s">
        <v>8</v>
      </c>
      <c r="E132" t="s">
        <v>9</v>
      </c>
      <c r="F132" t="s">
        <v>17</v>
      </c>
      <c r="G132" t="s">
        <v>18</v>
      </c>
      <c r="H132">
        <v>0.16</v>
      </c>
      <c r="I132">
        <v>0.13639999999999999</v>
      </c>
      <c r="J132">
        <v>0.43</v>
      </c>
      <c r="K132">
        <v>0.35820000000000002</v>
      </c>
      <c r="L132">
        <v>0</v>
      </c>
      <c r="M132">
        <v>39</v>
      </c>
      <c r="N132">
        <v>39</v>
      </c>
    </row>
    <row r="133" spans="1:14" x14ac:dyDescent="0.3">
      <c r="A133">
        <v>742</v>
      </c>
      <c r="B133">
        <v>40577</v>
      </c>
      <c r="C133">
        <v>0.29166666666666669</v>
      </c>
      <c r="D133" t="s">
        <v>8</v>
      </c>
      <c r="E133" t="s">
        <v>9</v>
      </c>
      <c r="F133" t="s">
        <v>17</v>
      </c>
      <c r="G133" t="s">
        <v>18</v>
      </c>
      <c r="H133">
        <v>0.14000000000000001</v>
      </c>
      <c r="I133">
        <v>0.1212</v>
      </c>
      <c r="J133">
        <v>0.5</v>
      </c>
      <c r="K133">
        <v>0.32840000000000003</v>
      </c>
      <c r="L133">
        <v>1</v>
      </c>
      <c r="M133">
        <v>86</v>
      </c>
      <c r="N133">
        <v>87</v>
      </c>
    </row>
    <row r="134" spans="1:14" x14ac:dyDescent="0.3">
      <c r="A134">
        <v>743</v>
      </c>
      <c r="B134">
        <v>40577</v>
      </c>
      <c r="C134">
        <v>0.33333333333333331</v>
      </c>
      <c r="D134" t="s">
        <v>8</v>
      </c>
      <c r="E134" t="s">
        <v>9</v>
      </c>
      <c r="F134" t="s">
        <v>17</v>
      </c>
      <c r="G134" t="s">
        <v>18</v>
      </c>
      <c r="H134">
        <v>0.14000000000000001</v>
      </c>
      <c r="I134">
        <v>0.1212</v>
      </c>
      <c r="J134">
        <v>0.5</v>
      </c>
      <c r="K134">
        <v>0.35820000000000002</v>
      </c>
      <c r="L134">
        <v>4</v>
      </c>
      <c r="M134">
        <v>184</v>
      </c>
      <c r="N134">
        <v>188</v>
      </c>
    </row>
    <row r="135" spans="1:14" x14ac:dyDescent="0.3">
      <c r="A135">
        <v>744</v>
      </c>
      <c r="B135">
        <v>40577</v>
      </c>
      <c r="C135">
        <v>0.375</v>
      </c>
      <c r="D135" t="s">
        <v>8</v>
      </c>
      <c r="E135" t="s">
        <v>9</v>
      </c>
      <c r="F135" t="s">
        <v>17</v>
      </c>
      <c r="G135" t="s">
        <v>18</v>
      </c>
      <c r="H135">
        <v>0.16</v>
      </c>
      <c r="I135">
        <v>0.13639999999999999</v>
      </c>
      <c r="J135">
        <v>0.47</v>
      </c>
      <c r="K135">
        <v>0.29849999999999999</v>
      </c>
      <c r="L135">
        <v>6</v>
      </c>
      <c r="M135">
        <v>127</v>
      </c>
      <c r="N135">
        <v>133</v>
      </c>
    </row>
    <row r="136" spans="1:14" x14ac:dyDescent="0.3">
      <c r="A136">
        <v>745</v>
      </c>
      <c r="B136">
        <v>40577</v>
      </c>
      <c r="C136">
        <v>0.41666666666666669</v>
      </c>
      <c r="D136" t="s">
        <v>8</v>
      </c>
      <c r="E136" t="s">
        <v>9</v>
      </c>
      <c r="F136" t="s">
        <v>17</v>
      </c>
      <c r="G136" t="s">
        <v>18</v>
      </c>
      <c r="H136">
        <v>0.18</v>
      </c>
      <c r="I136">
        <v>0.1515</v>
      </c>
      <c r="J136">
        <v>0.43</v>
      </c>
      <c r="K136">
        <v>0.32840000000000003</v>
      </c>
      <c r="L136">
        <v>2</v>
      </c>
      <c r="M136">
        <v>50</v>
      </c>
      <c r="N136">
        <v>52</v>
      </c>
    </row>
    <row r="137" spans="1:14" x14ac:dyDescent="0.3">
      <c r="A137">
        <v>746</v>
      </c>
      <c r="B137">
        <v>40577</v>
      </c>
      <c r="C137">
        <v>0.45833333333333331</v>
      </c>
      <c r="D137" t="s">
        <v>8</v>
      </c>
      <c r="E137" t="s">
        <v>9</v>
      </c>
      <c r="F137" t="s">
        <v>17</v>
      </c>
      <c r="G137" t="s">
        <v>18</v>
      </c>
      <c r="H137">
        <v>0.18</v>
      </c>
      <c r="I137">
        <v>0.13639999999999999</v>
      </c>
      <c r="J137">
        <v>0.43</v>
      </c>
      <c r="K137">
        <v>0.44779999999999998</v>
      </c>
      <c r="L137">
        <v>9</v>
      </c>
      <c r="M137">
        <v>55</v>
      </c>
      <c r="N137">
        <v>64</v>
      </c>
    </row>
    <row r="138" spans="1:14" x14ac:dyDescent="0.3">
      <c r="A138">
        <v>747</v>
      </c>
      <c r="B138">
        <v>40577</v>
      </c>
      <c r="C138">
        <v>0.5</v>
      </c>
      <c r="D138" t="s">
        <v>8</v>
      </c>
      <c r="E138" t="s">
        <v>9</v>
      </c>
      <c r="F138" t="s">
        <v>17</v>
      </c>
      <c r="G138" t="s">
        <v>18</v>
      </c>
      <c r="H138">
        <v>0.2</v>
      </c>
      <c r="I138">
        <v>0.18179999999999999</v>
      </c>
      <c r="J138">
        <v>0.4</v>
      </c>
      <c r="K138">
        <v>0.35820000000000002</v>
      </c>
      <c r="L138">
        <v>2</v>
      </c>
      <c r="M138">
        <v>67</v>
      </c>
      <c r="N138">
        <v>69</v>
      </c>
    </row>
    <row r="139" spans="1:14" x14ac:dyDescent="0.3">
      <c r="A139">
        <v>748</v>
      </c>
      <c r="B139">
        <v>40577</v>
      </c>
      <c r="C139">
        <v>0.54166666666666663</v>
      </c>
      <c r="D139" t="s">
        <v>8</v>
      </c>
      <c r="E139" t="s">
        <v>9</v>
      </c>
      <c r="F139" t="s">
        <v>17</v>
      </c>
      <c r="G139" t="s">
        <v>18</v>
      </c>
      <c r="H139">
        <v>0.2</v>
      </c>
      <c r="I139">
        <v>0.16669999999999999</v>
      </c>
      <c r="J139">
        <v>0.4</v>
      </c>
      <c r="K139">
        <v>0.41789999999999999</v>
      </c>
      <c r="L139">
        <v>4</v>
      </c>
      <c r="M139">
        <v>47</v>
      </c>
      <c r="N139">
        <v>51</v>
      </c>
    </row>
    <row r="140" spans="1:14" x14ac:dyDescent="0.3">
      <c r="A140">
        <v>749</v>
      </c>
      <c r="B140">
        <v>40577</v>
      </c>
      <c r="C140">
        <v>0.58333333333333337</v>
      </c>
      <c r="D140" t="s">
        <v>8</v>
      </c>
      <c r="E140" t="s">
        <v>9</v>
      </c>
      <c r="F140" t="s">
        <v>17</v>
      </c>
      <c r="G140" t="s">
        <v>18</v>
      </c>
      <c r="H140">
        <v>0.22</v>
      </c>
      <c r="I140">
        <v>0.19700000000000001</v>
      </c>
      <c r="J140">
        <v>0.37</v>
      </c>
      <c r="K140">
        <v>0.3881</v>
      </c>
      <c r="L140">
        <v>4</v>
      </c>
      <c r="M140">
        <v>43</v>
      </c>
      <c r="N140">
        <v>47</v>
      </c>
    </row>
    <row r="141" spans="1:14" x14ac:dyDescent="0.3">
      <c r="A141">
        <v>750</v>
      </c>
      <c r="B141">
        <v>40577</v>
      </c>
      <c r="C141">
        <v>0.625</v>
      </c>
      <c r="D141" t="s">
        <v>8</v>
      </c>
      <c r="E141" t="s">
        <v>9</v>
      </c>
      <c r="F141" t="s">
        <v>17</v>
      </c>
      <c r="G141" t="s">
        <v>18</v>
      </c>
      <c r="H141">
        <v>0.22</v>
      </c>
      <c r="I141">
        <v>0.19700000000000001</v>
      </c>
      <c r="J141">
        <v>0.37</v>
      </c>
      <c r="K141">
        <v>0.32840000000000003</v>
      </c>
      <c r="L141">
        <v>4</v>
      </c>
      <c r="M141">
        <v>56</v>
      </c>
      <c r="N141">
        <v>60</v>
      </c>
    </row>
    <row r="142" spans="1:14" x14ac:dyDescent="0.3">
      <c r="A142">
        <v>751</v>
      </c>
      <c r="B142">
        <v>40577</v>
      </c>
      <c r="C142">
        <v>0.66666666666666663</v>
      </c>
      <c r="D142" t="s">
        <v>8</v>
      </c>
      <c r="E142" t="s">
        <v>9</v>
      </c>
      <c r="F142" t="s">
        <v>17</v>
      </c>
      <c r="G142" t="s">
        <v>18</v>
      </c>
      <c r="H142">
        <v>0.22</v>
      </c>
      <c r="I142">
        <v>0.21210000000000001</v>
      </c>
      <c r="J142">
        <v>0.37</v>
      </c>
      <c r="K142">
        <v>0.25369999999999998</v>
      </c>
      <c r="L142">
        <v>5</v>
      </c>
      <c r="M142">
        <v>73</v>
      </c>
      <c r="N142">
        <v>78</v>
      </c>
    </row>
    <row r="143" spans="1:14" x14ac:dyDescent="0.3">
      <c r="A143">
        <v>752</v>
      </c>
      <c r="B143">
        <v>40577</v>
      </c>
      <c r="C143">
        <v>0.70833333333333337</v>
      </c>
      <c r="D143" t="s">
        <v>8</v>
      </c>
      <c r="E143" t="s">
        <v>9</v>
      </c>
      <c r="F143" t="s">
        <v>17</v>
      </c>
      <c r="G143" t="s">
        <v>18</v>
      </c>
      <c r="H143">
        <v>0.2</v>
      </c>
      <c r="I143">
        <v>0.19700000000000001</v>
      </c>
      <c r="J143">
        <v>0.4</v>
      </c>
      <c r="K143">
        <v>0.19400000000000001</v>
      </c>
      <c r="L143">
        <v>5</v>
      </c>
      <c r="M143">
        <v>170</v>
      </c>
      <c r="N143">
        <v>175</v>
      </c>
    </row>
    <row r="144" spans="1:14" x14ac:dyDescent="0.3">
      <c r="A144">
        <v>753</v>
      </c>
      <c r="B144">
        <v>40577</v>
      </c>
      <c r="C144">
        <v>0.75</v>
      </c>
      <c r="D144" t="s">
        <v>8</v>
      </c>
      <c r="E144" t="s">
        <v>9</v>
      </c>
      <c r="F144" t="s">
        <v>17</v>
      </c>
      <c r="G144" t="s">
        <v>18</v>
      </c>
      <c r="H144">
        <v>0.2</v>
      </c>
      <c r="I144">
        <v>0.21210000000000001</v>
      </c>
      <c r="J144">
        <v>0.4</v>
      </c>
      <c r="K144">
        <v>0.16420000000000001</v>
      </c>
      <c r="L144">
        <v>2</v>
      </c>
      <c r="M144">
        <v>145</v>
      </c>
      <c r="N144">
        <v>147</v>
      </c>
    </row>
    <row r="145" spans="1:14" x14ac:dyDescent="0.3">
      <c r="A145">
        <v>754</v>
      </c>
      <c r="B145">
        <v>40577</v>
      </c>
      <c r="C145">
        <v>0.79166666666666663</v>
      </c>
      <c r="D145" t="s">
        <v>8</v>
      </c>
      <c r="E145" t="s">
        <v>9</v>
      </c>
      <c r="F145" t="s">
        <v>17</v>
      </c>
      <c r="G145" t="s">
        <v>18</v>
      </c>
      <c r="H145">
        <v>0.2</v>
      </c>
      <c r="I145">
        <v>0.2576</v>
      </c>
      <c r="J145">
        <v>0.4</v>
      </c>
      <c r="K145">
        <v>0</v>
      </c>
      <c r="L145">
        <v>4</v>
      </c>
      <c r="M145">
        <v>92</v>
      </c>
      <c r="N145">
        <v>96</v>
      </c>
    </row>
    <row r="146" spans="1:14" x14ac:dyDescent="0.3">
      <c r="A146">
        <v>755</v>
      </c>
      <c r="B146">
        <v>40577</v>
      </c>
      <c r="C146">
        <v>0.83333333333333337</v>
      </c>
      <c r="D146" t="s">
        <v>8</v>
      </c>
      <c r="E146" t="s">
        <v>9</v>
      </c>
      <c r="F146" t="s">
        <v>17</v>
      </c>
      <c r="G146" t="s">
        <v>18</v>
      </c>
      <c r="H146">
        <v>0.2</v>
      </c>
      <c r="I146">
        <v>0.2273</v>
      </c>
      <c r="J146">
        <v>0.47</v>
      </c>
      <c r="K146">
        <v>8.9599999999999999E-2</v>
      </c>
      <c r="L146">
        <v>1</v>
      </c>
      <c r="M146">
        <v>108</v>
      </c>
      <c r="N146">
        <v>109</v>
      </c>
    </row>
    <row r="147" spans="1:14" x14ac:dyDescent="0.3">
      <c r="A147">
        <v>756</v>
      </c>
      <c r="B147">
        <v>40577</v>
      </c>
      <c r="C147">
        <v>0.875</v>
      </c>
      <c r="D147" t="s">
        <v>8</v>
      </c>
      <c r="E147" t="s">
        <v>9</v>
      </c>
      <c r="F147" t="s">
        <v>17</v>
      </c>
      <c r="G147" t="s">
        <v>18</v>
      </c>
      <c r="H147">
        <v>0.18</v>
      </c>
      <c r="I147">
        <v>0.21210000000000001</v>
      </c>
      <c r="J147">
        <v>0.55000000000000004</v>
      </c>
      <c r="K147">
        <v>0.1045</v>
      </c>
      <c r="L147">
        <v>1</v>
      </c>
      <c r="M147">
        <v>53</v>
      </c>
      <c r="N147">
        <v>54</v>
      </c>
    </row>
    <row r="148" spans="1:14" x14ac:dyDescent="0.3">
      <c r="A148">
        <v>757</v>
      </c>
      <c r="B148">
        <v>40577</v>
      </c>
      <c r="C148">
        <v>0.91666666666666663</v>
      </c>
      <c r="D148" t="s">
        <v>8</v>
      </c>
      <c r="E148" t="s">
        <v>9</v>
      </c>
      <c r="F148" t="s">
        <v>17</v>
      </c>
      <c r="G148" t="s">
        <v>18</v>
      </c>
      <c r="H148">
        <v>0.18</v>
      </c>
      <c r="I148">
        <v>0.21210000000000001</v>
      </c>
      <c r="J148">
        <v>0.51</v>
      </c>
      <c r="K148">
        <v>8.9599999999999999E-2</v>
      </c>
      <c r="L148">
        <v>2</v>
      </c>
      <c r="M148">
        <v>39</v>
      </c>
      <c r="N148">
        <v>41</v>
      </c>
    </row>
    <row r="149" spans="1:14" x14ac:dyDescent="0.3">
      <c r="A149">
        <v>758</v>
      </c>
      <c r="B149">
        <v>40577</v>
      </c>
      <c r="C149">
        <v>0.95833333333333337</v>
      </c>
      <c r="D149" t="s">
        <v>8</v>
      </c>
      <c r="E149" t="s">
        <v>9</v>
      </c>
      <c r="F149" t="s">
        <v>17</v>
      </c>
      <c r="G149" t="s">
        <v>18</v>
      </c>
      <c r="H149">
        <v>0.2</v>
      </c>
      <c r="I149">
        <v>0.2273</v>
      </c>
      <c r="J149">
        <v>0.47</v>
      </c>
      <c r="K149">
        <v>0.1045</v>
      </c>
      <c r="L149">
        <v>4</v>
      </c>
      <c r="M149">
        <v>34</v>
      </c>
      <c r="N149">
        <v>38</v>
      </c>
    </row>
    <row r="150" spans="1:14" x14ac:dyDescent="0.3">
      <c r="A150">
        <v>759</v>
      </c>
      <c r="B150">
        <v>40578</v>
      </c>
      <c r="C150">
        <v>0</v>
      </c>
      <c r="D150" t="s">
        <v>8</v>
      </c>
      <c r="E150" t="s">
        <v>9</v>
      </c>
      <c r="F150" t="s">
        <v>11</v>
      </c>
      <c r="G150" t="s">
        <v>19</v>
      </c>
      <c r="H150">
        <v>0.2</v>
      </c>
      <c r="I150">
        <v>0.2576</v>
      </c>
      <c r="J150">
        <v>0.44</v>
      </c>
      <c r="K150">
        <v>0</v>
      </c>
      <c r="L150">
        <v>3</v>
      </c>
      <c r="M150">
        <v>10</v>
      </c>
      <c r="N150">
        <v>13</v>
      </c>
    </row>
    <row r="151" spans="1:14" x14ac:dyDescent="0.3">
      <c r="A151">
        <v>760</v>
      </c>
      <c r="B151">
        <v>40578</v>
      </c>
      <c r="C151">
        <v>4.1666666666666664E-2</v>
      </c>
      <c r="D151" t="s">
        <v>8</v>
      </c>
      <c r="E151" t="s">
        <v>9</v>
      </c>
      <c r="F151" t="s">
        <v>11</v>
      </c>
      <c r="G151" t="s">
        <v>19</v>
      </c>
      <c r="H151">
        <v>0.16</v>
      </c>
      <c r="I151">
        <v>0.2273</v>
      </c>
      <c r="J151">
        <v>0.59</v>
      </c>
      <c r="K151">
        <v>0</v>
      </c>
      <c r="L151">
        <v>0</v>
      </c>
      <c r="M151">
        <v>7</v>
      </c>
      <c r="N151">
        <v>7</v>
      </c>
    </row>
    <row r="152" spans="1:14" x14ac:dyDescent="0.3">
      <c r="A152">
        <v>761</v>
      </c>
      <c r="B152">
        <v>40578</v>
      </c>
      <c r="C152">
        <v>8.3333333333333329E-2</v>
      </c>
      <c r="D152" t="s">
        <v>8</v>
      </c>
      <c r="E152" t="s">
        <v>9</v>
      </c>
      <c r="F152" t="s">
        <v>11</v>
      </c>
      <c r="G152" t="s">
        <v>19</v>
      </c>
      <c r="H152">
        <v>0.14000000000000001</v>
      </c>
      <c r="I152">
        <v>0.16669999999999999</v>
      </c>
      <c r="J152">
        <v>0.63</v>
      </c>
      <c r="K152">
        <v>0.1045</v>
      </c>
      <c r="L152">
        <v>0</v>
      </c>
      <c r="M152">
        <v>1</v>
      </c>
      <c r="N152">
        <v>1</v>
      </c>
    </row>
    <row r="153" spans="1:14" x14ac:dyDescent="0.3">
      <c r="A153">
        <v>762</v>
      </c>
      <c r="B153">
        <v>40578</v>
      </c>
      <c r="C153">
        <v>0.125</v>
      </c>
      <c r="D153" t="s">
        <v>8</v>
      </c>
      <c r="E153" t="s">
        <v>9</v>
      </c>
      <c r="F153" t="s">
        <v>11</v>
      </c>
      <c r="G153" t="s">
        <v>19</v>
      </c>
      <c r="H153">
        <v>0.14000000000000001</v>
      </c>
      <c r="I153">
        <v>0.16669999999999999</v>
      </c>
      <c r="J153">
        <v>0.63</v>
      </c>
      <c r="K153">
        <v>0.1045</v>
      </c>
      <c r="L153">
        <v>0</v>
      </c>
      <c r="M153">
        <v>1</v>
      </c>
      <c r="N153">
        <v>1</v>
      </c>
    </row>
    <row r="154" spans="1:14" x14ac:dyDescent="0.3">
      <c r="A154">
        <v>763</v>
      </c>
      <c r="B154">
        <v>40578</v>
      </c>
      <c r="C154">
        <v>0.20833333333333334</v>
      </c>
      <c r="D154" t="s">
        <v>8</v>
      </c>
      <c r="E154" t="s">
        <v>9</v>
      </c>
      <c r="F154" t="s">
        <v>11</v>
      </c>
      <c r="G154" t="s">
        <v>19</v>
      </c>
      <c r="H154">
        <v>0.14000000000000001</v>
      </c>
      <c r="I154">
        <v>0.1515</v>
      </c>
      <c r="J154">
        <v>0.63</v>
      </c>
      <c r="K154">
        <v>0.1343</v>
      </c>
      <c r="L154">
        <v>0</v>
      </c>
      <c r="M154">
        <v>7</v>
      </c>
      <c r="N154">
        <v>7</v>
      </c>
    </row>
    <row r="155" spans="1:14" x14ac:dyDescent="0.3">
      <c r="A155">
        <v>764</v>
      </c>
      <c r="B155">
        <v>40578</v>
      </c>
      <c r="C155">
        <v>0.25</v>
      </c>
      <c r="D155" t="s">
        <v>8</v>
      </c>
      <c r="E155" t="s">
        <v>9</v>
      </c>
      <c r="F155" t="s">
        <v>11</v>
      </c>
      <c r="G155" t="s">
        <v>19</v>
      </c>
      <c r="H155">
        <v>0.16</v>
      </c>
      <c r="I155">
        <v>0.2273</v>
      </c>
      <c r="J155">
        <v>0.55000000000000004</v>
      </c>
      <c r="K155">
        <v>0</v>
      </c>
      <c r="L155">
        <v>2</v>
      </c>
      <c r="M155">
        <v>26</v>
      </c>
      <c r="N155">
        <v>28</v>
      </c>
    </row>
    <row r="156" spans="1:14" x14ac:dyDescent="0.3">
      <c r="A156">
        <v>765</v>
      </c>
      <c r="B156">
        <v>40578</v>
      </c>
      <c r="C156">
        <v>0.29166666666666669</v>
      </c>
      <c r="D156" t="s">
        <v>8</v>
      </c>
      <c r="E156" t="s">
        <v>9</v>
      </c>
      <c r="F156" t="s">
        <v>11</v>
      </c>
      <c r="G156" t="s">
        <v>18</v>
      </c>
      <c r="H156">
        <v>0.14000000000000001</v>
      </c>
      <c r="I156">
        <v>0.21210000000000001</v>
      </c>
      <c r="J156">
        <v>0.59</v>
      </c>
      <c r="K156">
        <v>0</v>
      </c>
      <c r="L156">
        <v>0</v>
      </c>
      <c r="M156">
        <v>87</v>
      </c>
      <c r="N156">
        <v>87</v>
      </c>
    </row>
    <row r="157" spans="1:14" x14ac:dyDescent="0.3">
      <c r="A157">
        <v>766</v>
      </c>
      <c r="B157">
        <v>40578</v>
      </c>
      <c r="C157">
        <v>0.33333333333333331</v>
      </c>
      <c r="D157" t="s">
        <v>8</v>
      </c>
      <c r="E157" t="s">
        <v>9</v>
      </c>
      <c r="F157" t="s">
        <v>11</v>
      </c>
      <c r="G157" t="s">
        <v>18</v>
      </c>
      <c r="H157">
        <v>0.14000000000000001</v>
      </c>
      <c r="I157">
        <v>0.1515</v>
      </c>
      <c r="J157">
        <v>0.74</v>
      </c>
      <c r="K157">
        <v>0.1343</v>
      </c>
      <c r="L157">
        <v>3</v>
      </c>
      <c r="M157">
        <v>217</v>
      </c>
      <c r="N157">
        <v>220</v>
      </c>
    </row>
    <row r="158" spans="1:14" x14ac:dyDescent="0.3">
      <c r="A158">
        <v>767</v>
      </c>
      <c r="B158">
        <v>40578</v>
      </c>
      <c r="C158">
        <v>0.375</v>
      </c>
      <c r="D158" t="s">
        <v>8</v>
      </c>
      <c r="E158" t="s">
        <v>9</v>
      </c>
      <c r="F158" t="s">
        <v>11</v>
      </c>
      <c r="G158" t="s">
        <v>19</v>
      </c>
      <c r="H158">
        <v>0.16</v>
      </c>
      <c r="I158">
        <v>0.18179999999999999</v>
      </c>
      <c r="J158">
        <v>0.8</v>
      </c>
      <c r="K158">
        <v>0.1343</v>
      </c>
      <c r="L158">
        <v>3</v>
      </c>
      <c r="M158">
        <v>124</v>
      </c>
      <c r="N158">
        <v>127</v>
      </c>
    </row>
    <row r="159" spans="1:14" x14ac:dyDescent="0.3">
      <c r="A159">
        <v>768</v>
      </c>
      <c r="B159">
        <v>40578</v>
      </c>
      <c r="C159">
        <v>0.41666666666666669</v>
      </c>
      <c r="D159" t="s">
        <v>8</v>
      </c>
      <c r="E159" t="s">
        <v>9</v>
      </c>
      <c r="F159" t="s">
        <v>11</v>
      </c>
      <c r="G159" t="s">
        <v>19</v>
      </c>
      <c r="H159">
        <v>0.2</v>
      </c>
      <c r="I159">
        <v>0.21210000000000001</v>
      </c>
      <c r="J159">
        <v>0.51</v>
      </c>
      <c r="K159">
        <v>0.1343</v>
      </c>
      <c r="L159">
        <v>5</v>
      </c>
      <c r="M159">
        <v>46</v>
      </c>
      <c r="N159">
        <v>51</v>
      </c>
    </row>
    <row r="160" spans="1:14" x14ac:dyDescent="0.3">
      <c r="A160">
        <v>769</v>
      </c>
      <c r="B160">
        <v>40578</v>
      </c>
      <c r="C160">
        <v>0.45833333333333331</v>
      </c>
      <c r="D160" t="s">
        <v>8</v>
      </c>
      <c r="E160" t="s">
        <v>9</v>
      </c>
      <c r="F160" t="s">
        <v>11</v>
      </c>
      <c r="G160" t="s">
        <v>18</v>
      </c>
      <c r="H160">
        <v>0.22</v>
      </c>
      <c r="I160">
        <v>0.2273</v>
      </c>
      <c r="J160">
        <v>0.51</v>
      </c>
      <c r="K160">
        <v>0.16420000000000001</v>
      </c>
      <c r="L160">
        <v>3</v>
      </c>
      <c r="M160">
        <v>61</v>
      </c>
      <c r="N160">
        <v>64</v>
      </c>
    </row>
    <row r="161" spans="1:14" x14ac:dyDescent="0.3">
      <c r="A161">
        <v>770</v>
      </c>
      <c r="B161">
        <v>40578</v>
      </c>
      <c r="C161">
        <v>0.5</v>
      </c>
      <c r="D161" t="s">
        <v>8</v>
      </c>
      <c r="E161" t="s">
        <v>9</v>
      </c>
      <c r="F161" t="s">
        <v>11</v>
      </c>
      <c r="G161" t="s">
        <v>19</v>
      </c>
      <c r="H161">
        <v>0.24</v>
      </c>
      <c r="I161">
        <v>0.2424</v>
      </c>
      <c r="J161">
        <v>0.48</v>
      </c>
      <c r="K161">
        <v>0.16420000000000001</v>
      </c>
      <c r="L161">
        <v>8</v>
      </c>
      <c r="M161">
        <v>78</v>
      </c>
      <c r="N161">
        <v>86</v>
      </c>
    </row>
    <row r="162" spans="1:14" x14ac:dyDescent="0.3">
      <c r="A162">
        <v>771</v>
      </c>
      <c r="B162">
        <v>40578</v>
      </c>
      <c r="C162">
        <v>0.54166666666666663</v>
      </c>
      <c r="D162" t="s">
        <v>8</v>
      </c>
      <c r="E162" t="s">
        <v>9</v>
      </c>
      <c r="F162" t="s">
        <v>11</v>
      </c>
      <c r="G162" t="s">
        <v>19</v>
      </c>
      <c r="H162">
        <v>0.26</v>
      </c>
      <c r="I162">
        <v>0.2576</v>
      </c>
      <c r="J162">
        <v>0.5</v>
      </c>
      <c r="K162">
        <v>0.22389999999999999</v>
      </c>
      <c r="L162">
        <v>9</v>
      </c>
      <c r="M162">
        <v>73</v>
      </c>
      <c r="N162">
        <v>82</v>
      </c>
    </row>
    <row r="163" spans="1:14" x14ac:dyDescent="0.3">
      <c r="A163">
        <v>772</v>
      </c>
      <c r="B163">
        <v>40578</v>
      </c>
      <c r="C163">
        <v>0.58333333333333337</v>
      </c>
      <c r="D163" t="s">
        <v>8</v>
      </c>
      <c r="E163" t="s">
        <v>9</v>
      </c>
      <c r="F163" t="s">
        <v>11</v>
      </c>
      <c r="G163" t="s">
        <v>19</v>
      </c>
      <c r="H163">
        <v>0.28000000000000003</v>
      </c>
      <c r="I163">
        <v>0.2727</v>
      </c>
      <c r="J163">
        <v>0.45</v>
      </c>
      <c r="K163">
        <v>0.16420000000000001</v>
      </c>
      <c r="L163">
        <v>15</v>
      </c>
      <c r="M163">
        <v>76</v>
      </c>
      <c r="N163">
        <v>91</v>
      </c>
    </row>
    <row r="164" spans="1:14" x14ac:dyDescent="0.3">
      <c r="A164">
        <v>773</v>
      </c>
      <c r="B164">
        <v>40578</v>
      </c>
      <c r="C164">
        <v>0.625</v>
      </c>
      <c r="D164" t="s">
        <v>8</v>
      </c>
      <c r="E164" t="s">
        <v>9</v>
      </c>
      <c r="F164" t="s">
        <v>11</v>
      </c>
      <c r="G164" t="s">
        <v>19</v>
      </c>
      <c r="H164">
        <v>0.28000000000000003</v>
      </c>
      <c r="I164">
        <v>0.2727</v>
      </c>
      <c r="J164">
        <v>0.48</v>
      </c>
      <c r="K164">
        <v>0.25369999999999998</v>
      </c>
      <c r="L164">
        <v>9</v>
      </c>
      <c r="M164">
        <v>81</v>
      </c>
      <c r="N164">
        <v>90</v>
      </c>
    </row>
    <row r="165" spans="1:14" x14ac:dyDescent="0.3">
      <c r="A165">
        <v>774</v>
      </c>
      <c r="B165">
        <v>40578</v>
      </c>
      <c r="C165">
        <v>0.66666666666666663</v>
      </c>
      <c r="D165" t="s">
        <v>8</v>
      </c>
      <c r="E165" t="s">
        <v>9</v>
      </c>
      <c r="F165" t="s">
        <v>11</v>
      </c>
      <c r="G165" t="s">
        <v>19</v>
      </c>
      <c r="H165">
        <v>0.3</v>
      </c>
      <c r="I165">
        <v>0.28789999999999999</v>
      </c>
      <c r="J165">
        <v>0.42</v>
      </c>
      <c r="K165">
        <v>0.22389999999999999</v>
      </c>
      <c r="L165">
        <v>8</v>
      </c>
      <c r="M165">
        <v>91</v>
      </c>
      <c r="N165">
        <v>99</v>
      </c>
    </row>
    <row r="166" spans="1:14" x14ac:dyDescent="0.3">
      <c r="A166">
        <v>775</v>
      </c>
      <c r="B166">
        <v>40578</v>
      </c>
      <c r="C166">
        <v>0.70833333333333337</v>
      </c>
      <c r="D166" t="s">
        <v>8</v>
      </c>
      <c r="E166" t="s">
        <v>9</v>
      </c>
      <c r="F166" t="s">
        <v>11</v>
      </c>
      <c r="G166" t="s">
        <v>19</v>
      </c>
      <c r="H166">
        <v>0.26</v>
      </c>
      <c r="I166">
        <v>0.2727</v>
      </c>
      <c r="J166">
        <v>0.56000000000000005</v>
      </c>
      <c r="K166">
        <v>0.1343</v>
      </c>
      <c r="L166">
        <v>10</v>
      </c>
      <c r="M166">
        <v>195</v>
      </c>
      <c r="N166">
        <v>205</v>
      </c>
    </row>
    <row r="167" spans="1:14" x14ac:dyDescent="0.3">
      <c r="A167">
        <v>776</v>
      </c>
      <c r="B167">
        <v>40578</v>
      </c>
      <c r="C167">
        <v>0.75</v>
      </c>
      <c r="D167" t="s">
        <v>8</v>
      </c>
      <c r="E167" t="s">
        <v>9</v>
      </c>
      <c r="F167" t="s">
        <v>11</v>
      </c>
      <c r="G167" t="s">
        <v>19</v>
      </c>
      <c r="H167">
        <v>0.24</v>
      </c>
      <c r="I167">
        <v>0.2576</v>
      </c>
      <c r="J167">
        <v>0.6</v>
      </c>
      <c r="K167">
        <v>0.1045</v>
      </c>
      <c r="L167">
        <v>3</v>
      </c>
      <c r="M167">
        <v>152</v>
      </c>
      <c r="N167">
        <v>155</v>
      </c>
    </row>
    <row r="168" spans="1:14" x14ac:dyDescent="0.3">
      <c r="A168">
        <v>777</v>
      </c>
      <c r="B168">
        <v>40578</v>
      </c>
      <c r="C168">
        <v>0.79166666666666663</v>
      </c>
      <c r="D168" t="s">
        <v>8</v>
      </c>
      <c r="E168" t="s">
        <v>9</v>
      </c>
      <c r="F168" t="s">
        <v>11</v>
      </c>
      <c r="G168" t="s">
        <v>19</v>
      </c>
      <c r="H168">
        <v>0.24</v>
      </c>
      <c r="I168">
        <v>0.2424</v>
      </c>
      <c r="J168">
        <v>0.65</v>
      </c>
      <c r="K168">
        <v>0.1343</v>
      </c>
      <c r="L168">
        <v>1</v>
      </c>
      <c r="M168">
        <v>102</v>
      </c>
      <c r="N168">
        <v>103</v>
      </c>
    </row>
    <row r="169" spans="1:14" x14ac:dyDescent="0.3">
      <c r="A169">
        <v>778</v>
      </c>
      <c r="B169">
        <v>40578</v>
      </c>
      <c r="C169">
        <v>0.83333333333333337</v>
      </c>
      <c r="D169" t="s">
        <v>8</v>
      </c>
      <c r="E169" t="s">
        <v>9</v>
      </c>
      <c r="F169" t="s">
        <v>11</v>
      </c>
      <c r="G169" t="s">
        <v>19</v>
      </c>
      <c r="H169">
        <v>0.24</v>
      </c>
      <c r="I169">
        <v>0.2424</v>
      </c>
      <c r="J169">
        <v>0.65</v>
      </c>
      <c r="K169">
        <v>0.16420000000000001</v>
      </c>
      <c r="L169">
        <v>2</v>
      </c>
      <c r="M169">
        <v>69</v>
      </c>
      <c r="N169">
        <v>71</v>
      </c>
    </row>
    <row r="170" spans="1:14" x14ac:dyDescent="0.3">
      <c r="A170">
        <v>779</v>
      </c>
      <c r="B170">
        <v>40578</v>
      </c>
      <c r="C170">
        <v>0.875</v>
      </c>
      <c r="D170" t="s">
        <v>8</v>
      </c>
      <c r="E170" t="s">
        <v>9</v>
      </c>
      <c r="F170" t="s">
        <v>11</v>
      </c>
      <c r="G170" t="s">
        <v>19</v>
      </c>
      <c r="H170">
        <v>0.24</v>
      </c>
      <c r="I170">
        <v>0.2424</v>
      </c>
      <c r="J170">
        <v>0.7</v>
      </c>
      <c r="K170">
        <v>0.16420000000000001</v>
      </c>
      <c r="L170">
        <v>2</v>
      </c>
      <c r="M170">
        <v>41</v>
      </c>
      <c r="N170">
        <v>43</v>
      </c>
    </row>
    <row r="171" spans="1:14" x14ac:dyDescent="0.3">
      <c r="A171">
        <v>780</v>
      </c>
      <c r="B171">
        <v>40578</v>
      </c>
      <c r="C171">
        <v>0.91666666666666663</v>
      </c>
      <c r="D171" t="s">
        <v>8</v>
      </c>
      <c r="E171" t="s">
        <v>9</v>
      </c>
      <c r="F171" t="s">
        <v>11</v>
      </c>
      <c r="G171" t="s">
        <v>19</v>
      </c>
      <c r="H171">
        <v>0.24</v>
      </c>
      <c r="I171">
        <v>0.2424</v>
      </c>
      <c r="J171">
        <v>0.65</v>
      </c>
      <c r="K171">
        <v>0.16420000000000001</v>
      </c>
      <c r="L171">
        <v>1</v>
      </c>
      <c r="M171">
        <v>45</v>
      </c>
      <c r="N171">
        <v>46</v>
      </c>
    </row>
    <row r="172" spans="1:14" x14ac:dyDescent="0.3">
      <c r="A172">
        <v>781</v>
      </c>
      <c r="B172">
        <v>40578</v>
      </c>
      <c r="C172">
        <v>0.95833333333333337</v>
      </c>
      <c r="D172" t="s">
        <v>8</v>
      </c>
      <c r="E172" t="s">
        <v>9</v>
      </c>
      <c r="F172" t="s">
        <v>11</v>
      </c>
      <c r="G172" t="s">
        <v>19</v>
      </c>
      <c r="H172">
        <v>0.24</v>
      </c>
      <c r="I172">
        <v>0.2424</v>
      </c>
      <c r="J172">
        <v>0.7</v>
      </c>
      <c r="K172">
        <v>0.1343</v>
      </c>
      <c r="L172">
        <v>1</v>
      </c>
      <c r="M172">
        <v>30</v>
      </c>
      <c r="N172">
        <v>31</v>
      </c>
    </row>
    <row r="173" spans="1:14" x14ac:dyDescent="0.3">
      <c r="A173">
        <v>782</v>
      </c>
      <c r="B173">
        <v>40579</v>
      </c>
      <c r="C173">
        <v>0</v>
      </c>
      <c r="D173" t="s">
        <v>8</v>
      </c>
      <c r="E173" t="s">
        <v>9</v>
      </c>
      <c r="F173" t="s">
        <v>12</v>
      </c>
      <c r="G173" t="s">
        <v>19</v>
      </c>
      <c r="H173">
        <v>0.24</v>
      </c>
      <c r="I173">
        <v>0.2424</v>
      </c>
      <c r="J173">
        <v>0.7</v>
      </c>
      <c r="K173">
        <v>0.16420000000000001</v>
      </c>
      <c r="L173">
        <v>3</v>
      </c>
      <c r="M173">
        <v>36</v>
      </c>
      <c r="N173">
        <v>39</v>
      </c>
    </row>
    <row r="174" spans="1:14" x14ac:dyDescent="0.3">
      <c r="A174">
        <v>783</v>
      </c>
      <c r="B174">
        <v>40579</v>
      </c>
      <c r="C174">
        <v>4.1666666666666664E-2</v>
      </c>
      <c r="D174" t="s">
        <v>8</v>
      </c>
      <c r="E174" t="s">
        <v>9</v>
      </c>
      <c r="F174" t="s">
        <v>12</v>
      </c>
      <c r="G174" t="s">
        <v>19</v>
      </c>
      <c r="H174">
        <v>0.24</v>
      </c>
      <c r="I174">
        <v>0.2424</v>
      </c>
      <c r="J174">
        <v>0.65</v>
      </c>
      <c r="K174">
        <v>0.16420000000000001</v>
      </c>
      <c r="L174">
        <v>1</v>
      </c>
      <c r="M174">
        <v>17</v>
      </c>
      <c r="N174">
        <v>18</v>
      </c>
    </row>
    <row r="175" spans="1:14" x14ac:dyDescent="0.3">
      <c r="A175">
        <v>784</v>
      </c>
      <c r="B175">
        <v>40579</v>
      </c>
      <c r="C175">
        <v>8.3333333333333329E-2</v>
      </c>
      <c r="D175" t="s">
        <v>8</v>
      </c>
      <c r="E175" t="s">
        <v>9</v>
      </c>
      <c r="F175" t="s">
        <v>12</v>
      </c>
      <c r="G175" t="s">
        <v>19</v>
      </c>
      <c r="H175">
        <v>0.24</v>
      </c>
      <c r="I175">
        <v>0.2424</v>
      </c>
      <c r="J175">
        <v>0.75</v>
      </c>
      <c r="K175">
        <v>0.16420000000000001</v>
      </c>
      <c r="L175">
        <v>5</v>
      </c>
      <c r="M175">
        <v>12</v>
      </c>
      <c r="N175">
        <v>17</v>
      </c>
    </row>
    <row r="176" spans="1:14" x14ac:dyDescent="0.3">
      <c r="A176">
        <v>785</v>
      </c>
      <c r="B176">
        <v>40579</v>
      </c>
      <c r="C176">
        <v>0.125</v>
      </c>
      <c r="D176" t="s">
        <v>8</v>
      </c>
      <c r="E176" t="s">
        <v>9</v>
      </c>
      <c r="F176" t="s">
        <v>12</v>
      </c>
      <c r="G176" t="s">
        <v>19</v>
      </c>
      <c r="H176">
        <v>0.24</v>
      </c>
      <c r="I176">
        <v>0.2424</v>
      </c>
      <c r="J176">
        <v>0.75</v>
      </c>
      <c r="K176">
        <v>0.16420000000000001</v>
      </c>
      <c r="L176">
        <v>1</v>
      </c>
      <c r="M176">
        <v>10</v>
      </c>
      <c r="N176">
        <v>11</v>
      </c>
    </row>
    <row r="177" spans="1:14" x14ac:dyDescent="0.3">
      <c r="A177">
        <v>786</v>
      </c>
      <c r="B177">
        <v>40579</v>
      </c>
      <c r="C177">
        <v>0.16666666666666666</v>
      </c>
      <c r="D177" t="s">
        <v>8</v>
      </c>
      <c r="E177" t="s">
        <v>9</v>
      </c>
      <c r="F177" t="s">
        <v>12</v>
      </c>
      <c r="G177" t="s">
        <v>20</v>
      </c>
      <c r="H177">
        <v>0.22</v>
      </c>
      <c r="I177">
        <v>0.2273</v>
      </c>
      <c r="J177">
        <v>0.93</v>
      </c>
      <c r="K177">
        <v>0.1343</v>
      </c>
      <c r="L177">
        <v>0</v>
      </c>
      <c r="M177">
        <v>8</v>
      </c>
      <c r="N177">
        <v>8</v>
      </c>
    </row>
    <row r="178" spans="1:14" x14ac:dyDescent="0.3">
      <c r="A178">
        <v>787</v>
      </c>
      <c r="B178">
        <v>40579</v>
      </c>
      <c r="C178">
        <v>0.20833333333333334</v>
      </c>
      <c r="D178" t="s">
        <v>8</v>
      </c>
      <c r="E178" t="s">
        <v>9</v>
      </c>
      <c r="F178" t="s">
        <v>12</v>
      </c>
      <c r="G178" t="s">
        <v>20</v>
      </c>
      <c r="H178">
        <v>0.2</v>
      </c>
      <c r="I178">
        <v>0.2273</v>
      </c>
      <c r="J178">
        <v>1</v>
      </c>
      <c r="K178">
        <v>8.9599999999999999E-2</v>
      </c>
      <c r="L178">
        <v>0</v>
      </c>
      <c r="M178">
        <v>9</v>
      </c>
      <c r="N178">
        <v>9</v>
      </c>
    </row>
    <row r="179" spans="1:14" x14ac:dyDescent="0.3">
      <c r="A179">
        <v>788</v>
      </c>
      <c r="B179">
        <v>40579</v>
      </c>
      <c r="C179">
        <v>0.25</v>
      </c>
      <c r="D179" t="s">
        <v>8</v>
      </c>
      <c r="E179" t="s">
        <v>9</v>
      </c>
      <c r="F179" t="s">
        <v>12</v>
      </c>
      <c r="G179" t="s">
        <v>20</v>
      </c>
      <c r="H179">
        <v>0.2</v>
      </c>
      <c r="I179">
        <v>0.2576</v>
      </c>
      <c r="J179">
        <v>1</v>
      </c>
      <c r="K179">
        <v>0</v>
      </c>
      <c r="L179">
        <v>0</v>
      </c>
      <c r="M179">
        <v>4</v>
      </c>
      <c r="N179">
        <v>4</v>
      </c>
    </row>
    <row r="180" spans="1:14" x14ac:dyDescent="0.3">
      <c r="A180">
        <v>789</v>
      </c>
      <c r="B180">
        <v>40579</v>
      </c>
      <c r="C180">
        <v>0.29166666666666669</v>
      </c>
      <c r="D180" t="s">
        <v>8</v>
      </c>
      <c r="E180" t="s">
        <v>9</v>
      </c>
      <c r="F180" t="s">
        <v>12</v>
      </c>
      <c r="G180" t="s">
        <v>20</v>
      </c>
      <c r="H180">
        <v>0.22</v>
      </c>
      <c r="I180">
        <v>0.2576</v>
      </c>
      <c r="J180">
        <v>0.93</v>
      </c>
      <c r="K180">
        <v>8.9599999999999999E-2</v>
      </c>
      <c r="L180">
        <v>0</v>
      </c>
      <c r="M180">
        <v>4</v>
      </c>
      <c r="N180">
        <v>4</v>
      </c>
    </row>
    <row r="181" spans="1:14" x14ac:dyDescent="0.3">
      <c r="A181">
        <v>790</v>
      </c>
      <c r="B181">
        <v>40579</v>
      </c>
      <c r="C181">
        <v>0.33333333333333331</v>
      </c>
      <c r="D181" t="s">
        <v>8</v>
      </c>
      <c r="E181" t="s">
        <v>9</v>
      </c>
      <c r="F181" t="s">
        <v>12</v>
      </c>
      <c r="G181" t="s">
        <v>20</v>
      </c>
      <c r="H181">
        <v>0.2</v>
      </c>
      <c r="I181">
        <v>0.2273</v>
      </c>
      <c r="J181">
        <v>1</v>
      </c>
      <c r="K181">
        <v>8.9599999999999999E-2</v>
      </c>
      <c r="L181">
        <v>0</v>
      </c>
      <c r="M181">
        <v>10</v>
      </c>
      <c r="N181">
        <v>10</v>
      </c>
    </row>
    <row r="182" spans="1:14" x14ac:dyDescent="0.3">
      <c r="A182">
        <v>791</v>
      </c>
      <c r="B182">
        <v>40579</v>
      </c>
      <c r="C182">
        <v>0.375</v>
      </c>
      <c r="D182" t="s">
        <v>8</v>
      </c>
      <c r="E182" t="s">
        <v>9</v>
      </c>
      <c r="F182" t="s">
        <v>12</v>
      </c>
      <c r="G182" t="s">
        <v>20</v>
      </c>
      <c r="H182">
        <v>0.2</v>
      </c>
      <c r="I182">
        <v>0.2273</v>
      </c>
      <c r="J182">
        <v>1</v>
      </c>
      <c r="K182">
        <v>8.9599999999999999E-2</v>
      </c>
      <c r="L182">
        <v>3</v>
      </c>
      <c r="M182">
        <v>17</v>
      </c>
      <c r="N182">
        <v>20</v>
      </c>
    </row>
    <row r="183" spans="1:14" x14ac:dyDescent="0.3">
      <c r="A183">
        <v>792</v>
      </c>
      <c r="B183">
        <v>40579</v>
      </c>
      <c r="C183">
        <v>0.41666666666666669</v>
      </c>
      <c r="D183" t="s">
        <v>8</v>
      </c>
      <c r="E183" t="s">
        <v>9</v>
      </c>
      <c r="F183" t="s">
        <v>12</v>
      </c>
      <c r="G183" t="s">
        <v>20</v>
      </c>
      <c r="H183">
        <v>0.2</v>
      </c>
      <c r="I183">
        <v>0.21210000000000001</v>
      </c>
      <c r="J183">
        <v>1</v>
      </c>
      <c r="K183">
        <v>0.1343</v>
      </c>
      <c r="L183">
        <v>3</v>
      </c>
      <c r="M183">
        <v>31</v>
      </c>
      <c r="N183">
        <v>34</v>
      </c>
    </row>
    <row r="184" spans="1:14" x14ac:dyDescent="0.3">
      <c r="A184">
        <v>793</v>
      </c>
      <c r="B184">
        <v>40579</v>
      </c>
      <c r="C184">
        <v>0.45833333333333331</v>
      </c>
      <c r="D184" t="s">
        <v>8</v>
      </c>
      <c r="E184" t="s">
        <v>9</v>
      </c>
      <c r="F184" t="s">
        <v>12</v>
      </c>
      <c r="G184" t="s">
        <v>20</v>
      </c>
      <c r="H184">
        <v>0.22</v>
      </c>
      <c r="I184">
        <v>0.2273</v>
      </c>
      <c r="J184">
        <v>1</v>
      </c>
      <c r="K184">
        <v>0.1343</v>
      </c>
      <c r="L184">
        <v>1</v>
      </c>
      <c r="M184">
        <v>46</v>
      </c>
      <c r="N184">
        <v>47</v>
      </c>
    </row>
    <row r="185" spans="1:14" x14ac:dyDescent="0.3">
      <c r="A185">
        <v>794</v>
      </c>
      <c r="B185">
        <v>40579</v>
      </c>
      <c r="C185">
        <v>0.5</v>
      </c>
      <c r="D185" t="s">
        <v>8</v>
      </c>
      <c r="E185" t="s">
        <v>9</v>
      </c>
      <c r="F185" t="s">
        <v>12</v>
      </c>
      <c r="G185" t="s">
        <v>20</v>
      </c>
      <c r="H185">
        <v>0.22</v>
      </c>
      <c r="I185">
        <v>0.2273</v>
      </c>
      <c r="J185">
        <v>1</v>
      </c>
      <c r="K185">
        <v>0.16420000000000001</v>
      </c>
      <c r="L185">
        <v>10</v>
      </c>
      <c r="M185">
        <v>42</v>
      </c>
      <c r="N185">
        <v>52</v>
      </c>
    </row>
    <row r="186" spans="1:14" x14ac:dyDescent="0.3">
      <c r="A186">
        <v>795</v>
      </c>
      <c r="B186">
        <v>40579</v>
      </c>
      <c r="C186">
        <v>0.54166666666666663</v>
      </c>
      <c r="D186" t="s">
        <v>8</v>
      </c>
      <c r="E186" t="s">
        <v>9</v>
      </c>
      <c r="F186" t="s">
        <v>12</v>
      </c>
      <c r="G186" t="s">
        <v>20</v>
      </c>
      <c r="H186">
        <v>0.22</v>
      </c>
      <c r="I186">
        <v>0.2273</v>
      </c>
      <c r="J186">
        <v>1</v>
      </c>
      <c r="K186">
        <v>0.16420000000000001</v>
      </c>
      <c r="L186">
        <v>10</v>
      </c>
      <c r="M186">
        <v>62</v>
      </c>
      <c r="N186">
        <v>72</v>
      </c>
    </row>
    <row r="187" spans="1:14" x14ac:dyDescent="0.3">
      <c r="A187">
        <v>796</v>
      </c>
      <c r="B187">
        <v>40579</v>
      </c>
      <c r="C187">
        <v>0.58333333333333337</v>
      </c>
      <c r="D187" t="s">
        <v>8</v>
      </c>
      <c r="E187" t="s">
        <v>9</v>
      </c>
      <c r="F187" t="s">
        <v>12</v>
      </c>
      <c r="G187" t="s">
        <v>20</v>
      </c>
      <c r="H187">
        <v>0.22</v>
      </c>
      <c r="I187">
        <v>0.2727</v>
      </c>
      <c r="J187">
        <v>1</v>
      </c>
      <c r="K187">
        <v>0</v>
      </c>
      <c r="L187">
        <v>5</v>
      </c>
      <c r="M187">
        <v>50</v>
      </c>
      <c r="N187">
        <v>55</v>
      </c>
    </row>
    <row r="188" spans="1:14" x14ac:dyDescent="0.3">
      <c r="A188">
        <v>797</v>
      </c>
      <c r="B188">
        <v>40579</v>
      </c>
      <c r="C188">
        <v>0.625</v>
      </c>
      <c r="D188" t="s">
        <v>8</v>
      </c>
      <c r="E188" t="s">
        <v>9</v>
      </c>
      <c r="F188" t="s">
        <v>12</v>
      </c>
      <c r="G188" t="s">
        <v>20</v>
      </c>
      <c r="H188">
        <v>0.22</v>
      </c>
      <c r="I188">
        <v>0.2727</v>
      </c>
      <c r="J188">
        <v>1</v>
      </c>
      <c r="K188">
        <v>0</v>
      </c>
      <c r="L188">
        <v>11</v>
      </c>
      <c r="M188">
        <v>49</v>
      </c>
      <c r="N188">
        <v>60</v>
      </c>
    </row>
    <row r="189" spans="1:14" x14ac:dyDescent="0.3">
      <c r="A189">
        <v>798</v>
      </c>
      <c r="B189">
        <v>40579</v>
      </c>
      <c r="C189">
        <v>0.66666666666666663</v>
      </c>
      <c r="D189" t="s">
        <v>8</v>
      </c>
      <c r="E189" t="s">
        <v>9</v>
      </c>
      <c r="F189" t="s">
        <v>12</v>
      </c>
      <c r="G189" t="s">
        <v>20</v>
      </c>
      <c r="H189">
        <v>0.22</v>
      </c>
      <c r="I189">
        <v>0.2273</v>
      </c>
      <c r="J189">
        <v>1</v>
      </c>
      <c r="K189">
        <v>0.1343</v>
      </c>
      <c r="L189">
        <v>8</v>
      </c>
      <c r="M189">
        <v>63</v>
      </c>
      <c r="N189">
        <v>71</v>
      </c>
    </row>
    <row r="190" spans="1:14" x14ac:dyDescent="0.3">
      <c r="A190">
        <v>799</v>
      </c>
      <c r="B190">
        <v>40579</v>
      </c>
      <c r="C190">
        <v>0.70833333333333337</v>
      </c>
      <c r="D190" t="s">
        <v>8</v>
      </c>
      <c r="E190" t="s">
        <v>9</v>
      </c>
      <c r="F190" t="s">
        <v>12</v>
      </c>
      <c r="G190" t="s">
        <v>19</v>
      </c>
      <c r="H190">
        <v>0.24</v>
      </c>
      <c r="I190">
        <v>0.21210000000000001</v>
      </c>
      <c r="J190">
        <v>1</v>
      </c>
      <c r="K190">
        <v>0.28360000000000002</v>
      </c>
      <c r="L190">
        <v>14</v>
      </c>
      <c r="M190">
        <v>64</v>
      </c>
      <c r="N190">
        <v>78</v>
      </c>
    </row>
    <row r="191" spans="1:14" x14ac:dyDescent="0.3">
      <c r="A191">
        <v>800</v>
      </c>
      <c r="B191">
        <v>40579</v>
      </c>
      <c r="C191">
        <v>0.75</v>
      </c>
      <c r="D191" t="s">
        <v>8</v>
      </c>
      <c r="E191" t="s">
        <v>9</v>
      </c>
      <c r="F191" t="s">
        <v>12</v>
      </c>
      <c r="G191" t="s">
        <v>19</v>
      </c>
      <c r="H191">
        <v>0.28000000000000003</v>
      </c>
      <c r="I191">
        <v>0.2424</v>
      </c>
      <c r="J191">
        <v>0.93</v>
      </c>
      <c r="K191">
        <v>0.44779999999999998</v>
      </c>
      <c r="L191">
        <v>2</v>
      </c>
      <c r="M191">
        <v>81</v>
      </c>
      <c r="N191">
        <v>83</v>
      </c>
    </row>
    <row r="192" spans="1:14" x14ac:dyDescent="0.3">
      <c r="A192">
        <v>801</v>
      </c>
      <c r="B192">
        <v>40579</v>
      </c>
      <c r="C192">
        <v>0.79166666666666663</v>
      </c>
      <c r="D192" t="s">
        <v>8</v>
      </c>
      <c r="E192" t="s">
        <v>9</v>
      </c>
      <c r="F192" t="s">
        <v>12</v>
      </c>
      <c r="G192" t="s">
        <v>19</v>
      </c>
      <c r="H192">
        <v>0.28000000000000003</v>
      </c>
      <c r="I192">
        <v>0.2424</v>
      </c>
      <c r="J192">
        <v>0.93</v>
      </c>
      <c r="K192">
        <v>0.44779999999999998</v>
      </c>
      <c r="L192">
        <v>6</v>
      </c>
      <c r="M192">
        <v>78</v>
      </c>
      <c r="N192">
        <v>84</v>
      </c>
    </row>
    <row r="193" spans="1:14" x14ac:dyDescent="0.3">
      <c r="A193">
        <v>802</v>
      </c>
      <c r="B193">
        <v>40579</v>
      </c>
      <c r="C193">
        <v>0.83333333333333337</v>
      </c>
      <c r="D193" t="s">
        <v>8</v>
      </c>
      <c r="E193" t="s">
        <v>9</v>
      </c>
      <c r="F193" t="s">
        <v>12</v>
      </c>
      <c r="G193" t="s">
        <v>18</v>
      </c>
      <c r="H193">
        <v>0.3</v>
      </c>
      <c r="I193">
        <v>0.28789999999999999</v>
      </c>
      <c r="J193">
        <v>0.87</v>
      </c>
      <c r="K193">
        <v>0.25369999999999998</v>
      </c>
      <c r="L193">
        <v>5</v>
      </c>
      <c r="M193">
        <v>64</v>
      </c>
      <c r="N193">
        <v>69</v>
      </c>
    </row>
    <row r="194" spans="1:14" x14ac:dyDescent="0.3">
      <c r="A194">
        <v>803</v>
      </c>
      <c r="B194">
        <v>40579</v>
      </c>
      <c r="C194">
        <v>0.875</v>
      </c>
      <c r="D194" t="s">
        <v>8</v>
      </c>
      <c r="E194" t="s">
        <v>9</v>
      </c>
      <c r="F194" t="s">
        <v>12</v>
      </c>
      <c r="G194" t="s">
        <v>18</v>
      </c>
      <c r="H194">
        <v>0.26</v>
      </c>
      <c r="I194">
        <v>0.2576</v>
      </c>
      <c r="J194">
        <v>1</v>
      </c>
      <c r="K194">
        <v>0.19400000000000001</v>
      </c>
      <c r="L194">
        <v>3</v>
      </c>
      <c r="M194">
        <v>53</v>
      </c>
      <c r="N194">
        <v>56</v>
      </c>
    </row>
    <row r="195" spans="1:14" x14ac:dyDescent="0.3">
      <c r="A195">
        <v>804</v>
      </c>
      <c r="B195">
        <v>40579</v>
      </c>
      <c r="C195">
        <v>0.91666666666666663</v>
      </c>
      <c r="D195" t="s">
        <v>8</v>
      </c>
      <c r="E195" t="s">
        <v>9</v>
      </c>
      <c r="F195" t="s">
        <v>12</v>
      </c>
      <c r="G195" t="s">
        <v>18</v>
      </c>
      <c r="H195">
        <v>0.26</v>
      </c>
      <c r="I195">
        <v>0.2727</v>
      </c>
      <c r="J195">
        <v>0.93</v>
      </c>
      <c r="K195">
        <v>0.1343</v>
      </c>
      <c r="L195">
        <v>2</v>
      </c>
      <c r="M195">
        <v>43</v>
      </c>
      <c r="N195">
        <v>45</v>
      </c>
    </row>
    <row r="196" spans="1:14" x14ac:dyDescent="0.3">
      <c r="A196">
        <v>805</v>
      </c>
      <c r="B196">
        <v>40579</v>
      </c>
      <c r="C196">
        <v>0.95833333333333337</v>
      </c>
      <c r="D196" t="s">
        <v>8</v>
      </c>
      <c r="E196" t="s">
        <v>9</v>
      </c>
      <c r="F196" t="s">
        <v>12</v>
      </c>
      <c r="G196" t="s">
        <v>18</v>
      </c>
      <c r="H196">
        <v>0.26</v>
      </c>
      <c r="I196">
        <v>0.2576</v>
      </c>
      <c r="J196">
        <v>0.93</v>
      </c>
      <c r="K196">
        <v>0.22389999999999999</v>
      </c>
      <c r="L196">
        <v>7</v>
      </c>
      <c r="M196">
        <v>52</v>
      </c>
      <c r="N196">
        <v>59</v>
      </c>
    </row>
    <row r="197" spans="1:14" x14ac:dyDescent="0.3">
      <c r="A197">
        <v>806</v>
      </c>
      <c r="B197">
        <v>40580</v>
      </c>
      <c r="C197">
        <v>0</v>
      </c>
      <c r="D197" t="s">
        <v>8</v>
      </c>
      <c r="E197" t="s">
        <v>9</v>
      </c>
      <c r="F197" t="s">
        <v>13</v>
      </c>
      <c r="G197" t="s">
        <v>18</v>
      </c>
      <c r="H197">
        <v>0.26</v>
      </c>
      <c r="I197">
        <v>0.2576</v>
      </c>
      <c r="J197">
        <v>0.7</v>
      </c>
      <c r="K197">
        <v>0.19400000000000001</v>
      </c>
      <c r="L197">
        <v>2</v>
      </c>
      <c r="M197">
        <v>37</v>
      </c>
      <c r="N197">
        <v>39</v>
      </c>
    </row>
    <row r="198" spans="1:14" x14ac:dyDescent="0.3">
      <c r="A198">
        <v>807</v>
      </c>
      <c r="B198">
        <v>40580</v>
      </c>
      <c r="C198">
        <v>4.1666666666666664E-2</v>
      </c>
      <c r="D198" t="s">
        <v>8</v>
      </c>
      <c r="E198" t="s">
        <v>9</v>
      </c>
      <c r="F198" t="s">
        <v>13</v>
      </c>
      <c r="G198" t="s">
        <v>18</v>
      </c>
      <c r="H198">
        <v>0.26</v>
      </c>
      <c r="I198">
        <v>0.2273</v>
      </c>
      <c r="J198">
        <v>0.65</v>
      </c>
      <c r="K198">
        <v>0.41789999999999999</v>
      </c>
      <c r="L198">
        <v>4</v>
      </c>
      <c r="M198">
        <v>40</v>
      </c>
      <c r="N198">
        <v>44</v>
      </c>
    </row>
    <row r="199" spans="1:14" x14ac:dyDescent="0.3">
      <c r="A199">
        <v>808</v>
      </c>
      <c r="B199">
        <v>40580</v>
      </c>
      <c r="C199">
        <v>8.3333333333333329E-2</v>
      </c>
      <c r="D199" t="s">
        <v>8</v>
      </c>
      <c r="E199" t="s">
        <v>9</v>
      </c>
      <c r="F199" t="s">
        <v>13</v>
      </c>
      <c r="G199" t="s">
        <v>18</v>
      </c>
      <c r="H199">
        <v>0.26</v>
      </c>
      <c r="I199">
        <v>0.2273</v>
      </c>
      <c r="J199">
        <v>0.6</v>
      </c>
      <c r="K199">
        <v>0.32840000000000003</v>
      </c>
      <c r="L199">
        <v>0</v>
      </c>
      <c r="M199">
        <v>20</v>
      </c>
      <c r="N199">
        <v>20</v>
      </c>
    </row>
    <row r="200" spans="1:14" x14ac:dyDescent="0.3">
      <c r="A200">
        <v>809</v>
      </c>
      <c r="B200">
        <v>40580</v>
      </c>
      <c r="C200">
        <v>0.125</v>
      </c>
      <c r="D200" t="s">
        <v>8</v>
      </c>
      <c r="E200" t="s">
        <v>9</v>
      </c>
      <c r="F200" t="s">
        <v>13</v>
      </c>
      <c r="G200" t="s">
        <v>18</v>
      </c>
      <c r="H200">
        <v>0.26</v>
      </c>
      <c r="I200">
        <v>0.28789999999999999</v>
      </c>
      <c r="J200">
        <v>0.6</v>
      </c>
      <c r="K200">
        <v>8.9599999999999999E-2</v>
      </c>
      <c r="L200">
        <v>3</v>
      </c>
      <c r="M200">
        <v>10</v>
      </c>
      <c r="N200">
        <v>13</v>
      </c>
    </row>
    <row r="201" spans="1:14" x14ac:dyDescent="0.3">
      <c r="A201">
        <v>810</v>
      </c>
      <c r="B201">
        <v>40580</v>
      </c>
      <c r="C201">
        <v>0.16666666666666666</v>
      </c>
      <c r="D201" t="s">
        <v>8</v>
      </c>
      <c r="E201" t="s">
        <v>9</v>
      </c>
      <c r="F201" t="s">
        <v>13</v>
      </c>
      <c r="G201" t="s">
        <v>18</v>
      </c>
      <c r="H201">
        <v>0.26</v>
      </c>
      <c r="I201">
        <v>0.2273</v>
      </c>
      <c r="J201">
        <v>0.6</v>
      </c>
      <c r="K201">
        <v>0.35820000000000002</v>
      </c>
      <c r="L201">
        <v>0</v>
      </c>
      <c r="M201">
        <v>2</v>
      </c>
      <c r="N201">
        <v>2</v>
      </c>
    </row>
    <row r="202" spans="1:14" x14ac:dyDescent="0.3">
      <c r="A202">
        <v>811</v>
      </c>
      <c r="B202">
        <v>40580</v>
      </c>
      <c r="C202">
        <v>0.20833333333333334</v>
      </c>
      <c r="D202" t="s">
        <v>8</v>
      </c>
      <c r="E202" t="s">
        <v>9</v>
      </c>
      <c r="F202" t="s">
        <v>13</v>
      </c>
      <c r="G202" t="s">
        <v>18</v>
      </c>
      <c r="H202">
        <v>0.26</v>
      </c>
      <c r="I202">
        <v>0.2576</v>
      </c>
      <c r="J202">
        <v>0.6</v>
      </c>
      <c r="K202">
        <v>0.22389999999999999</v>
      </c>
      <c r="L202">
        <v>0</v>
      </c>
      <c r="M202">
        <v>1</v>
      </c>
      <c r="N202">
        <v>1</v>
      </c>
    </row>
    <row r="203" spans="1:14" x14ac:dyDescent="0.3">
      <c r="A203">
        <v>812</v>
      </c>
      <c r="B203">
        <v>40580</v>
      </c>
      <c r="C203">
        <v>0.25</v>
      </c>
      <c r="D203" t="s">
        <v>8</v>
      </c>
      <c r="E203" t="s">
        <v>9</v>
      </c>
      <c r="F203" t="s">
        <v>13</v>
      </c>
      <c r="G203" t="s">
        <v>18</v>
      </c>
      <c r="H203">
        <v>0.26</v>
      </c>
      <c r="I203">
        <v>0.2576</v>
      </c>
      <c r="J203">
        <v>0.6</v>
      </c>
      <c r="K203">
        <v>0.22389999999999999</v>
      </c>
      <c r="L203">
        <v>0</v>
      </c>
      <c r="M203">
        <v>1</v>
      </c>
      <c r="N203">
        <v>1</v>
      </c>
    </row>
    <row r="204" spans="1:14" x14ac:dyDescent="0.3">
      <c r="A204">
        <v>813</v>
      </c>
      <c r="B204">
        <v>40580</v>
      </c>
      <c r="C204">
        <v>0.29166666666666669</v>
      </c>
      <c r="D204" t="s">
        <v>8</v>
      </c>
      <c r="E204" t="s">
        <v>9</v>
      </c>
      <c r="F204" t="s">
        <v>13</v>
      </c>
      <c r="G204" t="s">
        <v>18</v>
      </c>
      <c r="H204">
        <v>0.24</v>
      </c>
      <c r="I204">
        <v>0.2424</v>
      </c>
      <c r="J204">
        <v>0.65</v>
      </c>
      <c r="K204">
        <v>0.16420000000000001</v>
      </c>
      <c r="L204">
        <v>0</v>
      </c>
      <c r="M204">
        <v>8</v>
      </c>
      <c r="N204">
        <v>8</v>
      </c>
    </row>
    <row r="205" spans="1:14" x14ac:dyDescent="0.3">
      <c r="A205">
        <v>814</v>
      </c>
      <c r="B205">
        <v>40580</v>
      </c>
      <c r="C205">
        <v>0.33333333333333331</v>
      </c>
      <c r="D205" t="s">
        <v>8</v>
      </c>
      <c r="E205" t="s">
        <v>9</v>
      </c>
      <c r="F205" t="s">
        <v>13</v>
      </c>
      <c r="G205" t="s">
        <v>18</v>
      </c>
      <c r="H205">
        <v>0.24</v>
      </c>
      <c r="I205">
        <v>0.2576</v>
      </c>
      <c r="J205">
        <v>0.65</v>
      </c>
      <c r="K205">
        <v>0.1045</v>
      </c>
      <c r="L205">
        <v>2</v>
      </c>
      <c r="M205">
        <v>21</v>
      </c>
      <c r="N205">
        <v>23</v>
      </c>
    </row>
    <row r="206" spans="1:14" x14ac:dyDescent="0.3">
      <c r="A206">
        <v>815</v>
      </c>
      <c r="B206">
        <v>40580</v>
      </c>
      <c r="C206">
        <v>0.375</v>
      </c>
      <c r="D206" t="s">
        <v>8</v>
      </c>
      <c r="E206" t="s">
        <v>9</v>
      </c>
      <c r="F206" t="s">
        <v>13</v>
      </c>
      <c r="G206" t="s">
        <v>18</v>
      </c>
      <c r="H206">
        <v>0.28000000000000003</v>
      </c>
      <c r="I206">
        <v>0.28789999999999999</v>
      </c>
      <c r="J206">
        <v>0.56000000000000005</v>
      </c>
      <c r="K206">
        <v>0.1045</v>
      </c>
      <c r="L206">
        <v>7</v>
      </c>
      <c r="M206">
        <v>38</v>
      </c>
      <c r="N206">
        <v>45</v>
      </c>
    </row>
    <row r="207" spans="1:14" x14ac:dyDescent="0.3">
      <c r="A207">
        <v>816</v>
      </c>
      <c r="B207">
        <v>40580</v>
      </c>
      <c r="C207">
        <v>0.41666666666666669</v>
      </c>
      <c r="D207" t="s">
        <v>8</v>
      </c>
      <c r="E207" t="s">
        <v>9</v>
      </c>
      <c r="F207" t="s">
        <v>13</v>
      </c>
      <c r="G207" t="s">
        <v>18</v>
      </c>
      <c r="H207">
        <v>0.3</v>
      </c>
      <c r="I207">
        <v>0.28789999999999999</v>
      </c>
      <c r="J207">
        <v>0.52</v>
      </c>
      <c r="K207">
        <v>0.25369999999999998</v>
      </c>
      <c r="L207">
        <v>15</v>
      </c>
      <c r="M207">
        <v>74</v>
      </c>
      <c r="N207">
        <v>89</v>
      </c>
    </row>
    <row r="208" spans="1:14" x14ac:dyDescent="0.3">
      <c r="A208">
        <v>817</v>
      </c>
      <c r="B208">
        <v>40580</v>
      </c>
      <c r="C208">
        <v>0.45833333333333331</v>
      </c>
      <c r="D208" t="s">
        <v>8</v>
      </c>
      <c r="E208" t="s">
        <v>9</v>
      </c>
      <c r="F208" t="s">
        <v>13</v>
      </c>
      <c r="G208" t="s">
        <v>18</v>
      </c>
      <c r="H208">
        <v>0.32</v>
      </c>
      <c r="I208">
        <v>0.30299999999999999</v>
      </c>
      <c r="J208">
        <v>0.49</v>
      </c>
      <c r="K208">
        <v>0.25369999999999998</v>
      </c>
      <c r="L208">
        <v>28</v>
      </c>
      <c r="M208">
        <v>89</v>
      </c>
      <c r="N208">
        <v>117</v>
      </c>
    </row>
    <row r="209" spans="1:14" x14ac:dyDescent="0.3">
      <c r="A209">
        <v>818</v>
      </c>
      <c r="B209">
        <v>40580</v>
      </c>
      <c r="C209">
        <v>0.5</v>
      </c>
      <c r="D209" t="s">
        <v>8</v>
      </c>
      <c r="E209" t="s">
        <v>9</v>
      </c>
      <c r="F209" t="s">
        <v>13</v>
      </c>
      <c r="G209" t="s">
        <v>18</v>
      </c>
      <c r="H209">
        <v>0.34</v>
      </c>
      <c r="I209">
        <v>0.33329999999999999</v>
      </c>
      <c r="J209">
        <v>0.46</v>
      </c>
      <c r="K209">
        <v>0</v>
      </c>
      <c r="L209">
        <v>48</v>
      </c>
      <c r="M209">
        <v>126</v>
      </c>
      <c r="N209">
        <v>174</v>
      </c>
    </row>
    <row r="210" spans="1:14" x14ac:dyDescent="0.3">
      <c r="A210">
        <v>819</v>
      </c>
      <c r="B210">
        <v>40580</v>
      </c>
      <c r="C210">
        <v>0.54166666666666663</v>
      </c>
      <c r="D210" t="s">
        <v>8</v>
      </c>
      <c r="E210" t="s">
        <v>9</v>
      </c>
      <c r="F210" t="s">
        <v>13</v>
      </c>
      <c r="G210" t="s">
        <v>18</v>
      </c>
      <c r="H210">
        <v>0.34</v>
      </c>
      <c r="I210">
        <v>0.36359999999999998</v>
      </c>
      <c r="J210">
        <v>0.46</v>
      </c>
      <c r="K210">
        <v>0</v>
      </c>
      <c r="L210">
        <v>47</v>
      </c>
      <c r="M210">
        <v>135</v>
      </c>
      <c r="N210">
        <v>182</v>
      </c>
    </row>
    <row r="211" spans="1:14" x14ac:dyDescent="0.3">
      <c r="A211">
        <v>820</v>
      </c>
      <c r="B211">
        <v>40580</v>
      </c>
      <c r="C211">
        <v>0.58333333333333337</v>
      </c>
      <c r="D211" t="s">
        <v>8</v>
      </c>
      <c r="E211" t="s">
        <v>9</v>
      </c>
      <c r="F211" t="s">
        <v>13</v>
      </c>
      <c r="G211" t="s">
        <v>18</v>
      </c>
      <c r="H211">
        <v>0.34</v>
      </c>
      <c r="I211">
        <v>0.34849999999999998</v>
      </c>
      <c r="J211">
        <v>0.46</v>
      </c>
      <c r="K211">
        <v>8.9599999999999999E-2</v>
      </c>
      <c r="L211">
        <v>47</v>
      </c>
      <c r="M211">
        <v>114</v>
      </c>
      <c r="N211">
        <v>161</v>
      </c>
    </row>
    <row r="212" spans="1:14" x14ac:dyDescent="0.3">
      <c r="A212">
        <v>821</v>
      </c>
      <c r="B212">
        <v>40580</v>
      </c>
      <c r="C212">
        <v>0.625</v>
      </c>
      <c r="D212" t="s">
        <v>8</v>
      </c>
      <c r="E212" t="s">
        <v>9</v>
      </c>
      <c r="F212" t="s">
        <v>13</v>
      </c>
      <c r="G212" t="s">
        <v>18</v>
      </c>
      <c r="H212">
        <v>0.34</v>
      </c>
      <c r="I212">
        <v>0.34849999999999998</v>
      </c>
      <c r="J212">
        <v>0.46</v>
      </c>
      <c r="K212">
        <v>8.9599999999999999E-2</v>
      </c>
      <c r="L212">
        <v>52</v>
      </c>
      <c r="M212">
        <v>130</v>
      </c>
      <c r="N212">
        <v>182</v>
      </c>
    </row>
    <row r="213" spans="1:14" x14ac:dyDescent="0.3">
      <c r="A213">
        <v>822</v>
      </c>
      <c r="B213">
        <v>40580</v>
      </c>
      <c r="C213">
        <v>0.66666666666666663</v>
      </c>
      <c r="D213" t="s">
        <v>8</v>
      </c>
      <c r="E213" t="s">
        <v>9</v>
      </c>
      <c r="F213" t="s">
        <v>13</v>
      </c>
      <c r="G213" t="s">
        <v>18</v>
      </c>
      <c r="H213">
        <v>0.34</v>
      </c>
      <c r="I213">
        <v>0.34849999999999998</v>
      </c>
      <c r="J213">
        <v>0.49</v>
      </c>
      <c r="K213">
        <v>0.1045</v>
      </c>
      <c r="L213">
        <v>42</v>
      </c>
      <c r="M213">
        <v>115</v>
      </c>
      <c r="N213">
        <v>157</v>
      </c>
    </row>
    <row r="214" spans="1:14" x14ac:dyDescent="0.3">
      <c r="A214">
        <v>823</v>
      </c>
      <c r="B214">
        <v>40580</v>
      </c>
      <c r="C214">
        <v>0.70833333333333337</v>
      </c>
      <c r="D214" t="s">
        <v>8</v>
      </c>
      <c r="E214" t="s">
        <v>9</v>
      </c>
      <c r="F214" t="s">
        <v>13</v>
      </c>
      <c r="G214" t="s">
        <v>18</v>
      </c>
      <c r="H214">
        <v>0.34</v>
      </c>
      <c r="I214">
        <v>0.36359999999999998</v>
      </c>
      <c r="J214">
        <v>0.46</v>
      </c>
      <c r="K214">
        <v>0</v>
      </c>
      <c r="L214">
        <v>24</v>
      </c>
      <c r="M214">
        <v>97</v>
      </c>
      <c r="N214">
        <v>121</v>
      </c>
    </row>
    <row r="215" spans="1:14" x14ac:dyDescent="0.3">
      <c r="A215">
        <v>824</v>
      </c>
      <c r="B215">
        <v>40580</v>
      </c>
      <c r="C215">
        <v>0.75</v>
      </c>
      <c r="D215" t="s">
        <v>8</v>
      </c>
      <c r="E215" t="s">
        <v>9</v>
      </c>
      <c r="F215" t="s">
        <v>13</v>
      </c>
      <c r="G215" t="s">
        <v>18</v>
      </c>
      <c r="H215">
        <v>0.3</v>
      </c>
      <c r="I215">
        <v>0.30299999999999999</v>
      </c>
      <c r="J215">
        <v>0.56000000000000005</v>
      </c>
      <c r="K215">
        <v>0.16420000000000001</v>
      </c>
      <c r="L215">
        <v>13</v>
      </c>
      <c r="M215">
        <v>65</v>
      </c>
      <c r="N215">
        <v>78</v>
      </c>
    </row>
    <row r="216" spans="1:14" x14ac:dyDescent="0.3">
      <c r="A216">
        <v>825</v>
      </c>
      <c r="B216">
        <v>40580</v>
      </c>
      <c r="C216">
        <v>0.79166666666666663</v>
      </c>
      <c r="D216" t="s">
        <v>8</v>
      </c>
      <c r="E216" t="s">
        <v>9</v>
      </c>
      <c r="F216" t="s">
        <v>13</v>
      </c>
      <c r="G216" t="s">
        <v>18</v>
      </c>
      <c r="H216">
        <v>0.28000000000000003</v>
      </c>
      <c r="I216">
        <v>0.28789999999999999</v>
      </c>
      <c r="J216">
        <v>0.61</v>
      </c>
      <c r="K216">
        <v>0.1343</v>
      </c>
      <c r="L216">
        <v>1</v>
      </c>
      <c r="M216">
        <v>20</v>
      </c>
      <c r="N216">
        <v>21</v>
      </c>
    </row>
    <row r="217" spans="1:14" x14ac:dyDescent="0.3">
      <c r="A217">
        <v>826</v>
      </c>
      <c r="B217">
        <v>40580</v>
      </c>
      <c r="C217">
        <v>0.83333333333333337</v>
      </c>
      <c r="D217" t="s">
        <v>8</v>
      </c>
      <c r="E217" t="s">
        <v>9</v>
      </c>
      <c r="F217" t="s">
        <v>13</v>
      </c>
      <c r="G217" t="s">
        <v>18</v>
      </c>
      <c r="H217">
        <v>0.28000000000000003</v>
      </c>
      <c r="I217">
        <v>0.28789999999999999</v>
      </c>
      <c r="J217">
        <v>0.61</v>
      </c>
      <c r="K217">
        <v>0.1045</v>
      </c>
      <c r="L217">
        <v>5</v>
      </c>
      <c r="M217">
        <v>21</v>
      </c>
      <c r="N217">
        <v>26</v>
      </c>
    </row>
    <row r="218" spans="1:14" x14ac:dyDescent="0.3">
      <c r="A218">
        <v>827</v>
      </c>
      <c r="B218">
        <v>40580</v>
      </c>
      <c r="C218">
        <v>0.875</v>
      </c>
      <c r="D218" t="s">
        <v>8</v>
      </c>
      <c r="E218" t="s">
        <v>9</v>
      </c>
      <c r="F218" t="s">
        <v>13</v>
      </c>
      <c r="G218" t="s">
        <v>18</v>
      </c>
      <c r="H218">
        <v>0.26</v>
      </c>
      <c r="I218">
        <v>0.30299999999999999</v>
      </c>
      <c r="J218">
        <v>0.6</v>
      </c>
      <c r="K218">
        <v>0</v>
      </c>
      <c r="L218">
        <v>5</v>
      </c>
      <c r="M218">
        <v>22</v>
      </c>
      <c r="N218">
        <v>27</v>
      </c>
    </row>
    <row r="219" spans="1:14" x14ac:dyDescent="0.3">
      <c r="A219">
        <v>828</v>
      </c>
      <c r="B219">
        <v>40580</v>
      </c>
      <c r="C219">
        <v>0.91666666666666663</v>
      </c>
      <c r="D219" t="s">
        <v>8</v>
      </c>
      <c r="E219" t="s">
        <v>9</v>
      </c>
      <c r="F219" t="s">
        <v>13</v>
      </c>
      <c r="G219" t="s">
        <v>18</v>
      </c>
      <c r="H219">
        <v>0.26</v>
      </c>
      <c r="I219">
        <v>0.30299999999999999</v>
      </c>
      <c r="J219">
        <v>0.6</v>
      </c>
      <c r="K219">
        <v>0</v>
      </c>
      <c r="L219">
        <v>5</v>
      </c>
      <c r="M219">
        <v>57</v>
      </c>
      <c r="N219">
        <v>62</v>
      </c>
    </row>
    <row r="220" spans="1:14" x14ac:dyDescent="0.3">
      <c r="A220">
        <v>829</v>
      </c>
      <c r="B220">
        <v>40580</v>
      </c>
      <c r="C220">
        <v>0.95833333333333337</v>
      </c>
      <c r="D220" t="s">
        <v>8</v>
      </c>
      <c r="E220" t="s">
        <v>9</v>
      </c>
      <c r="F220" t="s">
        <v>13</v>
      </c>
      <c r="G220" t="s">
        <v>18</v>
      </c>
      <c r="H220">
        <v>0.24</v>
      </c>
      <c r="I220">
        <v>0.28789999999999999</v>
      </c>
      <c r="J220">
        <v>0.65</v>
      </c>
      <c r="K220">
        <v>0</v>
      </c>
      <c r="L220">
        <v>4</v>
      </c>
      <c r="M220">
        <v>26</v>
      </c>
      <c r="N220">
        <v>30</v>
      </c>
    </row>
    <row r="221" spans="1:14" x14ac:dyDescent="0.3">
      <c r="A221">
        <v>830</v>
      </c>
      <c r="B221">
        <v>40581</v>
      </c>
      <c r="C221">
        <v>0</v>
      </c>
      <c r="D221" t="s">
        <v>8</v>
      </c>
      <c r="E221" t="s">
        <v>9</v>
      </c>
      <c r="F221" t="s">
        <v>14</v>
      </c>
      <c r="G221" t="s">
        <v>18</v>
      </c>
      <c r="H221">
        <v>0.24</v>
      </c>
      <c r="I221">
        <v>0.28789999999999999</v>
      </c>
      <c r="J221">
        <v>0.65</v>
      </c>
      <c r="K221">
        <v>0</v>
      </c>
      <c r="L221">
        <v>1</v>
      </c>
      <c r="M221">
        <v>14</v>
      </c>
      <c r="N221">
        <v>15</v>
      </c>
    </row>
    <row r="222" spans="1:14" x14ac:dyDescent="0.3">
      <c r="A222">
        <v>831</v>
      </c>
      <c r="B222">
        <v>40581</v>
      </c>
      <c r="C222">
        <v>4.1666666666666664E-2</v>
      </c>
      <c r="D222" t="s">
        <v>8</v>
      </c>
      <c r="E222" t="s">
        <v>9</v>
      </c>
      <c r="F222" t="s">
        <v>14</v>
      </c>
      <c r="G222" t="s">
        <v>18</v>
      </c>
      <c r="H222">
        <v>0.22</v>
      </c>
      <c r="I222">
        <v>0.2727</v>
      </c>
      <c r="J222">
        <v>0.75</v>
      </c>
      <c r="K222">
        <v>0</v>
      </c>
      <c r="L222">
        <v>1</v>
      </c>
      <c r="M222">
        <v>4</v>
      </c>
      <c r="N222">
        <v>5</v>
      </c>
    </row>
    <row r="223" spans="1:14" x14ac:dyDescent="0.3">
      <c r="A223">
        <v>832</v>
      </c>
      <c r="B223">
        <v>40581</v>
      </c>
      <c r="C223">
        <v>8.3333333333333329E-2</v>
      </c>
      <c r="D223" t="s">
        <v>8</v>
      </c>
      <c r="E223" t="s">
        <v>9</v>
      </c>
      <c r="F223" t="s">
        <v>14</v>
      </c>
      <c r="G223" t="s">
        <v>18</v>
      </c>
      <c r="H223">
        <v>0.2</v>
      </c>
      <c r="I223">
        <v>0.2576</v>
      </c>
      <c r="J223">
        <v>0.8</v>
      </c>
      <c r="K223">
        <v>0</v>
      </c>
      <c r="L223">
        <v>0</v>
      </c>
      <c r="M223">
        <v>3</v>
      </c>
      <c r="N223">
        <v>3</v>
      </c>
    </row>
    <row r="224" spans="1:14" x14ac:dyDescent="0.3">
      <c r="A224">
        <v>833</v>
      </c>
      <c r="B224">
        <v>40581</v>
      </c>
      <c r="C224">
        <v>0.125</v>
      </c>
      <c r="D224" t="s">
        <v>8</v>
      </c>
      <c r="E224" t="s">
        <v>9</v>
      </c>
      <c r="F224" t="s">
        <v>14</v>
      </c>
      <c r="G224" t="s">
        <v>18</v>
      </c>
      <c r="H224">
        <v>0.2</v>
      </c>
      <c r="I224">
        <v>0.2576</v>
      </c>
      <c r="J224">
        <v>0.86</v>
      </c>
      <c r="K224">
        <v>0</v>
      </c>
      <c r="L224">
        <v>0</v>
      </c>
      <c r="M224">
        <v>1</v>
      </c>
      <c r="N224">
        <v>1</v>
      </c>
    </row>
    <row r="225" spans="1:14" x14ac:dyDescent="0.3">
      <c r="A225">
        <v>834</v>
      </c>
      <c r="B225">
        <v>40581</v>
      </c>
      <c r="C225">
        <v>0.16666666666666666</v>
      </c>
      <c r="D225" t="s">
        <v>8</v>
      </c>
      <c r="E225" t="s">
        <v>9</v>
      </c>
      <c r="F225" t="s">
        <v>14</v>
      </c>
      <c r="G225" t="s">
        <v>18</v>
      </c>
      <c r="H225">
        <v>0.2</v>
      </c>
      <c r="I225">
        <v>0.2576</v>
      </c>
      <c r="J225">
        <v>0.86</v>
      </c>
      <c r="K225">
        <v>0</v>
      </c>
      <c r="L225">
        <v>1</v>
      </c>
      <c r="M225">
        <v>1</v>
      </c>
      <c r="N225">
        <v>2</v>
      </c>
    </row>
    <row r="226" spans="1:14" x14ac:dyDescent="0.3">
      <c r="A226">
        <v>835</v>
      </c>
      <c r="B226">
        <v>40581</v>
      </c>
      <c r="C226">
        <v>0.20833333333333334</v>
      </c>
      <c r="D226" t="s">
        <v>8</v>
      </c>
      <c r="E226" t="s">
        <v>9</v>
      </c>
      <c r="F226" t="s">
        <v>14</v>
      </c>
      <c r="G226" t="s">
        <v>18</v>
      </c>
      <c r="H226">
        <v>0.2</v>
      </c>
      <c r="I226">
        <v>0.2576</v>
      </c>
      <c r="J226">
        <v>0.86</v>
      </c>
      <c r="K226">
        <v>0</v>
      </c>
      <c r="L226">
        <v>1</v>
      </c>
      <c r="M226">
        <v>9</v>
      </c>
      <c r="N226">
        <v>10</v>
      </c>
    </row>
    <row r="227" spans="1:14" x14ac:dyDescent="0.3">
      <c r="A227">
        <v>836</v>
      </c>
      <c r="B227">
        <v>40581</v>
      </c>
      <c r="C227">
        <v>0.25</v>
      </c>
      <c r="D227" t="s">
        <v>8</v>
      </c>
      <c r="E227" t="s">
        <v>9</v>
      </c>
      <c r="F227" t="s">
        <v>14</v>
      </c>
      <c r="G227" t="s">
        <v>18</v>
      </c>
      <c r="H227">
        <v>0.18</v>
      </c>
      <c r="I227">
        <v>0.2424</v>
      </c>
      <c r="J227">
        <v>0.93</v>
      </c>
      <c r="K227">
        <v>0</v>
      </c>
      <c r="L227">
        <v>1</v>
      </c>
      <c r="M227">
        <v>29</v>
      </c>
      <c r="N227">
        <v>30</v>
      </c>
    </row>
    <row r="228" spans="1:14" x14ac:dyDescent="0.3">
      <c r="A228">
        <v>837</v>
      </c>
      <c r="B228">
        <v>40581</v>
      </c>
      <c r="C228">
        <v>0.29166666666666669</v>
      </c>
      <c r="D228" t="s">
        <v>8</v>
      </c>
      <c r="E228" t="s">
        <v>9</v>
      </c>
      <c r="F228" t="s">
        <v>14</v>
      </c>
      <c r="G228" t="s">
        <v>18</v>
      </c>
      <c r="H228">
        <v>0.18</v>
      </c>
      <c r="I228">
        <v>0.2424</v>
      </c>
      <c r="J228">
        <v>0.86</v>
      </c>
      <c r="K228">
        <v>0</v>
      </c>
      <c r="L228">
        <v>6</v>
      </c>
      <c r="M228">
        <v>89</v>
      </c>
      <c r="N228">
        <v>95</v>
      </c>
    </row>
    <row r="229" spans="1:14" x14ac:dyDescent="0.3">
      <c r="A229">
        <v>838</v>
      </c>
      <c r="B229">
        <v>40581</v>
      </c>
      <c r="C229">
        <v>0.33333333333333331</v>
      </c>
      <c r="D229" t="s">
        <v>8</v>
      </c>
      <c r="E229" t="s">
        <v>9</v>
      </c>
      <c r="F229" t="s">
        <v>14</v>
      </c>
      <c r="G229" t="s">
        <v>19</v>
      </c>
      <c r="H229">
        <v>0.16</v>
      </c>
      <c r="I229">
        <v>0.2273</v>
      </c>
      <c r="J229">
        <v>1</v>
      </c>
      <c r="K229">
        <v>0</v>
      </c>
      <c r="L229">
        <v>7</v>
      </c>
      <c r="M229">
        <v>223</v>
      </c>
      <c r="N229">
        <v>230</v>
      </c>
    </row>
    <row r="230" spans="1:14" x14ac:dyDescent="0.3">
      <c r="A230">
        <v>839</v>
      </c>
      <c r="B230">
        <v>40581</v>
      </c>
      <c r="C230">
        <v>0.375</v>
      </c>
      <c r="D230" t="s">
        <v>8</v>
      </c>
      <c r="E230" t="s">
        <v>9</v>
      </c>
      <c r="F230" t="s">
        <v>14</v>
      </c>
      <c r="G230" t="s">
        <v>18</v>
      </c>
      <c r="H230">
        <v>0.22</v>
      </c>
      <c r="I230">
        <v>0.2727</v>
      </c>
      <c r="J230">
        <v>0.8</v>
      </c>
      <c r="K230">
        <v>0</v>
      </c>
      <c r="L230">
        <v>3</v>
      </c>
      <c r="M230">
        <v>115</v>
      </c>
      <c r="N230">
        <v>118</v>
      </c>
    </row>
    <row r="231" spans="1:14" x14ac:dyDescent="0.3">
      <c r="A231">
        <v>840</v>
      </c>
      <c r="B231">
        <v>40581</v>
      </c>
      <c r="C231">
        <v>0.41666666666666669</v>
      </c>
      <c r="D231" t="s">
        <v>8</v>
      </c>
      <c r="E231" t="s">
        <v>9</v>
      </c>
      <c r="F231" t="s">
        <v>14</v>
      </c>
      <c r="G231" t="s">
        <v>18</v>
      </c>
      <c r="H231">
        <v>0.24</v>
      </c>
      <c r="I231">
        <v>0.2576</v>
      </c>
      <c r="J231">
        <v>0.75</v>
      </c>
      <c r="K231">
        <v>0.1045</v>
      </c>
      <c r="L231">
        <v>6</v>
      </c>
      <c r="M231">
        <v>49</v>
      </c>
      <c r="N231">
        <v>55</v>
      </c>
    </row>
    <row r="232" spans="1:14" x14ac:dyDescent="0.3">
      <c r="A232">
        <v>841</v>
      </c>
      <c r="B232">
        <v>40581</v>
      </c>
      <c r="C232">
        <v>0.45833333333333331</v>
      </c>
      <c r="D232" t="s">
        <v>8</v>
      </c>
      <c r="E232" t="s">
        <v>9</v>
      </c>
      <c r="F232" t="s">
        <v>14</v>
      </c>
      <c r="G232" t="s">
        <v>18</v>
      </c>
      <c r="H232">
        <v>0.3</v>
      </c>
      <c r="I232">
        <v>0.31819999999999998</v>
      </c>
      <c r="J232">
        <v>0.65</v>
      </c>
      <c r="K232">
        <v>8.9599999999999999E-2</v>
      </c>
      <c r="L232">
        <v>11</v>
      </c>
      <c r="M232">
        <v>36</v>
      </c>
      <c r="N232">
        <v>47</v>
      </c>
    </row>
    <row r="233" spans="1:14" x14ac:dyDescent="0.3">
      <c r="A233">
        <v>842</v>
      </c>
      <c r="B233">
        <v>40581</v>
      </c>
      <c r="C233">
        <v>0.5</v>
      </c>
      <c r="D233" t="s">
        <v>8</v>
      </c>
      <c r="E233" t="s">
        <v>9</v>
      </c>
      <c r="F233" t="s">
        <v>14</v>
      </c>
      <c r="G233" t="s">
        <v>19</v>
      </c>
      <c r="H233">
        <v>0.32</v>
      </c>
      <c r="I233">
        <v>0.34849999999999998</v>
      </c>
      <c r="J233">
        <v>0.62</v>
      </c>
      <c r="K233">
        <v>0</v>
      </c>
      <c r="L233">
        <v>7</v>
      </c>
      <c r="M233">
        <v>59</v>
      </c>
      <c r="N233">
        <v>66</v>
      </c>
    </row>
    <row r="234" spans="1:14" x14ac:dyDescent="0.3">
      <c r="A234">
        <v>843</v>
      </c>
      <c r="B234">
        <v>40581</v>
      </c>
      <c r="C234">
        <v>0.54166666666666663</v>
      </c>
      <c r="D234" t="s">
        <v>8</v>
      </c>
      <c r="E234" t="s">
        <v>9</v>
      </c>
      <c r="F234" t="s">
        <v>14</v>
      </c>
      <c r="G234" t="s">
        <v>19</v>
      </c>
      <c r="H234">
        <v>0.36</v>
      </c>
      <c r="I234">
        <v>0.36359999999999998</v>
      </c>
      <c r="J234">
        <v>0.56999999999999995</v>
      </c>
      <c r="K234">
        <v>8.9599999999999999E-2</v>
      </c>
      <c r="L234">
        <v>10</v>
      </c>
      <c r="M234">
        <v>54</v>
      </c>
      <c r="N234">
        <v>64</v>
      </c>
    </row>
    <row r="235" spans="1:14" x14ac:dyDescent="0.3">
      <c r="A235">
        <v>844</v>
      </c>
      <c r="B235">
        <v>40581</v>
      </c>
      <c r="C235">
        <v>0.58333333333333337</v>
      </c>
      <c r="D235" t="s">
        <v>8</v>
      </c>
      <c r="E235" t="s">
        <v>9</v>
      </c>
      <c r="F235" t="s">
        <v>14</v>
      </c>
      <c r="G235" t="s">
        <v>19</v>
      </c>
      <c r="H235">
        <v>0.36</v>
      </c>
      <c r="I235">
        <v>0.36359999999999998</v>
      </c>
      <c r="J235">
        <v>0.56999999999999995</v>
      </c>
      <c r="K235">
        <v>8.9599999999999999E-2</v>
      </c>
      <c r="L235">
        <v>8</v>
      </c>
      <c r="M235">
        <v>52</v>
      </c>
      <c r="N235">
        <v>60</v>
      </c>
    </row>
    <row r="236" spans="1:14" x14ac:dyDescent="0.3">
      <c r="A236">
        <v>845</v>
      </c>
      <c r="B236">
        <v>40581</v>
      </c>
      <c r="C236">
        <v>0.625</v>
      </c>
      <c r="D236" t="s">
        <v>8</v>
      </c>
      <c r="E236" t="s">
        <v>9</v>
      </c>
      <c r="F236" t="s">
        <v>14</v>
      </c>
      <c r="G236" t="s">
        <v>19</v>
      </c>
      <c r="H236">
        <v>0.38</v>
      </c>
      <c r="I236">
        <v>0.39389999999999997</v>
      </c>
      <c r="J236">
        <v>0.54</v>
      </c>
      <c r="K236">
        <v>8.9599999999999999E-2</v>
      </c>
      <c r="L236">
        <v>4</v>
      </c>
      <c r="M236">
        <v>46</v>
      </c>
      <c r="N236">
        <v>50</v>
      </c>
    </row>
    <row r="237" spans="1:14" x14ac:dyDescent="0.3">
      <c r="A237">
        <v>846</v>
      </c>
      <c r="B237">
        <v>40581</v>
      </c>
      <c r="C237">
        <v>0.66666666666666663</v>
      </c>
      <c r="D237" t="s">
        <v>8</v>
      </c>
      <c r="E237" t="s">
        <v>9</v>
      </c>
      <c r="F237" t="s">
        <v>14</v>
      </c>
      <c r="G237" t="s">
        <v>19</v>
      </c>
      <c r="H237">
        <v>0.36</v>
      </c>
      <c r="I237">
        <v>0.34849999999999998</v>
      </c>
      <c r="J237">
        <v>0.56999999999999995</v>
      </c>
      <c r="K237">
        <v>0.1343</v>
      </c>
      <c r="L237">
        <v>16</v>
      </c>
      <c r="M237">
        <v>98</v>
      </c>
      <c r="N237">
        <v>114</v>
      </c>
    </row>
    <row r="238" spans="1:14" x14ac:dyDescent="0.3">
      <c r="A238">
        <v>847</v>
      </c>
      <c r="B238">
        <v>40581</v>
      </c>
      <c r="C238">
        <v>0.70833333333333337</v>
      </c>
      <c r="D238" t="s">
        <v>8</v>
      </c>
      <c r="E238" t="s">
        <v>9</v>
      </c>
      <c r="F238" t="s">
        <v>14</v>
      </c>
      <c r="G238" t="s">
        <v>19</v>
      </c>
      <c r="H238">
        <v>0.32</v>
      </c>
      <c r="I238">
        <v>0.31819999999999998</v>
      </c>
      <c r="J238">
        <v>0.7</v>
      </c>
      <c r="K238">
        <v>0.16420000000000001</v>
      </c>
      <c r="L238">
        <v>9</v>
      </c>
      <c r="M238">
        <v>207</v>
      </c>
      <c r="N238">
        <v>216</v>
      </c>
    </row>
    <row r="239" spans="1:14" x14ac:dyDescent="0.3">
      <c r="A239">
        <v>848</v>
      </c>
      <c r="B239">
        <v>40581</v>
      </c>
      <c r="C239">
        <v>0.75</v>
      </c>
      <c r="D239" t="s">
        <v>8</v>
      </c>
      <c r="E239" t="s">
        <v>9</v>
      </c>
      <c r="F239" t="s">
        <v>14</v>
      </c>
      <c r="G239" t="s">
        <v>19</v>
      </c>
      <c r="H239">
        <v>0.34</v>
      </c>
      <c r="I239">
        <v>0.33329999999999999</v>
      </c>
      <c r="J239">
        <v>0.66</v>
      </c>
      <c r="K239">
        <v>0.1343</v>
      </c>
      <c r="L239">
        <v>5</v>
      </c>
      <c r="M239">
        <v>170</v>
      </c>
      <c r="N239">
        <v>175</v>
      </c>
    </row>
    <row r="240" spans="1:14" x14ac:dyDescent="0.3">
      <c r="A240">
        <v>849</v>
      </c>
      <c r="B240">
        <v>40581</v>
      </c>
      <c r="C240">
        <v>0.79166666666666663</v>
      </c>
      <c r="D240" t="s">
        <v>8</v>
      </c>
      <c r="E240" t="s">
        <v>9</v>
      </c>
      <c r="F240" t="s">
        <v>14</v>
      </c>
      <c r="G240" t="s">
        <v>19</v>
      </c>
      <c r="H240">
        <v>0.32</v>
      </c>
      <c r="I240">
        <v>0.34849999999999998</v>
      </c>
      <c r="J240">
        <v>0.7</v>
      </c>
      <c r="K240">
        <v>0</v>
      </c>
      <c r="L240">
        <v>5</v>
      </c>
      <c r="M240">
        <v>123</v>
      </c>
      <c r="N240">
        <v>128</v>
      </c>
    </row>
    <row r="241" spans="1:14" x14ac:dyDescent="0.3">
      <c r="A241">
        <v>850</v>
      </c>
      <c r="B241">
        <v>40581</v>
      </c>
      <c r="C241">
        <v>0.83333333333333337</v>
      </c>
      <c r="D241" t="s">
        <v>8</v>
      </c>
      <c r="E241" t="s">
        <v>9</v>
      </c>
      <c r="F241" t="s">
        <v>14</v>
      </c>
      <c r="G241" t="s">
        <v>19</v>
      </c>
      <c r="H241">
        <v>0.32</v>
      </c>
      <c r="I241">
        <v>0.33329999999999999</v>
      </c>
      <c r="J241">
        <v>0.7</v>
      </c>
      <c r="K241">
        <v>0.1045</v>
      </c>
      <c r="L241">
        <v>6</v>
      </c>
      <c r="M241">
        <v>82</v>
      </c>
      <c r="N241">
        <v>88</v>
      </c>
    </row>
    <row r="242" spans="1:14" x14ac:dyDescent="0.3">
      <c r="A242">
        <v>851</v>
      </c>
      <c r="B242">
        <v>40581</v>
      </c>
      <c r="C242">
        <v>0.875</v>
      </c>
      <c r="D242" t="s">
        <v>8</v>
      </c>
      <c r="E242" t="s">
        <v>9</v>
      </c>
      <c r="F242" t="s">
        <v>14</v>
      </c>
      <c r="G242" t="s">
        <v>18</v>
      </c>
      <c r="H242">
        <v>0.32</v>
      </c>
      <c r="I242">
        <v>0.34849999999999998</v>
      </c>
      <c r="J242">
        <v>0.7</v>
      </c>
      <c r="K242">
        <v>0</v>
      </c>
      <c r="L242">
        <v>3</v>
      </c>
      <c r="M242">
        <v>75</v>
      </c>
      <c r="N242">
        <v>78</v>
      </c>
    </row>
    <row r="243" spans="1:14" x14ac:dyDescent="0.3">
      <c r="A243">
        <v>852</v>
      </c>
      <c r="B243">
        <v>40581</v>
      </c>
      <c r="C243">
        <v>0.91666666666666663</v>
      </c>
      <c r="D243" t="s">
        <v>8</v>
      </c>
      <c r="E243" t="s">
        <v>9</v>
      </c>
      <c r="F243" t="s">
        <v>14</v>
      </c>
      <c r="G243" t="s">
        <v>18</v>
      </c>
      <c r="H243">
        <v>0.28000000000000003</v>
      </c>
      <c r="I243">
        <v>0.30299999999999999</v>
      </c>
      <c r="J243">
        <v>0.81</v>
      </c>
      <c r="K243">
        <v>8.9599999999999999E-2</v>
      </c>
      <c r="L243">
        <v>3</v>
      </c>
      <c r="M243">
        <v>34</v>
      </c>
      <c r="N243">
        <v>37</v>
      </c>
    </row>
    <row r="244" spans="1:14" x14ac:dyDescent="0.3">
      <c r="A244">
        <v>853</v>
      </c>
      <c r="B244">
        <v>40581</v>
      </c>
      <c r="C244">
        <v>0.95833333333333337</v>
      </c>
      <c r="D244" t="s">
        <v>8</v>
      </c>
      <c r="E244" t="s">
        <v>9</v>
      </c>
      <c r="F244" t="s">
        <v>14</v>
      </c>
      <c r="G244" t="s">
        <v>19</v>
      </c>
      <c r="H244">
        <v>0.3</v>
      </c>
      <c r="I244">
        <v>0.33329999999999999</v>
      </c>
      <c r="J244">
        <v>0.81</v>
      </c>
      <c r="K244">
        <v>0</v>
      </c>
      <c r="L244">
        <v>6</v>
      </c>
      <c r="M244">
        <v>19</v>
      </c>
      <c r="N244">
        <v>25</v>
      </c>
    </row>
    <row r="245" spans="1:14" x14ac:dyDescent="0.3">
      <c r="A245">
        <v>854</v>
      </c>
      <c r="B245">
        <v>40582</v>
      </c>
      <c r="C245">
        <v>0</v>
      </c>
      <c r="D245" t="s">
        <v>8</v>
      </c>
      <c r="E245" t="s">
        <v>9</v>
      </c>
      <c r="F245" t="s">
        <v>15</v>
      </c>
      <c r="G245" t="s">
        <v>19</v>
      </c>
      <c r="H245">
        <v>0.28000000000000003</v>
      </c>
      <c r="I245">
        <v>0.31819999999999998</v>
      </c>
      <c r="J245">
        <v>0.87</v>
      </c>
      <c r="K245">
        <v>0</v>
      </c>
      <c r="L245">
        <v>4</v>
      </c>
      <c r="M245">
        <v>6</v>
      </c>
      <c r="N245">
        <v>10</v>
      </c>
    </row>
    <row r="246" spans="1:14" x14ac:dyDescent="0.3">
      <c r="A246">
        <v>855</v>
      </c>
      <c r="B246">
        <v>40582</v>
      </c>
      <c r="C246">
        <v>4.1666666666666664E-2</v>
      </c>
      <c r="D246" t="s">
        <v>8</v>
      </c>
      <c r="E246" t="s">
        <v>9</v>
      </c>
      <c r="F246" t="s">
        <v>15</v>
      </c>
      <c r="G246" t="s">
        <v>19</v>
      </c>
      <c r="H246">
        <v>0.28000000000000003</v>
      </c>
      <c r="I246">
        <v>0.31819999999999998</v>
      </c>
      <c r="J246">
        <v>0.87</v>
      </c>
      <c r="K246">
        <v>0</v>
      </c>
      <c r="L246">
        <v>0</v>
      </c>
      <c r="M246">
        <v>4</v>
      </c>
      <c r="N246">
        <v>4</v>
      </c>
    </row>
    <row r="247" spans="1:14" x14ac:dyDescent="0.3">
      <c r="A247">
        <v>856</v>
      </c>
      <c r="B247">
        <v>40582</v>
      </c>
      <c r="C247">
        <v>8.3333333333333329E-2</v>
      </c>
      <c r="D247" t="s">
        <v>8</v>
      </c>
      <c r="E247" t="s">
        <v>9</v>
      </c>
      <c r="F247" t="s">
        <v>15</v>
      </c>
      <c r="G247" t="s">
        <v>19</v>
      </c>
      <c r="H247">
        <v>0.26</v>
      </c>
      <c r="I247">
        <v>0.2727</v>
      </c>
      <c r="J247">
        <v>0.93</v>
      </c>
      <c r="K247">
        <v>0.1045</v>
      </c>
      <c r="L247">
        <v>1</v>
      </c>
      <c r="M247">
        <v>1</v>
      </c>
      <c r="N247">
        <v>2</v>
      </c>
    </row>
    <row r="248" spans="1:14" x14ac:dyDescent="0.3">
      <c r="A248">
        <v>857</v>
      </c>
      <c r="B248">
        <v>40582</v>
      </c>
      <c r="C248">
        <v>0.125</v>
      </c>
      <c r="D248" t="s">
        <v>8</v>
      </c>
      <c r="E248" t="s">
        <v>9</v>
      </c>
      <c r="F248" t="s">
        <v>15</v>
      </c>
      <c r="G248" t="s">
        <v>20</v>
      </c>
      <c r="H248">
        <v>0.28000000000000003</v>
      </c>
      <c r="I248">
        <v>0.2727</v>
      </c>
      <c r="J248">
        <v>0.93</v>
      </c>
      <c r="K248">
        <v>0.16420000000000001</v>
      </c>
      <c r="L248">
        <v>0</v>
      </c>
      <c r="M248">
        <v>1</v>
      </c>
      <c r="N248">
        <v>1</v>
      </c>
    </row>
    <row r="249" spans="1:14" x14ac:dyDescent="0.3">
      <c r="A249">
        <v>858</v>
      </c>
      <c r="B249">
        <v>40582</v>
      </c>
      <c r="C249">
        <v>0.16666666666666666</v>
      </c>
      <c r="D249" t="s">
        <v>8</v>
      </c>
      <c r="E249" t="s">
        <v>9</v>
      </c>
      <c r="F249" t="s">
        <v>15</v>
      </c>
      <c r="G249" t="s">
        <v>18</v>
      </c>
      <c r="H249">
        <v>0.26</v>
      </c>
      <c r="I249">
        <v>0.2576</v>
      </c>
      <c r="J249">
        <v>0.93</v>
      </c>
      <c r="K249">
        <v>0.16420000000000001</v>
      </c>
      <c r="L249">
        <v>0</v>
      </c>
      <c r="M249">
        <v>3</v>
      </c>
      <c r="N249">
        <v>3</v>
      </c>
    </row>
    <row r="250" spans="1:14" x14ac:dyDescent="0.3">
      <c r="A250">
        <v>859</v>
      </c>
      <c r="B250">
        <v>40582</v>
      </c>
      <c r="C250">
        <v>0.20833333333333334</v>
      </c>
      <c r="D250" t="s">
        <v>8</v>
      </c>
      <c r="E250" t="s">
        <v>9</v>
      </c>
      <c r="F250" t="s">
        <v>15</v>
      </c>
      <c r="G250" t="s">
        <v>18</v>
      </c>
      <c r="H250">
        <v>0.26</v>
      </c>
      <c r="I250">
        <v>0.2273</v>
      </c>
      <c r="J250">
        <v>0.81</v>
      </c>
      <c r="K250">
        <v>0.32840000000000003</v>
      </c>
      <c r="L250">
        <v>0</v>
      </c>
      <c r="M250">
        <v>2</v>
      </c>
      <c r="N250">
        <v>2</v>
      </c>
    </row>
    <row r="251" spans="1:14" x14ac:dyDescent="0.3">
      <c r="A251">
        <v>860</v>
      </c>
      <c r="B251">
        <v>40582</v>
      </c>
      <c r="C251">
        <v>0.25</v>
      </c>
      <c r="D251" t="s">
        <v>8</v>
      </c>
      <c r="E251" t="s">
        <v>9</v>
      </c>
      <c r="F251" t="s">
        <v>15</v>
      </c>
      <c r="G251" t="s">
        <v>18</v>
      </c>
      <c r="H251">
        <v>0.26</v>
      </c>
      <c r="I251">
        <v>0.2273</v>
      </c>
      <c r="J251">
        <v>0.7</v>
      </c>
      <c r="K251">
        <v>0.32840000000000003</v>
      </c>
      <c r="L251">
        <v>0</v>
      </c>
      <c r="M251">
        <v>39</v>
      </c>
      <c r="N251">
        <v>39</v>
      </c>
    </row>
    <row r="252" spans="1:14" x14ac:dyDescent="0.3">
      <c r="A252">
        <v>861</v>
      </c>
      <c r="B252">
        <v>40582</v>
      </c>
      <c r="C252">
        <v>0.29166666666666669</v>
      </c>
      <c r="D252" t="s">
        <v>8</v>
      </c>
      <c r="E252" t="s">
        <v>9</v>
      </c>
      <c r="F252" t="s">
        <v>15</v>
      </c>
      <c r="G252" t="s">
        <v>18</v>
      </c>
      <c r="H252">
        <v>0.24</v>
      </c>
      <c r="I252">
        <v>0.19700000000000001</v>
      </c>
      <c r="J252">
        <v>0.65</v>
      </c>
      <c r="K252">
        <v>0.41789999999999999</v>
      </c>
      <c r="L252">
        <v>3</v>
      </c>
      <c r="M252">
        <v>97</v>
      </c>
      <c r="N252">
        <v>100</v>
      </c>
    </row>
    <row r="253" spans="1:14" x14ac:dyDescent="0.3">
      <c r="A253">
        <v>862</v>
      </c>
      <c r="B253">
        <v>40582</v>
      </c>
      <c r="C253">
        <v>0.33333333333333331</v>
      </c>
      <c r="D253" t="s">
        <v>8</v>
      </c>
      <c r="E253" t="s">
        <v>9</v>
      </c>
      <c r="F253" t="s">
        <v>15</v>
      </c>
      <c r="G253" t="s">
        <v>18</v>
      </c>
      <c r="H253">
        <v>0.24</v>
      </c>
      <c r="I253">
        <v>0.19700000000000001</v>
      </c>
      <c r="J253">
        <v>0.56000000000000005</v>
      </c>
      <c r="K253">
        <v>0.49249999999999999</v>
      </c>
      <c r="L253">
        <v>7</v>
      </c>
      <c r="M253">
        <v>236</v>
      </c>
      <c r="N253">
        <v>243</v>
      </c>
    </row>
    <row r="254" spans="1:14" x14ac:dyDescent="0.3">
      <c r="A254">
        <v>863</v>
      </c>
      <c r="B254">
        <v>40582</v>
      </c>
      <c r="C254">
        <v>0.375</v>
      </c>
      <c r="D254" t="s">
        <v>8</v>
      </c>
      <c r="E254" t="s">
        <v>9</v>
      </c>
      <c r="F254" t="s">
        <v>15</v>
      </c>
      <c r="G254" t="s">
        <v>18</v>
      </c>
      <c r="H254">
        <v>0.24</v>
      </c>
      <c r="I254">
        <v>0.19700000000000001</v>
      </c>
      <c r="J254">
        <v>0.52</v>
      </c>
      <c r="K254">
        <v>0.49249999999999999</v>
      </c>
      <c r="L254">
        <v>7</v>
      </c>
      <c r="M254">
        <v>128</v>
      </c>
      <c r="N254">
        <v>135</v>
      </c>
    </row>
    <row r="255" spans="1:14" x14ac:dyDescent="0.3">
      <c r="A255">
        <v>864</v>
      </c>
      <c r="B255">
        <v>40582</v>
      </c>
      <c r="C255">
        <v>0.41666666666666669</v>
      </c>
      <c r="D255" t="s">
        <v>8</v>
      </c>
      <c r="E255" t="s">
        <v>9</v>
      </c>
      <c r="F255" t="s">
        <v>15</v>
      </c>
      <c r="G255" t="s">
        <v>18</v>
      </c>
      <c r="H255">
        <v>0.22</v>
      </c>
      <c r="I255">
        <v>0.18179999999999999</v>
      </c>
      <c r="J255">
        <v>0.47</v>
      </c>
      <c r="K255">
        <v>0.55220000000000002</v>
      </c>
      <c r="L255">
        <v>4</v>
      </c>
      <c r="M255">
        <v>44</v>
      </c>
      <c r="N255">
        <v>48</v>
      </c>
    </row>
    <row r="256" spans="1:14" x14ac:dyDescent="0.3">
      <c r="A256">
        <v>865</v>
      </c>
      <c r="B256">
        <v>40582</v>
      </c>
      <c r="C256">
        <v>0.45833333333333331</v>
      </c>
      <c r="D256" t="s">
        <v>8</v>
      </c>
      <c r="E256" t="s">
        <v>9</v>
      </c>
      <c r="F256" t="s">
        <v>15</v>
      </c>
      <c r="G256" t="s">
        <v>18</v>
      </c>
      <c r="H256">
        <v>0.22</v>
      </c>
      <c r="I256">
        <v>0.18179999999999999</v>
      </c>
      <c r="J256">
        <v>0.47</v>
      </c>
      <c r="K256">
        <v>0.4627</v>
      </c>
      <c r="L256">
        <v>1</v>
      </c>
      <c r="M256">
        <v>49</v>
      </c>
      <c r="N256">
        <v>50</v>
      </c>
    </row>
    <row r="257" spans="1:14" x14ac:dyDescent="0.3">
      <c r="A257">
        <v>866</v>
      </c>
      <c r="B257">
        <v>40582</v>
      </c>
      <c r="C257">
        <v>0.5</v>
      </c>
      <c r="D257" t="s">
        <v>8</v>
      </c>
      <c r="E257" t="s">
        <v>9</v>
      </c>
      <c r="F257" t="s">
        <v>15</v>
      </c>
      <c r="G257" t="s">
        <v>18</v>
      </c>
      <c r="H257">
        <v>0.24</v>
      </c>
      <c r="I257">
        <v>0.19700000000000001</v>
      </c>
      <c r="J257">
        <v>0.38</v>
      </c>
      <c r="K257">
        <v>0.49249999999999999</v>
      </c>
      <c r="L257">
        <v>2</v>
      </c>
      <c r="M257">
        <v>63</v>
      </c>
      <c r="N257">
        <v>65</v>
      </c>
    </row>
    <row r="258" spans="1:14" x14ac:dyDescent="0.3">
      <c r="A258">
        <v>867</v>
      </c>
      <c r="B258">
        <v>40582</v>
      </c>
      <c r="C258">
        <v>0.54166666666666663</v>
      </c>
      <c r="D258" t="s">
        <v>8</v>
      </c>
      <c r="E258" t="s">
        <v>9</v>
      </c>
      <c r="F258" t="s">
        <v>15</v>
      </c>
      <c r="G258" t="s">
        <v>19</v>
      </c>
      <c r="H258">
        <v>0.24</v>
      </c>
      <c r="I258">
        <v>0.19700000000000001</v>
      </c>
      <c r="J258">
        <v>0.32</v>
      </c>
      <c r="K258">
        <v>0.44779999999999998</v>
      </c>
      <c r="L258">
        <v>2</v>
      </c>
      <c r="M258">
        <v>48</v>
      </c>
      <c r="N258">
        <v>50</v>
      </c>
    </row>
    <row r="259" spans="1:14" x14ac:dyDescent="0.3">
      <c r="A259">
        <v>868</v>
      </c>
      <c r="B259">
        <v>40582</v>
      </c>
      <c r="C259">
        <v>0.58333333333333337</v>
      </c>
      <c r="D259" t="s">
        <v>8</v>
      </c>
      <c r="E259" t="s">
        <v>9</v>
      </c>
      <c r="F259" t="s">
        <v>15</v>
      </c>
      <c r="G259" t="s">
        <v>18</v>
      </c>
      <c r="H259">
        <v>0.22</v>
      </c>
      <c r="I259">
        <v>0.19700000000000001</v>
      </c>
      <c r="J259">
        <v>0.37</v>
      </c>
      <c r="K259">
        <v>0.41789999999999999</v>
      </c>
      <c r="L259">
        <v>3</v>
      </c>
      <c r="M259">
        <v>61</v>
      </c>
      <c r="N259">
        <v>64</v>
      </c>
    </row>
    <row r="260" spans="1:14" x14ac:dyDescent="0.3">
      <c r="A260">
        <v>869</v>
      </c>
      <c r="B260">
        <v>40582</v>
      </c>
      <c r="C260">
        <v>0.625</v>
      </c>
      <c r="D260" t="s">
        <v>8</v>
      </c>
      <c r="E260" t="s">
        <v>9</v>
      </c>
      <c r="F260" t="s">
        <v>15</v>
      </c>
      <c r="G260" t="s">
        <v>18</v>
      </c>
      <c r="H260">
        <v>0.22</v>
      </c>
      <c r="I260">
        <v>0.19700000000000001</v>
      </c>
      <c r="J260">
        <v>0.35</v>
      </c>
      <c r="K260">
        <v>0.3881</v>
      </c>
      <c r="L260">
        <v>6</v>
      </c>
      <c r="M260">
        <v>45</v>
      </c>
      <c r="N260">
        <v>51</v>
      </c>
    </row>
    <row r="261" spans="1:14" x14ac:dyDescent="0.3">
      <c r="A261">
        <v>870</v>
      </c>
      <c r="B261">
        <v>40582</v>
      </c>
      <c r="C261">
        <v>0.66666666666666663</v>
      </c>
      <c r="D261" t="s">
        <v>8</v>
      </c>
      <c r="E261" t="s">
        <v>9</v>
      </c>
      <c r="F261" t="s">
        <v>15</v>
      </c>
      <c r="G261" t="s">
        <v>18</v>
      </c>
      <c r="H261">
        <v>0.22</v>
      </c>
      <c r="I261">
        <v>0.18179999999999999</v>
      </c>
      <c r="J261">
        <v>0.35</v>
      </c>
      <c r="K261">
        <v>0.52239999999999998</v>
      </c>
      <c r="L261">
        <v>4</v>
      </c>
      <c r="M261">
        <v>79</v>
      </c>
      <c r="N261">
        <v>83</v>
      </c>
    </row>
    <row r="262" spans="1:14" x14ac:dyDescent="0.3">
      <c r="A262">
        <v>871</v>
      </c>
      <c r="B262">
        <v>40582</v>
      </c>
      <c r="C262">
        <v>0.70833333333333337</v>
      </c>
      <c r="D262" t="s">
        <v>8</v>
      </c>
      <c r="E262" t="s">
        <v>9</v>
      </c>
      <c r="F262" t="s">
        <v>15</v>
      </c>
      <c r="G262" t="s">
        <v>18</v>
      </c>
      <c r="H262">
        <v>0.22</v>
      </c>
      <c r="I262">
        <v>0.18179999999999999</v>
      </c>
      <c r="J262">
        <v>0.32</v>
      </c>
      <c r="K262">
        <v>0.58209999999999995</v>
      </c>
      <c r="L262">
        <v>4</v>
      </c>
      <c r="M262">
        <v>172</v>
      </c>
      <c r="N262">
        <v>176</v>
      </c>
    </row>
    <row r="263" spans="1:14" x14ac:dyDescent="0.3">
      <c r="A263">
        <v>872</v>
      </c>
      <c r="B263">
        <v>40582</v>
      </c>
      <c r="C263">
        <v>0.75</v>
      </c>
      <c r="D263" t="s">
        <v>8</v>
      </c>
      <c r="E263" t="s">
        <v>9</v>
      </c>
      <c r="F263" t="s">
        <v>15</v>
      </c>
      <c r="G263" t="s">
        <v>18</v>
      </c>
      <c r="H263">
        <v>0.2</v>
      </c>
      <c r="I263">
        <v>0.18179999999999999</v>
      </c>
      <c r="J263">
        <v>0.32</v>
      </c>
      <c r="K263">
        <v>0.3881</v>
      </c>
      <c r="L263">
        <v>1</v>
      </c>
      <c r="M263">
        <v>151</v>
      </c>
      <c r="N263">
        <v>152</v>
      </c>
    </row>
    <row r="264" spans="1:14" x14ac:dyDescent="0.3">
      <c r="A264">
        <v>873</v>
      </c>
      <c r="B264">
        <v>40582</v>
      </c>
      <c r="C264">
        <v>0.79166666666666663</v>
      </c>
      <c r="D264" t="s">
        <v>8</v>
      </c>
      <c r="E264" t="s">
        <v>9</v>
      </c>
      <c r="F264" t="s">
        <v>15</v>
      </c>
      <c r="G264" t="s">
        <v>18</v>
      </c>
      <c r="H264">
        <v>0.16</v>
      </c>
      <c r="I264">
        <v>0.1212</v>
      </c>
      <c r="J264">
        <v>0.4</v>
      </c>
      <c r="K264">
        <v>0.4627</v>
      </c>
      <c r="L264">
        <v>1</v>
      </c>
      <c r="M264">
        <v>100</v>
      </c>
      <c r="N264">
        <v>101</v>
      </c>
    </row>
    <row r="265" spans="1:14" x14ac:dyDescent="0.3">
      <c r="A265">
        <v>874</v>
      </c>
      <c r="B265">
        <v>40582</v>
      </c>
      <c r="C265">
        <v>0.83333333333333337</v>
      </c>
      <c r="D265" t="s">
        <v>8</v>
      </c>
      <c r="E265" t="s">
        <v>9</v>
      </c>
      <c r="F265" t="s">
        <v>15</v>
      </c>
      <c r="G265" t="s">
        <v>18</v>
      </c>
      <c r="H265">
        <v>0.16</v>
      </c>
      <c r="I265">
        <v>0.13639999999999999</v>
      </c>
      <c r="J265">
        <v>0.4</v>
      </c>
      <c r="K265">
        <v>0.32840000000000003</v>
      </c>
      <c r="L265">
        <v>3</v>
      </c>
      <c r="M265">
        <v>53</v>
      </c>
      <c r="N265">
        <v>56</v>
      </c>
    </row>
    <row r="266" spans="1:14" x14ac:dyDescent="0.3">
      <c r="A266">
        <v>875</v>
      </c>
      <c r="B266">
        <v>40582</v>
      </c>
      <c r="C266">
        <v>0.875</v>
      </c>
      <c r="D266" t="s">
        <v>8</v>
      </c>
      <c r="E266" t="s">
        <v>9</v>
      </c>
      <c r="F266" t="s">
        <v>15</v>
      </c>
      <c r="G266" t="s">
        <v>18</v>
      </c>
      <c r="H266">
        <v>0.14000000000000001</v>
      </c>
      <c r="I266">
        <v>0.1061</v>
      </c>
      <c r="J266">
        <v>0.33</v>
      </c>
      <c r="K266">
        <v>0.4627</v>
      </c>
      <c r="L266">
        <v>8</v>
      </c>
      <c r="M266">
        <v>46</v>
      </c>
      <c r="N266">
        <v>54</v>
      </c>
    </row>
    <row r="267" spans="1:14" x14ac:dyDescent="0.3">
      <c r="A267">
        <v>876</v>
      </c>
      <c r="B267">
        <v>40582</v>
      </c>
      <c r="C267">
        <v>0.91666666666666663</v>
      </c>
      <c r="D267" t="s">
        <v>8</v>
      </c>
      <c r="E267" t="s">
        <v>9</v>
      </c>
      <c r="F267" t="s">
        <v>15</v>
      </c>
      <c r="G267" t="s">
        <v>18</v>
      </c>
      <c r="H267">
        <v>0.12</v>
      </c>
      <c r="I267">
        <v>0.1061</v>
      </c>
      <c r="J267">
        <v>0.33</v>
      </c>
      <c r="K267">
        <v>0.35820000000000002</v>
      </c>
      <c r="L267">
        <v>0</v>
      </c>
      <c r="M267">
        <v>29</v>
      </c>
      <c r="N267">
        <v>29</v>
      </c>
    </row>
    <row r="268" spans="1:14" x14ac:dyDescent="0.3">
      <c r="A268">
        <v>877</v>
      </c>
      <c r="B268">
        <v>40582</v>
      </c>
      <c r="C268">
        <v>0.95833333333333337</v>
      </c>
      <c r="D268" t="s">
        <v>8</v>
      </c>
      <c r="E268" t="s">
        <v>9</v>
      </c>
      <c r="F268" t="s">
        <v>15</v>
      </c>
      <c r="G268" t="s">
        <v>18</v>
      </c>
      <c r="H268">
        <v>0.12</v>
      </c>
      <c r="I268">
        <v>0.1061</v>
      </c>
      <c r="J268">
        <v>0.33</v>
      </c>
      <c r="K268">
        <v>0.32840000000000003</v>
      </c>
      <c r="L268">
        <v>3</v>
      </c>
      <c r="M268">
        <v>9</v>
      </c>
      <c r="N268">
        <v>12</v>
      </c>
    </row>
    <row r="269" spans="1:14" x14ac:dyDescent="0.3">
      <c r="A269">
        <v>878</v>
      </c>
      <c r="B269">
        <v>40583</v>
      </c>
      <c r="C269">
        <v>0</v>
      </c>
      <c r="D269" t="s">
        <v>8</v>
      </c>
      <c r="E269" t="s">
        <v>9</v>
      </c>
      <c r="F269" t="s">
        <v>16</v>
      </c>
      <c r="G269" t="s">
        <v>18</v>
      </c>
      <c r="H269">
        <v>0.1</v>
      </c>
      <c r="I269">
        <v>7.5800000000000006E-2</v>
      </c>
      <c r="J269">
        <v>0.36</v>
      </c>
      <c r="K269">
        <v>0.35820000000000002</v>
      </c>
      <c r="L269">
        <v>0</v>
      </c>
      <c r="M269">
        <v>17</v>
      </c>
      <c r="N269">
        <v>17</v>
      </c>
    </row>
    <row r="270" spans="1:14" x14ac:dyDescent="0.3">
      <c r="A270">
        <v>879</v>
      </c>
      <c r="B270">
        <v>40583</v>
      </c>
      <c r="C270">
        <v>4.1666666666666664E-2</v>
      </c>
      <c r="D270" t="s">
        <v>8</v>
      </c>
      <c r="E270" t="s">
        <v>9</v>
      </c>
      <c r="F270" t="s">
        <v>16</v>
      </c>
      <c r="G270" t="s">
        <v>18</v>
      </c>
      <c r="H270">
        <v>0.1</v>
      </c>
      <c r="I270">
        <v>0.1061</v>
      </c>
      <c r="J270">
        <v>0.36</v>
      </c>
      <c r="K270">
        <v>0.22389999999999999</v>
      </c>
      <c r="L270">
        <v>0</v>
      </c>
      <c r="M270">
        <v>7</v>
      </c>
      <c r="N270">
        <v>7</v>
      </c>
    </row>
    <row r="271" spans="1:14" x14ac:dyDescent="0.3">
      <c r="A271">
        <v>880</v>
      </c>
      <c r="B271">
        <v>40583</v>
      </c>
      <c r="C271">
        <v>8.3333333333333329E-2</v>
      </c>
      <c r="D271" t="s">
        <v>8</v>
      </c>
      <c r="E271" t="s">
        <v>9</v>
      </c>
      <c r="F271" t="s">
        <v>16</v>
      </c>
      <c r="G271" t="s">
        <v>18</v>
      </c>
      <c r="H271">
        <v>0.08</v>
      </c>
      <c r="I271">
        <v>7.5800000000000006E-2</v>
      </c>
      <c r="J271">
        <v>0.38</v>
      </c>
      <c r="K271">
        <v>0.28360000000000002</v>
      </c>
      <c r="L271">
        <v>1</v>
      </c>
      <c r="M271">
        <v>2</v>
      </c>
      <c r="N271">
        <v>3</v>
      </c>
    </row>
    <row r="272" spans="1:14" x14ac:dyDescent="0.3">
      <c r="A272">
        <v>881</v>
      </c>
      <c r="B272">
        <v>40583</v>
      </c>
      <c r="C272">
        <v>0.125</v>
      </c>
      <c r="D272" t="s">
        <v>8</v>
      </c>
      <c r="E272" t="s">
        <v>9</v>
      </c>
      <c r="F272" t="s">
        <v>16</v>
      </c>
      <c r="G272" t="s">
        <v>18</v>
      </c>
      <c r="H272">
        <v>0.06</v>
      </c>
      <c r="I272">
        <v>7.5800000000000006E-2</v>
      </c>
      <c r="J272">
        <v>0.45</v>
      </c>
      <c r="K272">
        <v>0.1343</v>
      </c>
      <c r="L272">
        <v>0</v>
      </c>
      <c r="M272">
        <v>2</v>
      </c>
      <c r="N272">
        <v>2</v>
      </c>
    </row>
    <row r="273" spans="1:14" x14ac:dyDescent="0.3">
      <c r="A273">
        <v>882</v>
      </c>
      <c r="B273">
        <v>40583</v>
      </c>
      <c r="C273">
        <v>0.20833333333333334</v>
      </c>
      <c r="D273" t="s">
        <v>8</v>
      </c>
      <c r="E273" t="s">
        <v>9</v>
      </c>
      <c r="F273" t="s">
        <v>16</v>
      </c>
      <c r="G273" t="s">
        <v>18</v>
      </c>
      <c r="H273">
        <v>0.06</v>
      </c>
      <c r="I273">
        <v>0.1061</v>
      </c>
      <c r="J273">
        <v>0.45</v>
      </c>
      <c r="K273">
        <v>0.1045</v>
      </c>
      <c r="L273">
        <v>0</v>
      </c>
      <c r="M273">
        <v>7</v>
      </c>
      <c r="N273">
        <v>7</v>
      </c>
    </row>
    <row r="274" spans="1:14" x14ac:dyDescent="0.3">
      <c r="A274">
        <v>883</v>
      </c>
      <c r="B274">
        <v>40583</v>
      </c>
      <c r="C274">
        <v>0.25</v>
      </c>
      <c r="D274" t="s">
        <v>8</v>
      </c>
      <c r="E274" t="s">
        <v>9</v>
      </c>
      <c r="F274" t="s">
        <v>16</v>
      </c>
      <c r="G274" t="s">
        <v>18</v>
      </c>
      <c r="H274">
        <v>0.06</v>
      </c>
      <c r="I274">
        <v>0.1515</v>
      </c>
      <c r="J274">
        <v>0.45</v>
      </c>
      <c r="K274">
        <v>0</v>
      </c>
      <c r="L274">
        <v>0</v>
      </c>
      <c r="M274">
        <v>43</v>
      </c>
      <c r="N274">
        <v>43</v>
      </c>
    </row>
    <row r="275" spans="1:14" x14ac:dyDescent="0.3">
      <c r="A275">
        <v>884</v>
      </c>
      <c r="B275">
        <v>40583</v>
      </c>
      <c r="C275">
        <v>0.29166666666666669</v>
      </c>
      <c r="D275" t="s">
        <v>8</v>
      </c>
      <c r="E275" t="s">
        <v>9</v>
      </c>
      <c r="F275" t="s">
        <v>16</v>
      </c>
      <c r="G275" t="s">
        <v>18</v>
      </c>
      <c r="H275">
        <v>0.06</v>
      </c>
      <c r="I275">
        <v>0.1061</v>
      </c>
      <c r="J275">
        <v>0.49</v>
      </c>
      <c r="K275">
        <v>0.1045</v>
      </c>
      <c r="L275">
        <v>4</v>
      </c>
      <c r="M275">
        <v>95</v>
      </c>
      <c r="N275">
        <v>99</v>
      </c>
    </row>
    <row r="276" spans="1:14" x14ac:dyDescent="0.3">
      <c r="A276">
        <v>885</v>
      </c>
      <c r="B276">
        <v>40583</v>
      </c>
      <c r="C276">
        <v>0.33333333333333331</v>
      </c>
      <c r="D276" t="s">
        <v>8</v>
      </c>
      <c r="E276" t="s">
        <v>9</v>
      </c>
      <c r="F276" t="s">
        <v>16</v>
      </c>
      <c r="G276" t="s">
        <v>18</v>
      </c>
      <c r="H276">
        <v>0.1</v>
      </c>
      <c r="I276">
        <v>0.13639999999999999</v>
      </c>
      <c r="J276">
        <v>0.42</v>
      </c>
      <c r="K276">
        <v>0</v>
      </c>
      <c r="L276">
        <v>1</v>
      </c>
      <c r="M276">
        <v>198</v>
      </c>
      <c r="N276">
        <v>199</v>
      </c>
    </row>
    <row r="277" spans="1:14" x14ac:dyDescent="0.3">
      <c r="A277">
        <v>886</v>
      </c>
      <c r="B277">
        <v>40583</v>
      </c>
      <c r="C277">
        <v>0.375</v>
      </c>
      <c r="D277" t="s">
        <v>8</v>
      </c>
      <c r="E277" t="s">
        <v>9</v>
      </c>
      <c r="F277" t="s">
        <v>16</v>
      </c>
      <c r="G277" t="s">
        <v>18</v>
      </c>
      <c r="H277">
        <v>0.12</v>
      </c>
      <c r="I277">
        <v>0.13639999999999999</v>
      </c>
      <c r="J277">
        <v>0.39</v>
      </c>
      <c r="K277">
        <v>0.16420000000000001</v>
      </c>
      <c r="L277">
        <v>4</v>
      </c>
      <c r="M277">
        <v>119</v>
      </c>
      <c r="N277">
        <v>123</v>
      </c>
    </row>
    <row r="278" spans="1:14" x14ac:dyDescent="0.3">
      <c r="A278">
        <v>887</v>
      </c>
      <c r="B278">
        <v>40583</v>
      </c>
      <c r="C278">
        <v>0.41666666666666669</v>
      </c>
      <c r="D278" t="s">
        <v>8</v>
      </c>
      <c r="E278" t="s">
        <v>9</v>
      </c>
      <c r="F278" t="s">
        <v>16</v>
      </c>
      <c r="G278" t="s">
        <v>18</v>
      </c>
      <c r="H278">
        <v>0.14000000000000001</v>
      </c>
      <c r="I278">
        <v>0.18179999999999999</v>
      </c>
      <c r="J278">
        <v>0.36</v>
      </c>
      <c r="K278">
        <v>0</v>
      </c>
      <c r="L278">
        <v>8</v>
      </c>
      <c r="M278">
        <v>51</v>
      </c>
      <c r="N278">
        <v>59</v>
      </c>
    </row>
    <row r="279" spans="1:14" x14ac:dyDescent="0.3">
      <c r="A279">
        <v>888</v>
      </c>
      <c r="B279">
        <v>40583</v>
      </c>
      <c r="C279">
        <v>0.45833333333333331</v>
      </c>
      <c r="D279" t="s">
        <v>8</v>
      </c>
      <c r="E279" t="s">
        <v>9</v>
      </c>
      <c r="F279" t="s">
        <v>16</v>
      </c>
      <c r="G279" t="s">
        <v>19</v>
      </c>
      <c r="H279">
        <v>0.14000000000000001</v>
      </c>
      <c r="I279">
        <v>0.1515</v>
      </c>
      <c r="J279">
        <v>0.43</v>
      </c>
      <c r="K279">
        <v>0.16420000000000001</v>
      </c>
      <c r="L279">
        <v>1</v>
      </c>
      <c r="M279">
        <v>40</v>
      </c>
      <c r="N279">
        <v>41</v>
      </c>
    </row>
    <row r="280" spans="1:14" x14ac:dyDescent="0.3">
      <c r="A280">
        <v>889</v>
      </c>
      <c r="B280">
        <v>40583</v>
      </c>
      <c r="C280">
        <v>0.5</v>
      </c>
      <c r="D280" t="s">
        <v>8</v>
      </c>
      <c r="E280" t="s">
        <v>9</v>
      </c>
      <c r="F280" t="s">
        <v>16</v>
      </c>
      <c r="G280" t="s">
        <v>19</v>
      </c>
      <c r="H280">
        <v>0.18</v>
      </c>
      <c r="I280">
        <v>0.18179999999999999</v>
      </c>
      <c r="J280">
        <v>0.4</v>
      </c>
      <c r="K280">
        <v>0.22389999999999999</v>
      </c>
      <c r="L280">
        <v>4</v>
      </c>
      <c r="M280">
        <v>57</v>
      </c>
      <c r="N280">
        <v>61</v>
      </c>
    </row>
    <row r="281" spans="1:14" x14ac:dyDescent="0.3">
      <c r="A281">
        <v>890</v>
      </c>
      <c r="B281">
        <v>40583</v>
      </c>
      <c r="C281">
        <v>0.54166666666666663</v>
      </c>
      <c r="D281" t="s">
        <v>8</v>
      </c>
      <c r="E281" t="s">
        <v>9</v>
      </c>
      <c r="F281" t="s">
        <v>16</v>
      </c>
      <c r="G281" t="s">
        <v>18</v>
      </c>
      <c r="H281">
        <v>0.18</v>
      </c>
      <c r="I281">
        <v>0.16669999999999999</v>
      </c>
      <c r="J281">
        <v>0.4</v>
      </c>
      <c r="K281">
        <v>0.25369999999999998</v>
      </c>
      <c r="L281">
        <v>2</v>
      </c>
      <c r="M281">
        <v>67</v>
      </c>
      <c r="N281">
        <v>69</v>
      </c>
    </row>
    <row r="282" spans="1:14" x14ac:dyDescent="0.3">
      <c r="A282">
        <v>891</v>
      </c>
      <c r="B282">
        <v>40583</v>
      </c>
      <c r="C282">
        <v>0.58333333333333337</v>
      </c>
      <c r="D282" t="s">
        <v>8</v>
      </c>
      <c r="E282" t="s">
        <v>9</v>
      </c>
      <c r="F282" t="s">
        <v>16</v>
      </c>
      <c r="G282" t="s">
        <v>18</v>
      </c>
      <c r="H282">
        <v>0.2</v>
      </c>
      <c r="I282">
        <v>0.18179999999999999</v>
      </c>
      <c r="J282">
        <v>0.34</v>
      </c>
      <c r="K282">
        <v>0.29849999999999999</v>
      </c>
      <c r="L282">
        <v>2</v>
      </c>
      <c r="M282">
        <v>56</v>
      </c>
      <c r="N282">
        <v>58</v>
      </c>
    </row>
    <row r="283" spans="1:14" x14ac:dyDescent="0.3">
      <c r="A283">
        <v>892</v>
      </c>
      <c r="B283">
        <v>40583</v>
      </c>
      <c r="C283">
        <v>0.625</v>
      </c>
      <c r="D283" t="s">
        <v>8</v>
      </c>
      <c r="E283" t="s">
        <v>9</v>
      </c>
      <c r="F283" t="s">
        <v>16</v>
      </c>
      <c r="G283" t="s">
        <v>19</v>
      </c>
      <c r="H283">
        <v>0.2</v>
      </c>
      <c r="I283">
        <v>0.18179999999999999</v>
      </c>
      <c r="J283">
        <v>0.34</v>
      </c>
      <c r="K283">
        <v>0.28360000000000002</v>
      </c>
      <c r="L283">
        <v>3</v>
      </c>
      <c r="M283">
        <v>61</v>
      </c>
      <c r="N283">
        <v>64</v>
      </c>
    </row>
    <row r="284" spans="1:14" x14ac:dyDescent="0.3">
      <c r="A284">
        <v>893</v>
      </c>
      <c r="B284">
        <v>40583</v>
      </c>
      <c r="C284">
        <v>0.66666666666666663</v>
      </c>
      <c r="D284" t="s">
        <v>8</v>
      </c>
      <c r="E284" t="s">
        <v>9</v>
      </c>
      <c r="F284" t="s">
        <v>16</v>
      </c>
      <c r="G284" t="s">
        <v>19</v>
      </c>
      <c r="H284">
        <v>0.2</v>
      </c>
      <c r="I284">
        <v>0.19700000000000001</v>
      </c>
      <c r="J284">
        <v>0.37</v>
      </c>
      <c r="K284">
        <v>0.25369999999999998</v>
      </c>
      <c r="L284">
        <v>7</v>
      </c>
      <c r="M284">
        <v>72</v>
      </c>
      <c r="N284">
        <v>79</v>
      </c>
    </row>
    <row r="285" spans="1:14" x14ac:dyDescent="0.3">
      <c r="A285">
        <v>894</v>
      </c>
      <c r="B285">
        <v>40583</v>
      </c>
      <c r="C285">
        <v>0.70833333333333337</v>
      </c>
      <c r="D285" t="s">
        <v>8</v>
      </c>
      <c r="E285" t="s">
        <v>9</v>
      </c>
      <c r="F285" t="s">
        <v>16</v>
      </c>
      <c r="G285" t="s">
        <v>19</v>
      </c>
      <c r="H285">
        <v>0.2</v>
      </c>
      <c r="I285">
        <v>0.19700000000000001</v>
      </c>
      <c r="J285">
        <v>0.34</v>
      </c>
      <c r="K285">
        <v>0.25369999999999998</v>
      </c>
      <c r="L285">
        <v>9</v>
      </c>
      <c r="M285">
        <v>157</v>
      </c>
      <c r="N285">
        <v>166</v>
      </c>
    </row>
    <row r="286" spans="1:14" x14ac:dyDescent="0.3">
      <c r="A286">
        <v>895</v>
      </c>
      <c r="B286">
        <v>40583</v>
      </c>
      <c r="C286">
        <v>0.75</v>
      </c>
      <c r="D286" t="s">
        <v>8</v>
      </c>
      <c r="E286" t="s">
        <v>9</v>
      </c>
      <c r="F286" t="s">
        <v>16</v>
      </c>
      <c r="G286" t="s">
        <v>19</v>
      </c>
      <c r="H286">
        <v>0.18</v>
      </c>
      <c r="I286">
        <v>0.16669999999999999</v>
      </c>
      <c r="J286">
        <v>0.47</v>
      </c>
      <c r="K286">
        <v>0.29849999999999999</v>
      </c>
      <c r="L286">
        <v>2</v>
      </c>
      <c r="M286">
        <v>168</v>
      </c>
      <c r="N286">
        <v>170</v>
      </c>
    </row>
    <row r="287" spans="1:14" x14ac:dyDescent="0.3">
      <c r="A287">
        <v>896</v>
      </c>
      <c r="B287">
        <v>40583</v>
      </c>
      <c r="C287">
        <v>0.79166666666666663</v>
      </c>
      <c r="D287" t="s">
        <v>8</v>
      </c>
      <c r="E287" t="s">
        <v>9</v>
      </c>
      <c r="F287" t="s">
        <v>16</v>
      </c>
      <c r="G287" t="s">
        <v>20</v>
      </c>
      <c r="H287">
        <v>0.14000000000000001</v>
      </c>
      <c r="I287">
        <v>0.1212</v>
      </c>
      <c r="J287">
        <v>0.86</v>
      </c>
      <c r="K287">
        <v>0.25369999999999998</v>
      </c>
      <c r="L287">
        <v>1</v>
      </c>
      <c r="M287">
        <v>87</v>
      </c>
      <c r="N287">
        <v>88</v>
      </c>
    </row>
    <row r="288" spans="1:14" x14ac:dyDescent="0.3">
      <c r="A288">
        <v>897</v>
      </c>
      <c r="B288">
        <v>40583</v>
      </c>
      <c r="C288">
        <v>0.83333333333333337</v>
      </c>
      <c r="D288" t="s">
        <v>8</v>
      </c>
      <c r="E288" t="s">
        <v>9</v>
      </c>
      <c r="F288" t="s">
        <v>16</v>
      </c>
      <c r="G288" t="s">
        <v>20</v>
      </c>
      <c r="H288">
        <v>0.14000000000000001</v>
      </c>
      <c r="I288">
        <v>0.1515</v>
      </c>
      <c r="J288">
        <v>0.86</v>
      </c>
      <c r="K288">
        <v>0.16420000000000001</v>
      </c>
      <c r="L288">
        <v>0</v>
      </c>
      <c r="M288">
        <v>84</v>
      </c>
      <c r="N288">
        <v>84</v>
      </c>
    </row>
    <row r="289" spans="1:14" x14ac:dyDescent="0.3">
      <c r="A289">
        <v>898</v>
      </c>
      <c r="B289">
        <v>40583</v>
      </c>
      <c r="C289">
        <v>0.875</v>
      </c>
      <c r="D289" t="s">
        <v>8</v>
      </c>
      <c r="E289" t="s">
        <v>9</v>
      </c>
      <c r="F289" t="s">
        <v>16</v>
      </c>
      <c r="G289" t="s">
        <v>19</v>
      </c>
      <c r="H289">
        <v>0.14000000000000001</v>
      </c>
      <c r="I289">
        <v>0.1515</v>
      </c>
      <c r="J289">
        <v>0.86</v>
      </c>
      <c r="K289">
        <v>0.16420000000000001</v>
      </c>
      <c r="L289">
        <v>0</v>
      </c>
      <c r="M289">
        <v>83</v>
      </c>
      <c r="N289">
        <v>83</v>
      </c>
    </row>
    <row r="290" spans="1:14" x14ac:dyDescent="0.3">
      <c r="A290">
        <v>899</v>
      </c>
      <c r="B290">
        <v>40583</v>
      </c>
      <c r="C290">
        <v>0.91666666666666663</v>
      </c>
      <c r="D290" t="s">
        <v>8</v>
      </c>
      <c r="E290" t="s">
        <v>9</v>
      </c>
      <c r="F290" t="s">
        <v>16</v>
      </c>
      <c r="G290" t="s">
        <v>20</v>
      </c>
      <c r="H290">
        <v>0.16</v>
      </c>
      <c r="I290">
        <v>0.16669999999999999</v>
      </c>
      <c r="J290">
        <v>0.8</v>
      </c>
      <c r="K290">
        <v>0.16420000000000001</v>
      </c>
      <c r="L290">
        <v>4</v>
      </c>
      <c r="M290">
        <v>42</v>
      </c>
      <c r="N290">
        <v>46</v>
      </c>
    </row>
    <row r="291" spans="1:14" x14ac:dyDescent="0.3">
      <c r="A291">
        <v>900</v>
      </c>
      <c r="B291">
        <v>40583</v>
      </c>
      <c r="C291">
        <v>0.95833333333333337</v>
      </c>
      <c r="D291" t="s">
        <v>8</v>
      </c>
      <c r="E291" t="s">
        <v>9</v>
      </c>
      <c r="F291" t="s">
        <v>16</v>
      </c>
      <c r="G291" t="s">
        <v>20</v>
      </c>
      <c r="H291">
        <v>0.16</v>
      </c>
      <c r="I291">
        <v>0.1515</v>
      </c>
      <c r="J291">
        <v>0.8</v>
      </c>
      <c r="K291">
        <v>0.19400000000000001</v>
      </c>
      <c r="L291">
        <v>0</v>
      </c>
      <c r="M291">
        <v>37</v>
      </c>
      <c r="N291">
        <v>37</v>
      </c>
    </row>
    <row r="292" spans="1:14" x14ac:dyDescent="0.3">
      <c r="A292">
        <v>901</v>
      </c>
      <c r="B292">
        <v>40584</v>
      </c>
      <c r="C292">
        <v>0</v>
      </c>
      <c r="D292" t="s">
        <v>8</v>
      </c>
      <c r="E292" t="s">
        <v>9</v>
      </c>
      <c r="F292" t="s">
        <v>17</v>
      </c>
      <c r="G292" t="s">
        <v>20</v>
      </c>
      <c r="H292">
        <v>0.14000000000000001</v>
      </c>
      <c r="I292">
        <v>0.13639999999999999</v>
      </c>
      <c r="J292">
        <v>0.86</v>
      </c>
      <c r="K292">
        <v>0.19400000000000001</v>
      </c>
      <c r="L292">
        <v>0</v>
      </c>
      <c r="M292">
        <v>16</v>
      </c>
      <c r="N292">
        <v>16</v>
      </c>
    </row>
    <row r="293" spans="1:14" x14ac:dyDescent="0.3">
      <c r="A293">
        <v>902</v>
      </c>
      <c r="B293">
        <v>40584</v>
      </c>
      <c r="C293">
        <v>4.1666666666666664E-2</v>
      </c>
      <c r="D293" t="s">
        <v>8</v>
      </c>
      <c r="E293" t="s">
        <v>9</v>
      </c>
      <c r="F293" t="s">
        <v>17</v>
      </c>
      <c r="G293" t="s">
        <v>20</v>
      </c>
      <c r="H293">
        <v>0.14000000000000001</v>
      </c>
      <c r="I293">
        <v>0.1515</v>
      </c>
      <c r="J293">
        <v>0.8</v>
      </c>
      <c r="K293">
        <v>0.1343</v>
      </c>
      <c r="L293">
        <v>0</v>
      </c>
      <c r="M293">
        <v>7</v>
      </c>
      <c r="N293">
        <v>7</v>
      </c>
    </row>
    <row r="294" spans="1:14" x14ac:dyDescent="0.3">
      <c r="A294">
        <v>903</v>
      </c>
      <c r="B294">
        <v>40584</v>
      </c>
      <c r="C294">
        <v>8.3333333333333329E-2</v>
      </c>
      <c r="D294" t="s">
        <v>8</v>
      </c>
      <c r="E294" t="s">
        <v>9</v>
      </c>
      <c r="F294" t="s">
        <v>17</v>
      </c>
      <c r="G294" t="s">
        <v>20</v>
      </c>
      <c r="H294">
        <v>0.14000000000000001</v>
      </c>
      <c r="I294">
        <v>0.1515</v>
      </c>
      <c r="J294">
        <v>0.8</v>
      </c>
      <c r="K294">
        <v>0.1343</v>
      </c>
      <c r="L294">
        <v>0</v>
      </c>
      <c r="M294">
        <v>3</v>
      </c>
      <c r="N294">
        <v>3</v>
      </c>
    </row>
    <row r="295" spans="1:14" x14ac:dyDescent="0.3">
      <c r="A295">
        <v>904</v>
      </c>
      <c r="B295">
        <v>40584</v>
      </c>
      <c r="C295">
        <v>0.16666666666666666</v>
      </c>
      <c r="D295" t="s">
        <v>8</v>
      </c>
      <c r="E295" t="s">
        <v>9</v>
      </c>
      <c r="F295" t="s">
        <v>17</v>
      </c>
      <c r="G295" t="s">
        <v>19</v>
      </c>
      <c r="H295">
        <v>0.14000000000000001</v>
      </c>
      <c r="I295">
        <v>0.13639999999999999</v>
      </c>
      <c r="J295">
        <v>0.59</v>
      </c>
      <c r="K295">
        <v>0.22389999999999999</v>
      </c>
      <c r="L295">
        <v>0</v>
      </c>
      <c r="M295">
        <v>1</v>
      </c>
      <c r="N295">
        <v>1</v>
      </c>
    </row>
    <row r="296" spans="1:14" x14ac:dyDescent="0.3">
      <c r="A296">
        <v>905</v>
      </c>
      <c r="B296">
        <v>40584</v>
      </c>
      <c r="C296">
        <v>0.20833333333333334</v>
      </c>
      <c r="D296" t="s">
        <v>8</v>
      </c>
      <c r="E296" t="s">
        <v>9</v>
      </c>
      <c r="F296" t="s">
        <v>17</v>
      </c>
      <c r="G296" t="s">
        <v>19</v>
      </c>
      <c r="H296">
        <v>0.12</v>
      </c>
      <c r="I296">
        <v>0.1212</v>
      </c>
      <c r="J296">
        <v>0.5</v>
      </c>
      <c r="K296">
        <v>0.22389999999999999</v>
      </c>
      <c r="L296">
        <v>0</v>
      </c>
      <c r="M296">
        <v>6</v>
      </c>
      <c r="N296">
        <v>6</v>
      </c>
    </row>
    <row r="297" spans="1:14" x14ac:dyDescent="0.3">
      <c r="A297">
        <v>906</v>
      </c>
      <c r="B297">
        <v>40584</v>
      </c>
      <c r="C297">
        <v>0.25</v>
      </c>
      <c r="D297" t="s">
        <v>8</v>
      </c>
      <c r="E297" t="s">
        <v>9</v>
      </c>
      <c r="F297" t="s">
        <v>17</v>
      </c>
      <c r="G297" t="s">
        <v>19</v>
      </c>
      <c r="H297">
        <v>0.12</v>
      </c>
      <c r="I297">
        <v>0.1212</v>
      </c>
      <c r="J297">
        <v>0.54</v>
      </c>
      <c r="K297">
        <v>0.28360000000000002</v>
      </c>
      <c r="L297">
        <v>0</v>
      </c>
      <c r="M297">
        <v>26</v>
      </c>
      <c r="N297">
        <v>26</v>
      </c>
    </row>
    <row r="298" spans="1:14" x14ac:dyDescent="0.3">
      <c r="A298">
        <v>907</v>
      </c>
      <c r="B298">
        <v>40584</v>
      </c>
      <c r="C298">
        <v>0.29166666666666669</v>
      </c>
      <c r="D298" t="s">
        <v>8</v>
      </c>
      <c r="E298" t="s">
        <v>9</v>
      </c>
      <c r="F298" t="s">
        <v>17</v>
      </c>
      <c r="G298" t="s">
        <v>18</v>
      </c>
      <c r="H298">
        <v>0.1</v>
      </c>
      <c r="I298">
        <v>7.5800000000000006E-2</v>
      </c>
      <c r="J298">
        <v>0.5</v>
      </c>
      <c r="K298">
        <v>0.41789999999999999</v>
      </c>
      <c r="L298">
        <v>0</v>
      </c>
      <c r="M298">
        <v>99</v>
      </c>
      <c r="N298">
        <v>99</v>
      </c>
    </row>
    <row r="299" spans="1:14" x14ac:dyDescent="0.3">
      <c r="A299">
        <v>908</v>
      </c>
      <c r="B299">
        <v>40584</v>
      </c>
      <c r="C299">
        <v>0.33333333333333331</v>
      </c>
      <c r="D299" t="s">
        <v>8</v>
      </c>
      <c r="E299" t="s">
        <v>9</v>
      </c>
      <c r="F299" t="s">
        <v>17</v>
      </c>
      <c r="G299" t="s">
        <v>18</v>
      </c>
      <c r="H299">
        <v>0.1</v>
      </c>
      <c r="I299">
        <v>7.5800000000000006E-2</v>
      </c>
      <c r="J299">
        <v>0.49</v>
      </c>
      <c r="K299">
        <v>0.32840000000000003</v>
      </c>
      <c r="L299">
        <v>5</v>
      </c>
      <c r="M299">
        <v>173</v>
      </c>
      <c r="N299">
        <v>178</v>
      </c>
    </row>
    <row r="300" spans="1:14" x14ac:dyDescent="0.3">
      <c r="A300">
        <v>909</v>
      </c>
      <c r="B300">
        <v>40584</v>
      </c>
      <c r="C300">
        <v>0.375</v>
      </c>
      <c r="D300" t="s">
        <v>8</v>
      </c>
      <c r="E300" t="s">
        <v>9</v>
      </c>
      <c r="F300" t="s">
        <v>17</v>
      </c>
      <c r="G300" t="s">
        <v>18</v>
      </c>
      <c r="H300">
        <v>0.12</v>
      </c>
      <c r="I300">
        <v>0.1061</v>
      </c>
      <c r="J300">
        <v>0.42</v>
      </c>
      <c r="K300">
        <v>0.35820000000000002</v>
      </c>
      <c r="L300">
        <v>1</v>
      </c>
      <c r="M300">
        <v>121</v>
      </c>
      <c r="N300">
        <v>122</v>
      </c>
    </row>
    <row r="301" spans="1:14" x14ac:dyDescent="0.3">
      <c r="A301">
        <v>910</v>
      </c>
      <c r="B301">
        <v>40584</v>
      </c>
      <c r="C301">
        <v>0.41666666666666669</v>
      </c>
      <c r="D301" t="s">
        <v>8</v>
      </c>
      <c r="E301" t="s">
        <v>9</v>
      </c>
      <c r="F301" t="s">
        <v>17</v>
      </c>
      <c r="G301" t="s">
        <v>18</v>
      </c>
      <c r="H301">
        <v>0.12</v>
      </c>
      <c r="I301">
        <v>0.1061</v>
      </c>
      <c r="J301">
        <v>0.42</v>
      </c>
      <c r="K301">
        <v>0.29849999999999999</v>
      </c>
      <c r="L301">
        <v>1</v>
      </c>
      <c r="M301">
        <v>34</v>
      </c>
      <c r="N301">
        <v>35</v>
      </c>
    </row>
    <row r="302" spans="1:14" x14ac:dyDescent="0.3">
      <c r="A302">
        <v>911</v>
      </c>
      <c r="B302">
        <v>40584</v>
      </c>
      <c r="C302">
        <v>0.45833333333333331</v>
      </c>
      <c r="D302" t="s">
        <v>8</v>
      </c>
      <c r="E302" t="s">
        <v>9</v>
      </c>
      <c r="F302" t="s">
        <v>17</v>
      </c>
      <c r="G302" t="s">
        <v>18</v>
      </c>
      <c r="H302">
        <v>0.14000000000000001</v>
      </c>
      <c r="I302">
        <v>0.1212</v>
      </c>
      <c r="J302">
        <v>0.39</v>
      </c>
      <c r="K302">
        <v>0.35820000000000002</v>
      </c>
      <c r="L302">
        <v>1</v>
      </c>
      <c r="M302">
        <v>44</v>
      </c>
      <c r="N302">
        <v>45</v>
      </c>
    </row>
    <row r="303" spans="1:14" x14ac:dyDescent="0.3">
      <c r="A303">
        <v>912</v>
      </c>
      <c r="B303">
        <v>40584</v>
      </c>
      <c r="C303">
        <v>0.5</v>
      </c>
      <c r="D303" t="s">
        <v>8</v>
      </c>
      <c r="E303" t="s">
        <v>9</v>
      </c>
      <c r="F303" t="s">
        <v>17</v>
      </c>
      <c r="G303" t="s">
        <v>18</v>
      </c>
      <c r="H303">
        <v>0.16</v>
      </c>
      <c r="I303">
        <v>0.13639999999999999</v>
      </c>
      <c r="J303">
        <v>0.34</v>
      </c>
      <c r="K303">
        <v>0.3881</v>
      </c>
      <c r="L303">
        <v>4</v>
      </c>
      <c r="M303">
        <v>65</v>
      </c>
      <c r="N303">
        <v>69</v>
      </c>
    </row>
    <row r="304" spans="1:14" x14ac:dyDescent="0.3">
      <c r="A304">
        <v>913</v>
      </c>
      <c r="B304">
        <v>40584</v>
      </c>
      <c r="C304">
        <v>0.54166666666666663</v>
      </c>
      <c r="D304" t="s">
        <v>8</v>
      </c>
      <c r="E304" t="s">
        <v>9</v>
      </c>
      <c r="F304" t="s">
        <v>17</v>
      </c>
      <c r="G304" t="s">
        <v>18</v>
      </c>
      <c r="H304">
        <v>0.18</v>
      </c>
      <c r="I304">
        <v>0.16669999999999999</v>
      </c>
      <c r="J304">
        <v>0.28999999999999998</v>
      </c>
      <c r="K304">
        <v>0.29849999999999999</v>
      </c>
      <c r="L304">
        <v>3</v>
      </c>
      <c r="M304">
        <v>59</v>
      </c>
      <c r="N304">
        <v>62</v>
      </c>
    </row>
    <row r="305" spans="1:14" x14ac:dyDescent="0.3">
      <c r="A305">
        <v>914</v>
      </c>
      <c r="B305">
        <v>40584</v>
      </c>
      <c r="C305">
        <v>0.58333333333333337</v>
      </c>
      <c r="D305" t="s">
        <v>8</v>
      </c>
      <c r="E305" t="s">
        <v>9</v>
      </c>
      <c r="F305" t="s">
        <v>17</v>
      </c>
      <c r="G305" t="s">
        <v>18</v>
      </c>
      <c r="H305">
        <v>0.2</v>
      </c>
      <c r="I305">
        <v>0.18179999999999999</v>
      </c>
      <c r="J305">
        <v>0.27</v>
      </c>
      <c r="K305">
        <v>0.28360000000000002</v>
      </c>
      <c r="L305">
        <v>6</v>
      </c>
      <c r="M305">
        <v>42</v>
      </c>
      <c r="N305">
        <v>48</v>
      </c>
    </row>
    <row r="306" spans="1:14" x14ac:dyDescent="0.3">
      <c r="A306">
        <v>915</v>
      </c>
      <c r="B306">
        <v>40584</v>
      </c>
      <c r="C306">
        <v>0.625</v>
      </c>
      <c r="D306" t="s">
        <v>8</v>
      </c>
      <c r="E306" t="s">
        <v>9</v>
      </c>
      <c r="F306" t="s">
        <v>17</v>
      </c>
      <c r="G306" t="s">
        <v>18</v>
      </c>
      <c r="H306">
        <v>0.2</v>
      </c>
      <c r="I306">
        <v>0.19700000000000001</v>
      </c>
      <c r="J306">
        <v>0.25</v>
      </c>
      <c r="K306">
        <v>0.25369999999999998</v>
      </c>
      <c r="L306">
        <v>0</v>
      </c>
      <c r="M306">
        <v>50</v>
      </c>
      <c r="N306">
        <v>50</v>
      </c>
    </row>
    <row r="307" spans="1:14" x14ac:dyDescent="0.3">
      <c r="A307">
        <v>916</v>
      </c>
      <c r="B307">
        <v>40584</v>
      </c>
      <c r="C307">
        <v>0.66666666666666663</v>
      </c>
      <c r="D307" t="s">
        <v>8</v>
      </c>
      <c r="E307" t="s">
        <v>9</v>
      </c>
      <c r="F307" t="s">
        <v>17</v>
      </c>
      <c r="G307" t="s">
        <v>18</v>
      </c>
      <c r="H307">
        <v>0.2</v>
      </c>
      <c r="I307">
        <v>0.18179999999999999</v>
      </c>
      <c r="J307">
        <v>0.27</v>
      </c>
      <c r="K307">
        <v>0.29849999999999999</v>
      </c>
      <c r="L307">
        <v>4</v>
      </c>
      <c r="M307">
        <v>76</v>
      </c>
      <c r="N307">
        <v>80</v>
      </c>
    </row>
    <row r="308" spans="1:14" x14ac:dyDescent="0.3">
      <c r="A308">
        <v>917</v>
      </c>
      <c r="B308">
        <v>40584</v>
      </c>
      <c r="C308">
        <v>0.70833333333333337</v>
      </c>
      <c r="D308" t="s">
        <v>8</v>
      </c>
      <c r="E308" t="s">
        <v>9</v>
      </c>
      <c r="F308" t="s">
        <v>17</v>
      </c>
      <c r="G308" t="s">
        <v>18</v>
      </c>
      <c r="H308">
        <v>0.18</v>
      </c>
      <c r="I308">
        <v>0.18179999999999999</v>
      </c>
      <c r="J308">
        <v>0.26</v>
      </c>
      <c r="K308">
        <v>0.19400000000000001</v>
      </c>
      <c r="L308">
        <v>6</v>
      </c>
      <c r="M308">
        <v>159</v>
      </c>
      <c r="N308">
        <v>165</v>
      </c>
    </row>
    <row r="309" spans="1:14" x14ac:dyDescent="0.3">
      <c r="A309">
        <v>918</v>
      </c>
      <c r="B309">
        <v>40584</v>
      </c>
      <c r="C309">
        <v>0.75</v>
      </c>
      <c r="D309" t="s">
        <v>8</v>
      </c>
      <c r="E309" t="s">
        <v>9</v>
      </c>
      <c r="F309" t="s">
        <v>17</v>
      </c>
      <c r="G309" t="s">
        <v>18</v>
      </c>
      <c r="H309">
        <v>0.16</v>
      </c>
      <c r="I309">
        <v>0.18179999999999999</v>
      </c>
      <c r="J309">
        <v>0.28000000000000003</v>
      </c>
      <c r="K309">
        <v>0.1343</v>
      </c>
      <c r="L309">
        <v>3</v>
      </c>
      <c r="M309">
        <v>157</v>
      </c>
      <c r="N309">
        <v>160</v>
      </c>
    </row>
    <row r="310" spans="1:14" x14ac:dyDescent="0.3">
      <c r="A310">
        <v>919</v>
      </c>
      <c r="B310">
        <v>40584</v>
      </c>
      <c r="C310">
        <v>0.79166666666666663</v>
      </c>
      <c r="D310" t="s">
        <v>8</v>
      </c>
      <c r="E310" t="s">
        <v>9</v>
      </c>
      <c r="F310" t="s">
        <v>17</v>
      </c>
      <c r="G310" t="s">
        <v>18</v>
      </c>
      <c r="H310">
        <v>0.14000000000000001</v>
      </c>
      <c r="I310">
        <v>0.16669999999999999</v>
      </c>
      <c r="J310">
        <v>0.28000000000000003</v>
      </c>
      <c r="K310">
        <v>0.1045</v>
      </c>
      <c r="L310">
        <v>2</v>
      </c>
      <c r="M310">
        <v>110</v>
      </c>
      <c r="N310">
        <v>112</v>
      </c>
    </row>
    <row r="311" spans="1:14" x14ac:dyDescent="0.3">
      <c r="A311">
        <v>920</v>
      </c>
      <c r="B311">
        <v>40584</v>
      </c>
      <c r="C311">
        <v>0.83333333333333337</v>
      </c>
      <c r="D311" t="s">
        <v>8</v>
      </c>
      <c r="E311" t="s">
        <v>9</v>
      </c>
      <c r="F311" t="s">
        <v>17</v>
      </c>
      <c r="G311" t="s">
        <v>18</v>
      </c>
      <c r="H311">
        <v>0.14000000000000001</v>
      </c>
      <c r="I311">
        <v>0.18179999999999999</v>
      </c>
      <c r="J311">
        <v>0.31</v>
      </c>
      <c r="K311">
        <v>8.9599999999999999E-2</v>
      </c>
      <c r="L311">
        <v>4</v>
      </c>
      <c r="M311">
        <v>93</v>
      </c>
      <c r="N311">
        <v>97</v>
      </c>
    </row>
    <row r="312" spans="1:14" x14ac:dyDescent="0.3">
      <c r="A312">
        <v>921</v>
      </c>
      <c r="B312">
        <v>40584</v>
      </c>
      <c r="C312">
        <v>0.875</v>
      </c>
      <c r="D312" t="s">
        <v>8</v>
      </c>
      <c r="E312" t="s">
        <v>9</v>
      </c>
      <c r="F312" t="s">
        <v>17</v>
      </c>
      <c r="G312" t="s">
        <v>18</v>
      </c>
      <c r="H312">
        <v>0.14000000000000001</v>
      </c>
      <c r="I312">
        <v>0.21210000000000001</v>
      </c>
      <c r="J312">
        <v>0.39</v>
      </c>
      <c r="K312">
        <v>0</v>
      </c>
      <c r="L312">
        <v>2</v>
      </c>
      <c r="M312">
        <v>70</v>
      </c>
      <c r="N312">
        <v>72</v>
      </c>
    </row>
    <row r="313" spans="1:14" x14ac:dyDescent="0.3">
      <c r="A313">
        <v>922</v>
      </c>
      <c r="B313">
        <v>40584</v>
      </c>
      <c r="C313">
        <v>0.91666666666666663</v>
      </c>
      <c r="D313" t="s">
        <v>8</v>
      </c>
      <c r="E313" t="s">
        <v>9</v>
      </c>
      <c r="F313" t="s">
        <v>17</v>
      </c>
      <c r="G313" t="s">
        <v>18</v>
      </c>
      <c r="H313">
        <v>0.12</v>
      </c>
      <c r="I313">
        <v>0.19700000000000001</v>
      </c>
      <c r="J313">
        <v>0.39</v>
      </c>
      <c r="K313">
        <v>0</v>
      </c>
      <c r="L313">
        <v>4</v>
      </c>
      <c r="M313">
        <v>47</v>
      </c>
      <c r="N313">
        <v>51</v>
      </c>
    </row>
    <row r="314" spans="1:14" x14ac:dyDescent="0.3">
      <c r="A314">
        <v>923</v>
      </c>
      <c r="B314">
        <v>40584</v>
      </c>
      <c r="C314">
        <v>0.95833333333333337</v>
      </c>
      <c r="D314" t="s">
        <v>8</v>
      </c>
      <c r="E314" t="s">
        <v>9</v>
      </c>
      <c r="F314" t="s">
        <v>17</v>
      </c>
      <c r="G314" t="s">
        <v>18</v>
      </c>
      <c r="H314">
        <v>0.12</v>
      </c>
      <c r="I314">
        <v>0.1515</v>
      </c>
      <c r="J314">
        <v>0.42</v>
      </c>
      <c r="K314">
        <v>0.1045</v>
      </c>
      <c r="L314">
        <v>1</v>
      </c>
      <c r="M314">
        <v>33</v>
      </c>
      <c r="N314">
        <v>34</v>
      </c>
    </row>
    <row r="315" spans="1:14" x14ac:dyDescent="0.3">
      <c r="A315">
        <v>924</v>
      </c>
      <c r="B315">
        <v>40585</v>
      </c>
      <c r="C315">
        <v>0</v>
      </c>
      <c r="D315" t="s">
        <v>8</v>
      </c>
      <c r="E315" t="s">
        <v>9</v>
      </c>
      <c r="F315" t="s">
        <v>11</v>
      </c>
      <c r="G315" t="s">
        <v>18</v>
      </c>
      <c r="H315">
        <v>0.1</v>
      </c>
      <c r="I315">
        <v>0.13639999999999999</v>
      </c>
      <c r="J315">
        <v>0.49</v>
      </c>
      <c r="K315">
        <v>0.1045</v>
      </c>
      <c r="L315">
        <v>2</v>
      </c>
      <c r="M315">
        <v>12</v>
      </c>
      <c r="N315">
        <v>14</v>
      </c>
    </row>
    <row r="316" spans="1:14" x14ac:dyDescent="0.3">
      <c r="A316">
        <v>925</v>
      </c>
      <c r="B316">
        <v>40585</v>
      </c>
      <c r="C316">
        <v>4.1666666666666664E-2</v>
      </c>
      <c r="D316" t="s">
        <v>8</v>
      </c>
      <c r="E316" t="s">
        <v>9</v>
      </c>
      <c r="F316" t="s">
        <v>11</v>
      </c>
      <c r="G316" t="s">
        <v>18</v>
      </c>
      <c r="H316">
        <v>0.1</v>
      </c>
      <c r="I316">
        <v>0.13639999999999999</v>
      </c>
      <c r="J316">
        <v>0.54</v>
      </c>
      <c r="K316">
        <v>8.9599999999999999E-2</v>
      </c>
      <c r="L316">
        <v>1</v>
      </c>
      <c r="M316">
        <v>6</v>
      </c>
      <c r="N316">
        <v>7</v>
      </c>
    </row>
    <row r="317" spans="1:14" x14ac:dyDescent="0.3">
      <c r="A317">
        <v>926</v>
      </c>
      <c r="B317">
        <v>40585</v>
      </c>
      <c r="C317">
        <v>8.3333333333333329E-2</v>
      </c>
      <c r="D317" t="s">
        <v>8</v>
      </c>
      <c r="E317" t="s">
        <v>9</v>
      </c>
      <c r="F317" t="s">
        <v>11</v>
      </c>
      <c r="G317" t="s">
        <v>18</v>
      </c>
      <c r="H317">
        <v>0.1</v>
      </c>
      <c r="I317">
        <v>0.13639999999999999</v>
      </c>
      <c r="J317">
        <v>0.54</v>
      </c>
      <c r="K317">
        <v>8.9599999999999999E-2</v>
      </c>
      <c r="L317">
        <v>0</v>
      </c>
      <c r="M317">
        <v>3</v>
      </c>
      <c r="N317">
        <v>3</v>
      </c>
    </row>
    <row r="318" spans="1:14" x14ac:dyDescent="0.3">
      <c r="A318">
        <v>927</v>
      </c>
      <c r="B318">
        <v>40585</v>
      </c>
      <c r="C318">
        <v>0.20833333333333334</v>
      </c>
      <c r="D318" t="s">
        <v>8</v>
      </c>
      <c r="E318" t="s">
        <v>9</v>
      </c>
      <c r="F318" t="s">
        <v>11</v>
      </c>
      <c r="G318" t="s">
        <v>18</v>
      </c>
      <c r="H318">
        <v>0.08</v>
      </c>
      <c r="I318">
        <v>0.1212</v>
      </c>
      <c r="J318">
        <v>0.63</v>
      </c>
      <c r="K318">
        <v>8.9599999999999999E-2</v>
      </c>
      <c r="L318">
        <v>0</v>
      </c>
      <c r="M318">
        <v>4</v>
      </c>
      <c r="N318">
        <v>4</v>
      </c>
    </row>
    <row r="319" spans="1:14" x14ac:dyDescent="0.3">
      <c r="A319">
        <v>928</v>
      </c>
      <c r="B319">
        <v>40585</v>
      </c>
      <c r="C319">
        <v>0.25</v>
      </c>
      <c r="D319" t="s">
        <v>8</v>
      </c>
      <c r="E319" t="s">
        <v>9</v>
      </c>
      <c r="F319" t="s">
        <v>11</v>
      </c>
      <c r="G319" t="s">
        <v>18</v>
      </c>
      <c r="H319">
        <v>0.1</v>
      </c>
      <c r="I319">
        <v>0.18179999999999999</v>
      </c>
      <c r="J319">
        <v>0.68</v>
      </c>
      <c r="K319">
        <v>0</v>
      </c>
      <c r="L319">
        <v>1</v>
      </c>
      <c r="M319">
        <v>23</v>
      </c>
      <c r="N319">
        <v>24</v>
      </c>
    </row>
    <row r="320" spans="1:14" x14ac:dyDescent="0.3">
      <c r="A320">
        <v>929</v>
      </c>
      <c r="B320">
        <v>40585</v>
      </c>
      <c r="C320">
        <v>0.29166666666666669</v>
      </c>
      <c r="D320" t="s">
        <v>8</v>
      </c>
      <c r="E320" t="s">
        <v>9</v>
      </c>
      <c r="F320" t="s">
        <v>11</v>
      </c>
      <c r="G320" t="s">
        <v>18</v>
      </c>
      <c r="H320">
        <v>0.08</v>
      </c>
      <c r="I320">
        <v>0.16669999999999999</v>
      </c>
      <c r="J320">
        <v>0.73</v>
      </c>
      <c r="K320">
        <v>0</v>
      </c>
      <c r="L320">
        <v>1</v>
      </c>
      <c r="M320">
        <v>73</v>
      </c>
      <c r="N320">
        <v>74</v>
      </c>
    </row>
    <row r="321" spans="1:14" x14ac:dyDescent="0.3">
      <c r="A321">
        <v>930</v>
      </c>
      <c r="B321">
        <v>40585</v>
      </c>
      <c r="C321">
        <v>0.33333333333333331</v>
      </c>
      <c r="D321" t="s">
        <v>8</v>
      </c>
      <c r="E321" t="s">
        <v>9</v>
      </c>
      <c r="F321" t="s">
        <v>11</v>
      </c>
      <c r="G321" t="s">
        <v>18</v>
      </c>
      <c r="H321">
        <v>0.1</v>
      </c>
      <c r="I321">
        <v>0.1212</v>
      </c>
      <c r="J321">
        <v>0.74</v>
      </c>
      <c r="K321">
        <v>0.16420000000000001</v>
      </c>
      <c r="L321">
        <v>4</v>
      </c>
      <c r="M321">
        <v>212</v>
      </c>
      <c r="N321">
        <v>216</v>
      </c>
    </row>
    <row r="322" spans="1:14" x14ac:dyDescent="0.3">
      <c r="A322">
        <v>931</v>
      </c>
      <c r="B322">
        <v>40585</v>
      </c>
      <c r="C322">
        <v>0.375</v>
      </c>
      <c r="D322" t="s">
        <v>8</v>
      </c>
      <c r="E322" t="s">
        <v>9</v>
      </c>
      <c r="F322" t="s">
        <v>11</v>
      </c>
      <c r="G322" t="s">
        <v>18</v>
      </c>
      <c r="H322">
        <v>0.12</v>
      </c>
      <c r="I322">
        <v>0.1212</v>
      </c>
      <c r="J322">
        <v>0.74</v>
      </c>
      <c r="K322">
        <v>0.22389999999999999</v>
      </c>
      <c r="L322">
        <v>8</v>
      </c>
      <c r="M322">
        <v>132</v>
      </c>
      <c r="N322">
        <v>140</v>
      </c>
    </row>
    <row r="323" spans="1:14" x14ac:dyDescent="0.3">
      <c r="A323">
        <v>932</v>
      </c>
      <c r="B323">
        <v>40585</v>
      </c>
      <c r="C323">
        <v>0.41666666666666669</v>
      </c>
      <c r="D323" t="s">
        <v>8</v>
      </c>
      <c r="E323" t="s">
        <v>9</v>
      </c>
      <c r="F323" t="s">
        <v>11</v>
      </c>
      <c r="G323" t="s">
        <v>18</v>
      </c>
      <c r="H323">
        <v>0.14000000000000001</v>
      </c>
      <c r="I323">
        <v>0.13639999999999999</v>
      </c>
      <c r="J323">
        <v>0.69</v>
      </c>
      <c r="K323">
        <v>0.19400000000000001</v>
      </c>
      <c r="L323">
        <v>5</v>
      </c>
      <c r="M323">
        <v>39</v>
      </c>
      <c r="N323">
        <v>44</v>
      </c>
    </row>
    <row r="324" spans="1:14" x14ac:dyDescent="0.3">
      <c r="A324">
        <v>933</v>
      </c>
      <c r="B324">
        <v>40585</v>
      </c>
      <c r="C324">
        <v>0.45833333333333331</v>
      </c>
      <c r="D324" t="s">
        <v>8</v>
      </c>
      <c r="E324" t="s">
        <v>9</v>
      </c>
      <c r="F324" t="s">
        <v>11</v>
      </c>
      <c r="G324" t="s">
        <v>18</v>
      </c>
      <c r="H324">
        <v>0.22</v>
      </c>
      <c r="I324">
        <v>0.2273</v>
      </c>
      <c r="J324">
        <v>0.47</v>
      </c>
      <c r="K324">
        <v>0.1343</v>
      </c>
      <c r="L324">
        <v>12</v>
      </c>
      <c r="M324">
        <v>52</v>
      </c>
      <c r="N324">
        <v>64</v>
      </c>
    </row>
    <row r="325" spans="1:14" x14ac:dyDescent="0.3">
      <c r="A325">
        <v>934</v>
      </c>
      <c r="B325">
        <v>40585</v>
      </c>
      <c r="C325">
        <v>0.5</v>
      </c>
      <c r="D325" t="s">
        <v>8</v>
      </c>
      <c r="E325" t="s">
        <v>9</v>
      </c>
      <c r="F325" t="s">
        <v>11</v>
      </c>
      <c r="G325" t="s">
        <v>18</v>
      </c>
      <c r="H325">
        <v>0.22</v>
      </c>
      <c r="I325">
        <v>0.2273</v>
      </c>
      <c r="J325">
        <v>0.47</v>
      </c>
      <c r="K325">
        <v>0.1343</v>
      </c>
      <c r="L325">
        <v>7</v>
      </c>
      <c r="M325">
        <v>64</v>
      </c>
      <c r="N325">
        <v>71</v>
      </c>
    </row>
    <row r="326" spans="1:14" x14ac:dyDescent="0.3">
      <c r="A326">
        <v>935</v>
      </c>
      <c r="B326">
        <v>40585</v>
      </c>
      <c r="C326">
        <v>0.54166666666666663</v>
      </c>
      <c r="D326" t="s">
        <v>8</v>
      </c>
      <c r="E326" t="s">
        <v>9</v>
      </c>
      <c r="F326" t="s">
        <v>11</v>
      </c>
      <c r="G326" t="s">
        <v>18</v>
      </c>
      <c r="H326">
        <v>0.24</v>
      </c>
      <c r="I326">
        <v>0.2273</v>
      </c>
      <c r="J326">
        <v>0.35</v>
      </c>
      <c r="K326">
        <v>0.19400000000000001</v>
      </c>
      <c r="L326">
        <v>21</v>
      </c>
      <c r="M326">
        <v>89</v>
      </c>
      <c r="N326">
        <v>110</v>
      </c>
    </row>
    <row r="327" spans="1:14" x14ac:dyDescent="0.3">
      <c r="A327">
        <v>936</v>
      </c>
      <c r="B327">
        <v>40585</v>
      </c>
      <c r="C327">
        <v>0.58333333333333337</v>
      </c>
      <c r="D327" t="s">
        <v>8</v>
      </c>
      <c r="E327" t="s">
        <v>9</v>
      </c>
      <c r="F327" t="s">
        <v>11</v>
      </c>
      <c r="G327" t="s">
        <v>18</v>
      </c>
      <c r="H327">
        <v>0.3</v>
      </c>
      <c r="I327">
        <v>0.28789999999999999</v>
      </c>
      <c r="J327">
        <v>0.26</v>
      </c>
      <c r="K327">
        <v>0.25369999999999998</v>
      </c>
      <c r="L327">
        <v>17</v>
      </c>
      <c r="M327">
        <v>67</v>
      </c>
      <c r="N327">
        <v>84</v>
      </c>
    </row>
    <row r="328" spans="1:14" x14ac:dyDescent="0.3">
      <c r="A328">
        <v>937</v>
      </c>
      <c r="B328">
        <v>40585</v>
      </c>
      <c r="C328">
        <v>0.625</v>
      </c>
      <c r="D328" t="s">
        <v>8</v>
      </c>
      <c r="E328" t="s">
        <v>9</v>
      </c>
      <c r="F328" t="s">
        <v>11</v>
      </c>
      <c r="G328" t="s">
        <v>18</v>
      </c>
      <c r="H328">
        <v>0.32</v>
      </c>
      <c r="I328">
        <v>0.31819999999999998</v>
      </c>
      <c r="J328">
        <v>0.21</v>
      </c>
      <c r="K328">
        <v>0.16420000000000001</v>
      </c>
      <c r="L328">
        <v>12</v>
      </c>
      <c r="M328">
        <v>62</v>
      </c>
      <c r="N328">
        <v>74</v>
      </c>
    </row>
    <row r="329" spans="1:14" x14ac:dyDescent="0.3">
      <c r="A329">
        <v>938</v>
      </c>
      <c r="B329">
        <v>40585</v>
      </c>
      <c r="C329">
        <v>0.66666666666666663</v>
      </c>
      <c r="D329" t="s">
        <v>8</v>
      </c>
      <c r="E329" t="s">
        <v>9</v>
      </c>
      <c r="F329" t="s">
        <v>11</v>
      </c>
      <c r="G329" t="s">
        <v>18</v>
      </c>
      <c r="H329">
        <v>0.3</v>
      </c>
      <c r="I329">
        <v>0.28789999999999999</v>
      </c>
      <c r="J329">
        <v>0.28000000000000003</v>
      </c>
      <c r="K329">
        <v>0.19400000000000001</v>
      </c>
      <c r="L329">
        <v>14</v>
      </c>
      <c r="M329">
        <v>111</v>
      </c>
      <c r="N329">
        <v>125</v>
      </c>
    </row>
    <row r="330" spans="1:14" x14ac:dyDescent="0.3">
      <c r="A330">
        <v>939</v>
      </c>
      <c r="B330">
        <v>40585</v>
      </c>
      <c r="C330">
        <v>0.70833333333333337</v>
      </c>
      <c r="D330" t="s">
        <v>8</v>
      </c>
      <c r="E330" t="s">
        <v>9</v>
      </c>
      <c r="F330" t="s">
        <v>11</v>
      </c>
      <c r="G330" t="s">
        <v>18</v>
      </c>
      <c r="H330">
        <v>0.3</v>
      </c>
      <c r="I330">
        <v>0.33329999999999999</v>
      </c>
      <c r="J330">
        <v>0.24</v>
      </c>
      <c r="K330">
        <v>0</v>
      </c>
      <c r="L330">
        <v>18</v>
      </c>
      <c r="M330">
        <v>193</v>
      </c>
      <c r="N330">
        <v>211</v>
      </c>
    </row>
    <row r="331" spans="1:14" x14ac:dyDescent="0.3">
      <c r="A331">
        <v>940</v>
      </c>
      <c r="B331">
        <v>40585</v>
      </c>
      <c r="C331">
        <v>0.75</v>
      </c>
      <c r="D331" t="s">
        <v>8</v>
      </c>
      <c r="E331" t="s">
        <v>9</v>
      </c>
      <c r="F331" t="s">
        <v>11</v>
      </c>
      <c r="G331" t="s">
        <v>18</v>
      </c>
      <c r="H331">
        <v>0.28000000000000003</v>
      </c>
      <c r="I331">
        <v>0.31819999999999998</v>
      </c>
      <c r="J331">
        <v>0.28000000000000003</v>
      </c>
      <c r="K331">
        <v>0</v>
      </c>
      <c r="L331">
        <v>9</v>
      </c>
      <c r="M331">
        <v>165</v>
      </c>
      <c r="N331">
        <v>174</v>
      </c>
    </row>
    <row r="332" spans="1:14" x14ac:dyDescent="0.3">
      <c r="A332">
        <v>941</v>
      </c>
      <c r="B332">
        <v>40585</v>
      </c>
      <c r="C332">
        <v>0.79166666666666663</v>
      </c>
      <c r="D332" t="s">
        <v>8</v>
      </c>
      <c r="E332" t="s">
        <v>9</v>
      </c>
      <c r="F332" t="s">
        <v>11</v>
      </c>
      <c r="G332" t="s">
        <v>18</v>
      </c>
      <c r="H332">
        <v>0.26</v>
      </c>
      <c r="I332">
        <v>0.30299999999999999</v>
      </c>
      <c r="J332">
        <v>0.33</v>
      </c>
      <c r="K332">
        <v>0</v>
      </c>
      <c r="L332">
        <v>7</v>
      </c>
      <c r="M332">
        <v>94</v>
      </c>
      <c r="N332">
        <v>101</v>
      </c>
    </row>
    <row r="333" spans="1:14" x14ac:dyDescent="0.3">
      <c r="A333">
        <v>942</v>
      </c>
      <c r="B333">
        <v>40585</v>
      </c>
      <c r="C333">
        <v>0.83333333333333337</v>
      </c>
      <c r="D333" t="s">
        <v>8</v>
      </c>
      <c r="E333" t="s">
        <v>9</v>
      </c>
      <c r="F333" t="s">
        <v>11</v>
      </c>
      <c r="G333" t="s">
        <v>18</v>
      </c>
      <c r="H333">
        <v>0.22</v>
      </c>
      <c r="I333">
        <v>0.2273</v>
      </c>
      <c r="J333">
        <v>0.55000000000000004</v>
      </c>
      <c r="K333">
        <v>0.1343</v>
      </c>
      <c r="L333">
        <v>2</v>
      </c>
      <c r="M333">
        <v>61</v>
      </c>
      <c r="N333">
        <v>63</v>
      </c>
    </row>
    <row r="334" spans="1:14" x14ac:dyDescent="0.3">
      <c r="A334">
        <v>943</v>
      </c>
      <c r="B334">
        <v>40585</v>
      </c>
      <c r="C334">
        <v>0.875</v>
      </c>
      <c r="D334" t="s">
        <v>8</v>
      </c>
      <c r="E334" t="s">
        <v>9</v>
      </c>
      <c r="F334" t="s">
        <v>11</v>
      </c>
      <c r="G334" t="s">
        <v>18</v>
      </c>
      <c r="H334">
        <v>0.2</v>
      </c>
      <c r="I334">
        <v>0.21210000000000001</v>
      </c>
      <c r="J334">
        <v>0.59</v>
      </c>
      <c r="K334">
        <v>0.1343</v>
      </c>
      <c r="L334">
        <v>1</v>
      </c>
      <c r="M334">
        <v>46</v>
      </c>
      <c r="N334">
        <v>47</v>
      </c>
    </row>
    <row r="335" spans="1:14" x14ac:dyDescent="0.3">
      <c r="A335">
        <v>944</v>
      </c>
      <c r="B335">
        <v>40585</v>
      </c>
      <c r="C335">
        <v>0.91666666666666663</v>
      </c>
      <c r="D335" t="s">
        <v>8</v>
      </c>
      <c r="E335" t="s">
        <v>9</v>
      </c>
      <c r="F335" t="s">
        <v>11</v>
      </c>
      <c r="G335" t="s">
        <v>18</v>
      </c>
      <c r="H335">
        <v>0.2</v>
      </c>
      <c r="I335">
        <v>0.2273</v>
      </c>
      <c r="J335">
        <v>0.64</v>
      </c>
      <c r="K335">
        <v>8.9599999999999999E-2</v>
      </c>
      <c r="L335">
        <v>2</v>
      </c>
      <c r="M335">
        <v>41</v>
      </c>
      <c r="N335">
        <v>43</v>
      </c>
    </row>
    <row r="336" spans="1:14" x14ac:dyDescent="0.3">
      <c r="A336">
        <v>945</v>
      </c>
      <c r="B336">
        <v>40585</v>
      </c>
      <c r="C336">
        <v>0.95833333333333337</v>
      </c>
      <c r="D336" t="s">
        <v>8</v>
      </c>
      <c r="E336" t="s">
        <v>9</v>
      </c>
      <c r="F336" t="s">
        <v>11</v>
      </c>
      <c r="G336" t="s">
        <v>18</v>
      </c>
      <c r="H336">
        <v>0.18</v>
      </c>
      <c r="I336">
        <v>0.2424</v>
      </c>
      <c r="J336">
        <v>0.69</v>
      </c>
      <c r="K336">
        <v>0</v>
      </c>
      <c r="L336">
        <v>5</v>
      </c>
      <c r="M336">
        <v>48</v>
      </c>
      <c r="N336">
        <v>53</v>
      </c>
    </row>
    <row r="337" spans="1:14" x14ac:dyDescent="0.3">
      <c r="A337">
        <v>946</v>
      </c>
      <c r="B337">
        <v>40586</v>
      </c>
      <c r="C337">
        <v>0</v>
      </c>
      <c r="D337" t="s">
        <v>8</v>
      </c>
      <c r="E337" t="s">
        <v>9</v>
      </c>
      <c r="F337" t="s">
        <v>12</v>
      </c>
      <c r="G337" t="s">
        <v>18</v>
      </c>
      <c r="H337">
        <v>0.16</v>
      </c>
      <c r="I337">
        <v>0.19700000000000001</v>
      </c>
      <c r="J337">
        <v>0.69</v>
      </c>
      <c r="K337">
        <v>8.9599999999999999E-2</v>
      </c>
      <c r="L337">
        <v>3</v>
      </c>
      <c r="M337">
        <v>27</v>
      </c>
      <c r="N337">
        <v>30</v>
      </c>
    </row>
    <row r="338" spans="1:14" x14ac:dyDescent="0.3">
      <c r="A338">
        <v>947</v>
      </c>
      <c r="B338">
        <v>40586</v>
      </c>
      <c r="C338">
        <v>4.1666666666666664E-2</v>
      </c>
      <c r="D338" t="s">
        <v>8</v>
      </c>
      <c r="E338" t="s">
        <v>9</v>
      </c>
      <c r="F338" t="s">
        <v>12</v>
      </c>
      <c r="G338" t="s">
        <v>18</v>
      </c>
      <c r="H338">
        <v>0.14000000000000001</v>
      </c>
      <c r="I338">
        <v>0.21210000000000001</v>
      </c>
      <c r="J338">
        <v>0.86</v>
      </c>
      <c r="K338">
        <v>0</v>
      </c>
      <c r="L338">
        <v>2</v>
      </c>
      <c r="M338">
        <v>22</v>
      </c>
      <c r="N338">
        <v>24</v>
      </c>
    </row>
    <row r="339" spans="1:14" x14ac:dyDescent="0.3">
      <c r="A339">
        <v>948</v>
      </c>
      <c r="B339">
        <v>40586</v>
      </c>
      <c r="C339">
        <v>8.3333333333333329E-2</v>
      </c>
      <c r="D339" t="s">
        <v>8</v>
      </c>
      <c r="E339" t="s">
        <v>9</v>
      </c>
      <c r="F339" t="s">
        <v>12</v>
      </c>
      <c r="G339" t="s">
        <v>18</v>
      </c>
      <c r="H339">
        <v>0.14000000000000001</v>
      </c>
      <c r="I339">
        <v>0.21210000000000001</v>
      </c>
      <c r="J339">
        <v>0.8</v>
      </c>
      <c r="K339">
        <v>0</v>
      </c>
      <c r="L339">
        <v>2</v>
      </c>
      <c r="M339">
        <v>13</v>
      </c>
      <c r="N339">
        <v>15</v>
      </c>
    </row>
    <row r="340" spans="1:14" x14ac:dyDescent="0.3">
      <c r="A340">
        <v>949</v>
      </c>
      <c r="B340">
        <v>40586</v>
      </c>
      <c r="C340">
        <v>0.125</v>
      </c>
      <c r="D340" t="s">
        <v>8</v>
      </c>
      <c r="E340" t="s">
        <v>9</v>
      </c>
      <c r="F340" t="s">
        <v>12</v>
      </c>
      <c r="G340" t="s">
        <v>18</v>
      </c>
      <c r="H340">
        <v>0.12</v>
      </c>
      <c r="I340">
        <v>0.19700000000000001</v>
      </c>
      <c r="J340">
        <v>0.8</v>
      </c>
      <c r="K340">
        <v>0</v>
      </c>
      <c r="L340">
        <v>3</v>
      </c>
      <c r="M340">
        <v>7</v>
      </c>
      <c r="N340">
        <v>10</v>
      </c>
    </row>
    <row r="341" spans="1:14" x14ac:dyDescent="0.3">
      <c r="A341">
        <v>950</v>
      </c>
      <c r="B341">
        <v>40586</v>
      </c>
      <c r="C341">
        <v>0.16666666666666666</v>
      </c>
      <c r="D341" t="s">
        <v>8</v>
      </c>
      <c r="E341" t="s">
        <v>9</v>
      </c>
      <c r="F341" t="s">
        <v>12</v>
      </c>
      <c r="G341" t="s">
        <v>18</v>
      </c>
      <c r="H341">
        <v>0.12</v>
      </c>
      <c r="I341">
        <v>0.16669999999999999</v>
      </c>
      <c r="J341">
        <v>0.74</v>
      </c>
      <c r="K341">
        <v>8.9599999999999999E-2</v>
      </c>
      <c r="L341">
        <v>0</v>
      </c>
      <c r="M341">
        <v>4</v>
      </c>
      <c r="N341">
        <v>4</v>
      </c>
    </row>
    <row r="342" spans="1:14" x14ac:dyDescent="0.3">
      <c r="A342">
        <v>951</v>
      </c>
      <c r="B342">
        <v>40586</v>
      </c>
      <c r="C342">
        <v>0.20833333333333334</v>
      </c>
      <c r="D342" t="s">
        <v>8</v>
      </c>
      <c r="E342" t="s">
        <v>9</v>
      </c>
      <c r="F342" t="s">
        <v>12</v>
      </c>
      <c r="G342" t="s">
        <v>18</v>
      </c>
      <c r="H342">
        <v>0.12</v>
      </c>
      <c r="I342">
        <v>0.16669999999999999</v>
      </c>
      <c r="J342">
        <v>0.74</v>
      </c>
      <c r="K342">
        <v>8.9599999999999999E-2</v>
      </c>
      <c r="L342">
        <v>0</v>
      </c>
      <c r="M342">
        <v>1</v>
      </c>
      <c r="N342">
        <v>1</v>
      </c>
    </row>
    <row r="343" spans="1:14" x14ac:dyDescent="0.3">
      <c r="A343">
        <v>952</v>
      </c>
      <c r="B343">
        <v>40586</v>
      </c>
      <c r="C343">
        <v>0.25</v>
      </c>
      <c r="D343" t="s">
        <v>8</v>
      </c>
      <c r="E343" t="s">
        <v>9</v>
      </c>
      <c r="F343" t="s">
        <v>12</v>
      </c>
      <c r="G343" t="s">
        <v>18</v>
      </c>
      <c r="H343">
        <v>0.12</v>
      </c>
      <c r="I343">
        <v>0.13639999999999999</v>
      </c>
      <c r="J343">
        <v>0.93</v>
      </c>
      <c r="K343">
        <v>0.19400000000000001</v>
      </c>
      <c r="L343">
        <v>1</v>
      </c>
      <c r="M343">
        <v>1</v>
      </c>
      <c r="N343">
        <v>2</v>
      </c>
    </row>
    <row r="344" spans="1:14" x14ac:dyDescent="0.3">
      <c r="A344">
        <v>953</v>
      </c>
      <c r="B344">
        <v>40586</v>
      </c>
      <c r="C344">
        <v>0.29166666666666669</v>
      </c>
      <c r="D344" t="s">
        <v>8</v>
      </c>
      <c r="E344" t="s">
        <v>9</v>
      </c>
      <c r="F344" t="s">
        <v>12</v>
      </c>
      <c r="G344" t="s">
        <v>18</v>
      </c>
      <c r="H344">
        <v>0.12</v>
      </c>
      <c r="I344">
        <v>0.1515</v>
      </c>
      <c r="J344">
        <v>0.8</v>
      </c>
      <c r="K344">
        <v>0.1045</v>
      </c>
      <c r="L344">
        <v>2</v>
      </c>
      <c r="M344">
        <v>9</v>
      </c>
      <c r="N344">
        <v>11</v>
      </c>
    </row>
    <row r="345" spans="1:14" x14ac:dyDescent="0.3">
      <c r="A345">
        <v>954</v>
      </c>
      <c r="B345">
        <v>40586</v>
      </c>
      <c r="C345">
        <v>0.33333333333333331</v>
      </c>
      <c r="D345" t="s">
        <v>8</v>
      </c>
      <c r="E345" t="s">
        <v>9</v>
      </c>
      <c r="F345" t="s">
        <v>12</v>
      </c>
      <c r="G345" t="s">
        <v>18</v>
      </c>
      <c r="H345">
        <v>0.14000000000000001</v>
      </c>
      <c r="I345">
        <v>0.1515</v>
      </c>
      <c r="J345">
        <v>0.86</v>
      </c>
      <c r="K345">
        <v>0.1343</v>
      </c>
      <c r="L345">
        <v>2</v>
      </c>
      <c r="M345">
        <v>28</v>
      </c>
      <c r="N345">
        <v>30</v>
      </c>
    </row>
    <row r="346" spans="1:14" x14ac:dyDescent="0.3">
      <c r="A346">
        <v>955</v>
      </c>
      <c r="B346">
        <v>40586</v>
      </c>
      <c r="C346">
        <v>0.375</v>
      </c>
      <c r="D346" t="s">
        <v>8</v>
      </c>
      <c r="E346" t="s">
        <v>9</v>
      </c>
      <c r="F346" t="s">
        <v>12</v>
      </c>
      <c r="G346" t="s">
        <v>18</v>
      </c>
      <c r="H346">
        <v>0.16</v>
      </c>
      <c r="I346">
        <v>0.18179999999999999</v>
      </c>
      <c r="J346">
        <v>0.64</v>
      </c>
      <c r="K346">
        <v>0.1343</v>
      </c>
      <c r="L346">
        <v>5</v>
      </c>
      <c r="M346">
        <v>38</v>
      </c>
      <c r="N346">
        <v>43</v>
      </c>
    </row>
    <row r="347" spans="1:14" x14ac:dyDescent="0.3">
      <c r="A347">
        <v>956</v>
      </c>
      <c r="B347">
        <v>40586</v>
      </c>
      <c r="C347">
        <v>0.41666666666666669</v>
      </c>
      <c r="D347" t="s">
        <v>8</v>
      </c>
      <c r="E347" t="s">
        <v>9</v>
      </c>
      <c r="F347" t="s">
        <v>12</v>
      </c>
      <c r="G347" t="s">
        <v>18</v>
      </c>
      <c r="H347">
        <v>0.22</v>
      </c>
      <c r="I347">
        <v>0.21210000000000001</v>
      </c>
      <c r="J347">
        <v>0.41</v>
      </c>
      <c r="K347">
        <v>0.25369999999999998</v>
      </c>
      <c r="L347">
        <v>13</v>
      </c>
      <c r="M347">
        <v>71</v>
      </c>
      <c r="N347">
        <v>84</v>
      </c>
    </row>
    <row r="348" spans="1:14" x14ac:dyDescent="0.3">
      <c r="A348">
        <v>957</v>
      </c>
      <c r="B348">
        <v>40586</v>
      </c>
      <c r="C348">
        <v>0.45833333333333331</v>
      </c>
      <c r="D348" t="s">
        <v>8</v>
      </c>
      <c r="E348" t="s">
        <v>9</v>
      </c>
      <c r="F348" t="s">
        <v>12</v>
      </c>
      <c r="G348" t="s">
        <v>18</v>
      </c>
      <c r="H348">
        <v>0.3</v>
      </c>
      <c r="I348">
        <v>0.2727</v>
      </c>
      <c r="J348">
        <v>0.28000000000000003</v>
      </c>
      <c r="K348">
        <v>0.32840000000000003</v>
      </c>
      <c r="L348">
        <v>30</v>
      </c>
      <c r="M348">
        <v>84</v>
      </c>
      <c r="N348">
        <v>114</v>
      </c>
    </row>
    <row r="349" spans="1:14" x14ac:dyDescent="0.3">
      <c r="A349">
        <v>958</v>
      </c>
      <c r="B349">
        <v>40586</v>
      </c>
      <c r="C349">
        <v>0.5</v>
      </c>
      <c r="D349" t="s">
        <v>8</v>
      </c>
      <c r="E349" t="s">
        <v>9</v>
      </c>
      <c r="F349" t="s">
        <v>12</v>
      </c>
      <c r="G349" t="s">
        <v>18</v>
      </c>
      <c r="H349">
        <v>0.3</v>
      </c>
      <c r="I349">
        <v>0.2727</v>
      </c>
      <c r="J349">
        <v>0.39</v>
      </c>
      <c r="K349">
        <v>0.4627</v>
      </c>
      <c r="L349">
        <v>27</v>
      </c>
      <c r="M349">
        <v>93</v>
      </c>
      <c r="N349">
        <v>120</v>
      </c>
    </row>
    <row r="350" spans="1:14" x14ac:dyDescent="0.3">
      <c r="A350">
        <v>959</v>
      </c>
      <c r="B350">
        <v>40586</v>
      </c>
      <c r="C350">
        <v>0.54166666666666663</v>
      </c>
      <c r="D350" t="s">
        <v>8</v>
      </c>
      <c r="E350" t="s">
        <v>9</v>
      </c>
      <c r="F350" t="s">
        <v>12</v>
      </c>
      <c r="G350" t="s">
        <v>18</v>
      </c>
      <c r="H350">
        <v>0.3</v>
      </c>
      <c r="I350">
        <v>0.2727</v>
      </c>
      <c r="J350">
        <v>0.39</v>
      </c>
      <c r="K350">
        <v>0.41789999999999999</v>
      </c>
      <c r="L350">
        <v>32</v>
      </c>
      <c r="M350">
        <v>103</v>
      </c>
      <c r="N350">
        <v>135</v>
      </c>
    </row>
    <row r="351" spans="1:14" x14ac:dyDescent="0.3">
      <c r="A351">
        <v>960</v>
      </c>
      <c r="B351">
        <v>40586</v>
      </c>
      <c r="C351">
        <v>0.58333333333333337</v>
      </c>
      <c r="D351" t="s">
        <v>8</v>
      </c>
      <c r="E351" t="s">
        <v>9</v>
      </c>
      <c r="F351" t="s">
        <v>12</v>
      </c>
      <c r="G351" t="s">
        <v>18</v>
      </c>
      <c r="H351">
        <v>0.34</v>
      </c>
      <c r="I351">
        <v>0.31819999999999998</v>
      </c>
      <c r="J351">
        <v>0.31</v>
      </c>
      <c r="K351">
        <v>0.28360000000000002</v>
      </c>
      <c r="L351">
        <v>30</v>
      </c>
      <c r="M351">
        <v>90</v>
      </c>
      <c r="N351">
        <v>120</v>
      </c>
    </row>
    <row r="352" spans="1:14" x14ac:dyDescent="0.3">
      <c r="A352">
        <v>961</v>
      </c>
      <c r="B352">
        <v>40586</v>
      </c>
      <c r="C352">
        <v>0.625</v>
      </c>
      <c r="D352" t="s">
        <v>8</v>
      </c>
      <c r="E352" t="s">
        <v>9</v>
      </c>
      <c r="F352" t="s">
        <v>12</v>
      </c>
      <c r="G352" t="s">
        <v>18</v>
      </c>
      <c r="H352">
        <v>0.34</v>
      </c>
      <c r="I352">
        <v>0.30299999999999999</v>
      </c>
      <c r="J352">
        <v>0.28999999999999998</v>
      </c>
      <c r="K352">
        <v>0.41789999999999999</v>
      </c>
      <c r="L352">
        <v>47</v>
      </c>
      <c r="M352">
        <v>127</v>
      </c>
      <c r="N352">
        <v>174</v>
      </c>
    </row>
    <row r="353" spans="1:14" x14ac:dyDescent="0.3">
      <c r="A353">
        <v>962</v>
      </c>
      <c r="B353">
        <v>40586</v>
      </c>
      <c r="C353">
        <v>0.66666666666666663</v>
      </c>
      <c r="D353" t="s">
        <v>8</v>
      </c>
      <c r="E353" t="s">
        <v>9</v>
      </c>
      <c r="F353" t="s">
        <v>12</v>
      </c>
      <c r="G353" t="s">
        <v>18</v>
      </c>
      <c r="H353">
        <v>0.34</v>
      </c>
      <c r="I353">
        <v>0.30299999999999999</v>
      </c>
      <c r="J353">
        <v>0.28999999999999998</v>
      </c>
      <c r="K353">
        <v>0.41789999999999999</v>
      </c>
      <c r="L353">
        <v>42</v>
      </c>
      <c r="M353">
        <v>103</v>
      </c>
      <c r="N353">
        <v>145</v>
      </c>
    </row>
    <row r="354" spans="1:14" x14ac:dyDescent="0.3">
      <c r="A354">
        <v>963</v>
      </c>
      <c r="B354">
        <v>40586</v>
      </c>
      <c r="C354">
        <v>0.70833333333333337</v>
      </c>
      <c r="D354" t="s">
        <v>8</v>
      </c>
      <c r="E354" t="s">
        <v>9</v>
      </c>
      <c r="F354" t="s">
        <v>12</v>
      </c>
      <c r="G354" t="s">
        <v>18</v>
      </c>
      <c r="H354">
        <v>0.32</v>
      </c>
      <c r="I354">
        <v>0.28789999999999999</v>
      </c>
      <c r="J354">
        <v>0.31</v>
      </c>
      <c r="K354">
        <v>0.52239999999999998</v>
      </c>
      <c r="L354">
        <v>24</v>
      </c>
      <c r="M354">
        <v>113</v>
      </c>
      <c r="N354">
        <v>137</v>
      </c>
    </row>
    <row r="355" spans="1:14" x14ac:dyDescent="0.3">
      <c r="A355">
        <v>964</v>
      </c>
      <c r="B355">
        <v>40586</v>
      </c>
      <c r="C355">
        <v>0.75</v>
      </c>
      <c r="D355" t="s">
        <v>8</v>
      </c>
      <c r="E355" t="s">
        <v>9</v>
      </c>
      <c r="F355" t="s">
        <v>12</v>
      </c>
      <c r="G355" t="s">
        <v>18</v>
      </c>
      <c r="H355">
        <v>0.28000000000000003</v>
      </c>
      <c r="I355">
        <v>0.2576</v>
      </c>
      <c r="J355">
        <v>0.38</v>
      </c>
      <c r="K355">
        <v>0.32840000000000003</v>
      </c>
      <c r="L355">
        <v>4</v>
      </c>
      <c r="M355">
        <v>60</v>
      </c>
      <c r="N355">
        <v>64</v>
      </c>
    </row>
    <row r="356" spans="1:14" x14ac:dyDescent="0.3">
      <c r="A356">
        <v>965</v>
      </c>
      <c r="B356">
        <v>40586</v>
      </c>
      <c r="C356">
        <v>0.79166666666666663</v>
      </c>
      <c r="D356" t="s">
        <v>8</v>
      </c>
      <c r="E356" t="s">
        <v>9</v>
      </c>
      <c r="F356" t="s">
        <v>12</v>
      </c>
      <c r="G356" t="s">
        <v>18</v>
      </c>
      <c r="H356">
        <v>0.28000000000000003</v>
      </c>
      <c r="I356">
        <v>0.2727</v>
      </c>
      <c r="J356">
        <v>0.38</v>
      </c>
      <c r="K356">
        <v>0.16420000000000001</v>
      </c>
      <c r="L356">
        <v>2</v>
      </c>
      <c r="M356">
        <v>39</v>
      </c>
      <c r="N356">
        <v>41</v>
      </c>
    </row>
    <row r="357" spans="1:14" x14ac:dyDescent="0.3">
      <c r="A357">
        <v>966</v>
      </c>
      <c r="B357">
        <v>40586</v>
      </c>
      <c r="C357">
        <v>0.83333333333333337</v>
      </c>
      <c r="D357" t="s">
        <v>8</v>
      </c>
      <c r="E357" t="s">
        <v>9</v>
      </c>
      <c r="F357" t="s">
        <v>12</v>
      </c>
      <c r="G357" t="s">
        <v>18</v>
      </c>
      <c r="H357">
        <v>0.26</v>
      </c>
      <c r="I357">
        <v>0.2576</v>
      </c>
      <c r="J357">
        <v>0.41</v>
      </c>
      <c r="K357">
        <v>0.22389999999999999</v>
      </c>
      <c r="L357">
        <v>1</v>
      </c>
      <c r="M357">
        <v>39</v>
      </c>
      <c r="N357">
        <v>40</v>
      </c>
    </row>
    <row r="358" spans="1:14" x14ac:dyDescent="0.3">
      <c r="A358">
        <v>967</v>
      </c>
      <c r="B358">
        <v>40586</v>
      </c>
      <c r="C358">
        <v>0.875</v>
      </c>
      <c r="D358" t="s">
        <v>8</v>
      </c>
      <c r="E358" t="s">
        <v>9</v>
      </c>
      <c r="F358" t="s">
        <v>12</v>
      </c>
      <c r="G358" t="s">
        <v>18</v>
      </c>
      <c r="H358">
        <v>0.26</v>
      </c>
      <c r="I358">
        <v>0.30299999999999999</v>
      </c>
      <c r="J358">
        <v>0.41</v>
      </c>
      <c r="K358">
        <v>0</v>
      </c>
      <c r="L358">
        <v>9</v>
      </c>
      <c r="M358">
        <v>42</v>
      </c>
      <c r="N358">
        <v>51</v>
      </c>
    </row>
    <row r="359" spans="1:14" x14ac:dyDescent="0.3">
      <c r="A359">
        <v>968</v>
      </c>
      <c r="B359">
        <v>40586</v>
      </c>
      <c r="C359">
        <v>0.91666666666666663</v>
      </c>
      <c r="D359" t="s">
        <v>8</v>
      </c>
      <c r="E359" t="s">
        <v>9</v>
      </c>
      <c r="F359" t="s">
        <v>12</v>
      </c>
      <c r="G359" t="s">
        <v>18</v>
      </c>
      <c r="H359">
        <v>0.24</v>
      </c>
      <c r="I359">
        <v>0.2576</v>
      </c>
      <c r="J359">
        <v>0.44</v>
      </c>
      <c r="K359">
        <v>8.9599999999999999E-2</v>
      </c>
      <c r="L359">
        <v>6</v>
      </c>
      <c r="M359">
        <v>39</v>
      </c>
      <c r="N359">
        <v>45</v>
      </c>
    </row>
    <row r="360" spans="1:14" x14ac:dyDescent="0.3">
      <c r="A360">
        <v>969</v>
      </c>
      <c r="B360">
        <v>40586</v>
      </c>
      <c r="C360">
        <v>0.95833333333333337</v>
      </c>
      <c r="D360" t="s">
        <v>8</v>
      </c>
      <c r="E360" t="s">
        <v>9</v>
      </c>
      <c r="F360" t="s">
        <v>12</v>
      </c>
      <c r="G360" t="s">
        <v>18</v>
      </c>
      <c r="H360">
        <v>0.22</v>
      </c>
      <c r="I360">
        <v>0.2273</v>
      </c>
      <c r="J360">
        <v>0.51</v>
      </c>
      <c r="K360">
        <v>0.1343</v>
      </c>
      <c r="L360">
        <v>1</v>
      </c>
      <c r="M360">
        <v>31</v>
      </c>
      <c r="N360">
        <v>32</v>
      </c>
    </row>
    <row r="361" spans="1:14" x14ac:dyDescent="0.3">
      <c r="A361">
        <v>970</v>
      </c>
      <c r="B361">
        <v>40587</v>
      </c>
      <c r="C361">
        <v>0</v>
      </c>
      <c r="D361" t="s">
        <v>8</v>
      </c>
      <c r="E361" t="s">
        <v>9</v>
      </c>
      <c r="F361" t="s">
        <v>13</v>
      </c>
      <c r="G361" t="s">
        <v>18</v>
      </c>
      <c r="H361">
        <v>0.2</v>
      </c>
      <c r="I361">
        <v>0.2273</v>
      </c>
      <c r="J361">
        <v>0.64</v>
      </c>
      <c r="K361">
        <v>0.1045</v>
      </c>
      <c r="L361">
        <v>5</v>
      </c>
      <c r="M361">
        <v>34</v>
      </c>
      <c r="N361">
        <v>39</v>
      </c>
    </row>
    <row r="362" spans="1:14" x14ac:dyDescent="0.3">
      <c r="A362">
        <v>971</v>
      </c>
      <c r="B362">
        <v>40587</v>
      </c>
      <c r="C362">
        <v>4.1666666666666664E-2</v>
      </c>
      <c r="D362" t="s">
        <v>8</v>
      </c>
      <c r="E362" t="s">
        <v>9</v>
      </c>
      <c r="F362" t="s">
        <v>13</v>
      </c>
      <c r="G362" t="s">
        <v>18</v>
      </c>
      <c r="H362">
        <v>0.2</v>
      </c>
      <c r="I362">
        <v>0.2273</v>
      </c>
      <c r="J362">
        <v>0.59</v>
      </c>
      <c r="K362">
        <v>8.9599999999999999E-2</v>
      </c>
      <c r="L362">
        <v>1</v>
      </c>
      <c r="M362">
        <v>23</v>
      </c>
      <c r="N362">
        <v>24</v>
      </c>
    </row>
    <row r="363" spans="1:14" x14ac:dyDescent="0.3">
      <c r="A363">
        <v>972</v>
      </c>
      <c r="B363">
        <v>40587</v>
      </c>
      <c r="C363">
        <v>8.3333333333333329E-2</v>
      </c>
      <c r="D363" t="s">
        <v>8</v>
      </c>
      <c r="E363" t="s">
        <v>9</v>
      </c>
      <c r="F363" t="s">
        <v>13</v>
      </c>
      <c r="G363" t="s">
        <v>19</v>
      </c>
      <c r="H363">
        <v>0.2</v>
      </c>
      <c r="I363">
        <v>0.2273</v>
      </c>
      <c r="J363">
        <v>0.75</v>
      </c>
      <c r="K363">
        <v>8.9599999999999999E-2</v>
      </c>
      <c r="L363">
        <v>1</v>
      </c>
      <c r="M363">
        <v>19</v>
      </c>
      <c r="N363">
        <v>20</v>
      </c>
    </row>
    <row r="364" spans="1:14" x14ac:dyDescent="0.3">
      <c r="A364">
        <v>973</v>
      </c>
      <c r="B364">
        <v>40587</v>
      </c>
      <c r="C364">
        <v>0.125</v>
      </c>
      <c r="D364" t="s">
        <v>8</v>
      </c>
      <c r="E364" t="s">
        <v>9</v>
      </c>
      <c r="F364" t="s">
        <v>13</v>
      </c>
      <c r="G364" t="s">
        <v>19</v>
      </c>
      <c r="H364">
        <v>0.2</v>
      </c>
      <c r="I364">
        <v>0.2273</v>
      </c>
      <c r="J364">
        <v>0.69</v>
      </c>
      <c r="K364">
        <v>0.1045</v>
      </c>
      <c r="L364">
        <v>4</v>
      </c>
      <c r="M364">
        <v>8</v>
      </c>
      <c r="N364">
        <v>12</v>
      </c>
    </row>
    <row r="365" spans="1:14" x14ac:dyDescent="0.3">
      <c r="A365">
        <v>974</v>
      </c>
      <c r="B365">
        <v>40587</v>
      </c>
      <c r="C365">
        <v>0.16666666666666666</v>
      </c>
      <c r="D365" t="s">
        <v>8</v>
      </c>
      <c r="E365" t="s">
        <v>9</v>
      </c>
      <c r="F365" t="s">
        <v>13</v>
      </c>
      <c r="G365" t="s">
        <v>19</v>
      </c>
      <c r="H365">
        <v>0.2</v>
      </c>
      <c r="I365">
        <v>0.21210000000000001</v>
      </c>
      <c r="J365">
        <v>0.69</v>
      </c>
      <c r="K365">
        <v>0.16420000000000001</v>
      </c>
      <c r="L365">
        <v>0</v>
      </c>
      <c r="M365">
        <v>2</v>
      </c>
      <c r="N365">
        <v>2</v>
      </c>
    </row>
    <row r="366" spans="1:14" x14ac:dyDescent="0.3">
      <c r="A366">
        <v>975</v>
      </c>
      <c r="B366">
        <v>40587</v>
      </c>
      <c r="C366">
        <v>0.25</v>
      </c>
      <c r="D366" t="s">
        <v>8</v>
      </c>
      <c r="E366" t="s">
        <v>9</v>
      </c>
      <c r="F366" t="s">
        <v>13</v>
      </c>
      <c r="G366" t="s">
        <v>19</v>
      </c>
      <c r="H366">
        <v>0.2</v>
      </c>
      <c r="I366">
        <v>0.21210000000000001</v>
      </c>
      <c r="J366">
        <v>0.69</v>
      </c>
      <c r="K366">
        <v>0.1343</v>
      </c>
      <c r="L366">
        <v>2</v>
      </c>
      <c r="M366">
        <v>3</v>
      </c>
      <c r="N366">
        <v>5</v>
      </c>
    </row>
    <row r="367" spans="1:14" x14ac:dyDescent="0.3">
      <c r="A367">
        <v>976</v>
      </c>
      <c r="B367">
        <v>40587</v>
      </c>
      <c r="C367">
        <v>0.29166666666666669</v>
      </c>
      <c r="D367" t="s">
        <v>8</v>
      </c>
      <c r="E367" t="s">
        <v>9</v>
      </c>
      <c r="F367" t="s">
        <v>13</v>
      </c>
      <c r="G367" t="s">
        <v>19</v>
      </c>
      <c r="H367">
        <v>0.22</v>
      </c>
      <c r="I367">
        <v>0.2727</v>
      </c>
      <c r="J367">
        <v>0.55000000000000004</v>
      </c>
      <c r="K367">
        <v>0</v>
      </c>
      <c r="L367">
        <v>0</v>
      </c>
      <c r="M367">
        <v>3</v>
      </c>
      <c r="N367">
        <v>3</v>
      </c>
    </row>
    <row r="368" spans="1:14" x14ac:dyDescent="0.3">
      <c r="A368">
        <v>977</v>
      </c>
      <c r="B368">
        <v>40587</v>
      </c>
      <c r="C368">
        <v>0.33333333333333331</v>
      </c>
      <c r="D368" t="s">
        <v>8</v>
      </c>
      <c r="E368" t="s">
        <v>9</v>
      </c>
      <c r="F368" t="s">
        <v>13</v>
      </c>
      <c r="G368" t="s">
        <v>19</v>
      </c>
      <c r="H368">
        <v>0.22</v>
      </c>
      <c r="I368">
        <v>0.2273</v>
      </c>
      <c r="J368">
        <v>0.64</v>
      </c>
      <c r="K368">
        <v>0.19400000000000001</v>
      </c>
      <c r="L368">
        <v>1</v>
      </c>
      <c r="M368">
        <v>11</v>
      </c>
      <c r="N368">
        <v>12</v>
      </c>
    </row>
    <row r="369" spans="1:14" x14ac:dyDescent="0.3">
      <c r="A369">
        <v>978</v>
      </c>
      <c r="B369">
        <v>40587</v>
      </c>
      <c r="C369">
        <v>0.375</v>
      </c>
      <c r="D369" t="s">
        <v>8</v>
      </c>
      <c r="E369" t="s">
        <v>9</v>
      </c>
      <c r="F369" t="s">
        <v>13</v>
      </c>
      <c r="G369" t="s">
        <v>19</v>
      </c>
      <c r="H369">
        <v>0.24</v>
      </c>
      <c r="I369">
        <v>0.2273</v>
      </c>
      <c r="J369">
        <v>0.6</v>
      </c>
      <c r="K369">
        <v>0.22389999999999999</v>
      </c>
      <c r="L369">
        <v>12</v>
      </c>
      <c r="M369">
        <v>35</v>
      </c>
      <c r="N369">
        <v>47</v>
      </c>
    </row>
    <row r="370" spans="1:14" x14ac:dyDescent="0.3">
      <c r="A370">
        <v>979</v>
      </c>
      <c r="B370">
        <v>40587</v>
      </c>
      <c r="C370">
        <v>0.41666666666666669</v>
      </c>
      <c r="D370" t="s">
        <v>8</v>
      </c>
      <c r="E370" t="s">
        <v>9</v>
      </c>
      <c r="F370" t="s">
        <v>13</v>
      </c>
      <c r="G370" t="s">
        <v>18</v>
      </c>
      <c r="H370">
        <v>0.3</v>
      </c>
      <c r="I370">
        <v>0.2727</v>
      </c>
      <c r="J370">
        <v>0.45</v>
      </c>
      <c r="K370">
        <v>0.32840000000000003</v>
      </c>
      <c r="L370">
        <v>19</v>
      </c>
      <c r="M370">
        <v>86</v>
      </c>
      <c r="N370">
        <v>105</v>
      </c>
    </row>
    <row r="371" spans="1:14" x14ac:dyDescent="0.3">
      <c r="A371">
        <v>980</v>
      </c>
      <c r="B371">
        <v>40587</v>
      </c>
      <c r="C371">
        <v>0.45833333333333331</v>
      </c>
      <c r="D371" t="s">
        <v>8</v>
      </c>
      <c r="E371" t="s">
        <v>9</v>
      </c>
      <c r="F371" t="s">
        <v>13</v>
      </c>
      <c r="G371" t="s">
        <v>18</v>
      </c>
      <c r="H371">
        <v>0.32</v>
      </c>
      <c r="I371">
        <v>0.28789999999999999</v>
      </c>
      <c r="J371">
        <v>0.39</v>
      </c>
      <c r="K371">
        <v>0.44779999999999998</v>
      </c>
      <c r="L371">
        <v>26</v>
      </c>
      <c r="M371">
        <v>86</v>
      </c>
      <c r="N371">
        <v>112</v>
      </c>
    </row>
    <row r="372" spans="1:14" x14ac:dyDescent="0.3">
      <c r="A372">
        <v>981</v>
      </c>
      <c r="B372">
        <v>40587</v>
      </c>
      <c r="C372">
        <v>0.5</v>
      </c>
      <c r="D372" t="s">
        <v>8</v>
      </c>
      <c r="E372" t="s">
        <v>9</v>
      </c>
      <c r="F372" t="s">
        <v>13</v>
      </c>
      <c r="G372" t="s">
        <v>18</v>
      </c>
      <c r="H372">
        <v>0.36</v>
      </c>
      <c r="I372">
        <v>0.31819999999999998</v>
      </c>
      <c r="J372">
        <v>0.32</v>
      </c>
      <c r="K372">
        <v>0.4627</v>
      </c>
      <c r="L372">
        <v>58</v>
      </c>
      <c r="M372">
        <v>94</v>
      </c>
      <c r="N372">
        <v>152</v>
      </c>
    </row>
    <row r="373" spans="1:14" x14ac:dyDescent="0.3">
      <c r="A373">
        <v>982</v>
      </c>
      <c r="B373">
        <v>40587</v>
      </c>
      <c r="C373">
        <v>0.54166666666666663</v>
      </c>
      <c r="D373" t="s">
        <v>8</v>
      </c>
      <c r="E373" t="s">
        <v>9</v>
      </c>
      <c r="F373" t="s">
        <v>13</v>
      </c>
      <c r="G373" t="s">
        <v>18</v>
      </c>
      <c r="H373">
        <v>0.38</v>
      </c>
      <c r="I373">
        <v>0.39389999999999997</v>
      </c>
      <c r="J373">
        <v>0.28999999999999998</v>
      </c>
      <c r="K373">
        <v>0.35820000000000002</v>
      </c>
      <c r="L373">
        <v>62</v>
      </c>
      <c r="M373">
        <v>92</v>
      </c>
      <c r="N373">
        <v>154</v>
      </c>
    </row>
    <row r="374" spans="1:14" x14ac:dyDescent="0.3">
      <c r="A374">
        <v>983</v>
      </c>
      <c r="B374">
        <v>40587</v>
      </c>
      <c r="C374">
        <v>0.58333333333333337</v>
      </c>
      <c r="D374" t="s">
        <v>8</v>
      </c>
      <c r="E374" t="s">
        <v>9</v>
      </c>
      <c r="F374" t="s">
        <v>13</v>
      </c>
      <c r="G374" t="s">
        <v>19</v>
      </c>
      <c r="H374">
        <v>0.4</v>
      </c>
      <c r="I374">
        <v>0.40910000000000002</v>
      </c>
      <c r="J374">
        <v>0.3</v>
      </c>
      <c r="K374">
        <v>0.41789999999999999</v>
      </c>
      <c r="L374">
        <v>51</v>
      </c>
      <c r="M374">
        <v>110</v>
      </c>
      <c r="N374">
        <v>161</v>
      </c>
    </row>
    <row r="375" spans="1:14" x14ac:dyDescent="0.3">
      <c r="A375">
        <v>984</v>
      </c>
      <c r="B375">
        <v>40587</v>
      </c>
      <c r="C375">
        <v>0.625</v>
      </c>
      <c r="D375" t="s">
        <v>8</v>
      </c>
      <c r="E375" t="s">
        <v>9</v>
      </c>
      <c r="F375" t="s">
        <v>13</v>
      </c>
      <c r="G375" t="s">
        <v>19</v>
      </c>
      <c r="H375">
        <v>0.4</v>
      </c>
      <c r="I375">
        <v>0.40910000000000002</v>
      </c>
      <c r="J375">
        <v>0.3</v>
      </c>
      <c r="K375">
        <v>0.29849999999999999</v>
      </c>
      <c r="L375">
        <v>40</v>
      </c>
      <c r="M375">
        <v>122</v>
      </c>
      <c r="N375">
        <v>162</v>
      </c>
    </row>
    <row r="376" spans="1:14" x14ac:dyDescent="0.3">
      <c r="A376">
        <v>985</v>
      </c>
      <c r="B376">
        <v>40587</v>
      </c>
      <c r="C376">
        <v>0.66666666666666663</v>
      </c>
      <c r="D376" t="s">
        <v>8</v>
      </c>
      <c r="E376" t="s">
        <v>9</v>
      </c>
      <c r="F376" t="s">
        <v>13</v>
      </c>
      <c r="G376" t="s">
        <v>19</v>
      </c>
      <c r="H376">
        <v>0.42</v>
      </c>
      <c r="I376">
        <v>0.42420000000000002</v>
      </c>
      <c r="J376">
        <v>0.28000000000000003</v>
      </c>
      <c r="K376">
        <v>0.32840000000000003</v>
      </c>
      <c r="L376">
        <v>28</v>
      </c>
      <c r="M376">
        <v>106</v>
      </c>
      <c r="N376">
        <v>134</v>
      </c>
    </row>
    <row r="377" spans="1:14" x14ac:dyDescent="0.3">
      <c r="A377">
        <v>986</v>
      </c>
      <c r="B377">
        <v>40587</v>
      </c>
      <c r="C377">
        <v>0.70833333333333337</v>
      </c>
      <c r="D377" t="s">
        <v>8</v>
      </c>
      <c r="E377" t="s">
        <v>9</v>
      </c>
      <c r="F377" t="s">
        <v>13</v>
      </c>
      <c r="G377" t="s">
        <v>18</v>
      </c>
      <c r="H377">
        <v>0.42</v>
      </c>
      <c r="I377">
        <v>0.42420000000000002</v>
      </c>
      <c r="J377">
        <v>0.28000000000000003</v>
      </c>
      <c r="K377">
        <v>0.32840000000000003</v>
      </c>
      <c r="L377">
        <v>30</v>
      </c>
      <c r="M377">
        <v>95</v>
      </c>
      <c r="N377">
        <v>125</v>
      </c>
    </row>
    <row r="378" spans="1:14" x14ac:dyDescent="0.3">
      <c r="A378">
        <v>987</v>
      </c>
      <c r="B378">
        <v>40587</v>
      </c>
      <c r="C378">
        <v>0.75</v>
      </c>
      <c r="D378" t="s">
        <v>8</v>
      </c>
      <c r="E378" t="s">
        <v>9</v>
      </c>
      <c r="F378" t="s">
        <v>13</v>
      </c>
      <c r="G378" t="s">
        <v>18</v>
      </c>
      <c r="H378">
        <v>0.4</v>
      </c>
      <c r="I378">
        <v>0.40910000000000002</v>
      </c>
      <c r="J378">
        <v>0.32</v>
      </c>
      <c r="K378">
        <v>0.29849999999999999</v>
      </c>
      <c r="L378">
        <v>17</v>
      </c>
      <c r="M378">
        <v>78</v>
      </c>
      <c r="N378">
        <v>95</v>
      </c>
    </row>
    <row r="379" spans="1:14" x14ac:dyDescent="0.3">
      <c r="A379">
        <v>988</v>
      </c>
      <c r="B379">
        <v>40587</v>
      </c>
      <c r="C379">
        <v>0.79166666666666663</v>
      </c>
      <c r="D379" t="s">
        <v>8</v>
      </c>
      <c r="E379" t="s">
        <v>9</v>
      </c>
      <c r="F379" t="s">
        <v>13</v>
      </c>
      <c r="G379" t="s">
        <v>18</v>
      </c>
      <c r="H379">
        <v>0.4</v>
      </c>
      <c r="I379">
        <v>0.40910000000000002</v>
      </c>
      <c r="J379">
        <v>0.35</v>
      </c>
      <c r="K379">
        <v>0.28360000000000002</v>
      </c>
      <c r="L379">
        <v>11</v>
      </c>
      <c r="M379">
        <v>50</v>
      </c>
      <c r="N379">
        <v>61</v>
      </c>
    </row>
    <row r="380" spans="1:14" x14ac:dyDescent="0.3">
      <c r="A380">
        <v>989</v>
      </c>
      <c r="B380">
        <v>40587</v>
      </c>
      <c r="C380">
        <v>0.83333333333333337</v>
      </c>
      <c r="D380" t="s">
        <v>8</v>
      </c>
      <c r="E380" t="s">
        <v>9</v>
      </c>
      <c r="F380" t="s">
        <v>13</v>
      </c>
      <c r="G380" t="s">
        <v>18</v>
      </c>
      <c r="H380">
        <v>0.4</v>
      </c>
      <c r="I380">
        <v>0.40910000000000002</v>
      </c>
      <c r="J380">
        <v>0.35</v>
      </c>
      <c r="K380">
        <v>0.32840000000000003</v>
      </c>
      <c r="L380">
        <v>15</v>
      </c>
      <c r="M380">
        <v>32</v>
      </c>
      <c r="N380">
        <v>47</v>
      </c>
    </row>
    <row r="381" spans="1:14" x14ac:dyDescent="0.3">
      <c r="A381">
        <v>990</v>
      </c>
      <c r="B381">
        <v>40587</v>
      </c>
      <c r="C381">
        <v>0.875</v>
      </c>
      <c r="D381" t="s">
        <v>8</v>
      </c>
      <c r="E381" t="s">
        <v>9</v>
      </c>
      <c r="F381" t="s">
        <v>13</v>
      </c>
      <c r="G381" t="s">
        <v>18</v>
      </c>
      <c r="H381">
        <v>0.4</v>
      </c>
      <c r="I381">
        <v>0.40910000000000002</v>
      </c>
      <c r="J381">
        <v>0.35</v>
      </c>
      <c r="K381">
        <v>0.35820000000000002</v>
      </c>
      <c r="L381">
        <v>6</v>
      </c>
      <c r="M381">
        <v>45</v>
      </c>
      <c r="N381">
        <v>51</v>
      </c>
    </row>
    <row r="382" spans="1:14" x14ac:dyDescent="0.3">
      <c r="A382">
        <v>991</v>
      </c>
      <c r="B382">
        <v>40587</v>
      </c>
      <c r="C382">
        <v>0.91666666666666663</v>
      </c>
      <c r="D382" t="s">
        <v>8</v>
      </c>
      <c r="E382" t="s">
        <v>9</v>
      </c>
      <c r="F382" t="s">
        <v>13</v>
      </c>
      <c r="G382" t="s">
        <v>18</v>
      </c>
      <c r="H382">
        <v>0.4</v>
      </c>
      <c r="I382">
        <v>0.40910000000000002</v>
      </c>
      <c r="J382">
        <v>0.35</v>
      </c>
      <c r="K382">
        <v>0.29849999999999999</v>
      </c>
      <c r="L382">
        <v>5</v>
      </c>
      <c r="M382">
        <v>31</v>
      </c>
      <c r="N382">
        <v>36</v>
      </c>
    </row>
    <row r="383" spans="1:14" x14ac:dyDescent="0.3">
      <c r="A383">
        <v>992</v>
      </c>
      <c r="B383">
        <v>40587</v>
      </c>
      <c r="C383">
        <v>0.95833333333333337</v>
      </c>
      <c r="D383" t="s">
        <v>8</v>
      </c>
      <c r="E383" t="s">
        <v>9</v>
      </c>
      <c r="F383" t="s">
        <v>13</v>
      </c>
      <c r="G383" t="s">
        <v>18</v>
      </c>
      <c r="H383">
        <v>0.4</v>
      </c>
      <c r="I383">
        <v>0.40910000000000002</v>
      </c>
      <c r="J383">
        <v>0.35</v>
      </c>
      <c r="K383">
        <v>0.35820000000000002</v>
      </c>
      <c r="L383">
        <v>3</v>
      </c>
      <c r="M383">
        <v>27</v>
      </c>
      <c r="N383">
        <v>30</v>
      </c>
    </row>
    <row r="384" spans="1:14" x14ac:dyDescent="0.3">
      <c r="A384">
        <v>993</v>
      </c>
      <c r="B384">
        <v>40588</v>
      </c>
      <c r="C384">
        <v>0</v>
      </c>
      <c r="D384" t="s">
        <v>8</v>
      </c>
      <c r="E384" t="s">
        <v>9</v>
      </c>
      <c r="F384" t="s">
        <v>14</v>
      </c>
      <c r="G384" t="s">
        <v>18</v>
      </c>
      <c r="H384">
        <v>0.38</v>
      </c>
      <c r="I384">
        <v>0.39389999999999997</v>
      </c>
      <c r="J384">
        <v>0.37</v>
      </c>
      <c r="K384">
        <v>0.35820000000000002</v>
      </c>
      <c r="L384">
        <v>3</v>
      </c>
      <c r="M384">
        <v>8</v>
      </c>
      <c r="N384">
        <v>11</v>
      </c>
    </row>
    <row r="385" spans="1:14" x14ac:dyDescent="0.3">
      <c r="A385">
        <v>994</v>
      </c>
      <c r="B385">
        <v>40588</v>
      </c>
      <c r="C385">
        <v>4.1666666666666664E-2</v>
      </c>
      <c r="D385" t="s">
        <v>8</v>
      </c>
      <c r="E385" t="s">
        <v>9</v>
      </c>
      <c r="F385" t="s">
        <v>14</v>
      </c>
      <c r="G385" t="s">
        <v>18</v>
      </c>
      <c r="H385">
        <v>0.38</v>
      </c>
      <c r="I385">
        <v>0.39389999999999997</v>
      </c>
      <c r="J385">
        <v>0.37</v>
      </c>
      <c r="K385">
        <v>0.35820000000000002</v>
      </c>
      <c r="L385">
        <v>1</v>
      </c>
      <c r="M385">
        <v>6</v>
      </c>
      <c r="N385">
        <v>7</v>
      </c>
    </row>
    <row r="386" spans="1:14" x14ac:dyDescent="0.3">
      <c r="A386">
        <v>995</v>
      </c>
      <c r="B386">
        <v>40588</v>
      </c>
      <c r="C386">
        <v>8.3333333333333329E-2</v>
      </c>
      <c r="D386" t="s">
        <v>8</v>
      </c>
      <c r="E386" t="s">
        <v>9</v>
      </c>
      <c r="F386" t="s">
        <v>14</v>
      </c>
      <c r="G386" t="s">
        <v>18</v>
      </c>
      <c r="H386">
        <v>0.36</v>
      </c>
      <c r="I386">
        <v>0.33329999999999999</v>
      </c>
      <c r="J386">
        <v>0.4</v>
      </c>
      <c r="K386">
        <v>0.29849999999999999</v>
      </c>
      <c r="L386">
        <v>0</v>
      </c>
      <c r="M386">
        <v>2</v>
      </c>
      <c r="N386">
        <v>2</v>
      </c>
    </row>
    <row r="387" spans="1:14" x14ac:dyDescent="0.3">
      <c r="A387">
        <v>996</v>
      </c>
      <c r="B387">
        <v>40588</v>
      </c>
      <c r="C387">
        <v>0.125</v>
      </c>
      <c r="D387" t="s">
        <v>8</v>
      </c>
      <c r="E387" t="s">
        <v>9</v>
      </c>
      <c r="F387" t="s">
        <v>14</v>
      </c>
      <c r="G387" t="s">
        <v>18</v>
      </c>
      <c r="H387">
        <v>0.34</v>
      </c>
      <c r="I387">
        <v>0.31819999999999998</v>
      </c>
      <c r="J387">
        <v>0.46</v>
      </c>
      <c r="K387">
        <v>0.22389999999999999</v>
      </c>
      <c r="L387">
        <v>1</v>
      </c>
      <c r="M387">
        <v>1</v>
      </c>
      <c r="N387">
        <v>2</v>
      </c>
    </row>
    <row r="388" spans="1:14" x14ac:dyDescent="0.3">
      <c r="A388">
        <v>997</v>
      </c>
      <c r="B388">
        <v>40588</v>
      </c>
      <c r="C388">
        <v>0.16666666666666666</v>
      </c>
      <c r="D388" t="s">
        <v>8</v>
      </c>
      <c r="E388" t="s">
        <v>9</v>
      </c>
      <c r="F388" t="s">
        <v>14</v>
      </c>
      <c r="G388" t="s">
        <v>18</v>
      </c>
      <c r="H388">
        <v>0.32</v>
      </c>
      <c r="I388">
        <v>0.30299999999999999</v>
      </c>
      <c r="J388">
        <v>0.53</v>
      </c>
      <c r="K388">
        <v>0.28360000000000002</v>
      </c>
      <c r="L388">
        <v>0</v>
      </c>
      <c r="M388">
        <v>2</v>
      </c>
      <c r="N388">
        <v>2</v>
      </c>
    </row>
    <row r="389" spans="1:14" x14ac:dyDescent="0.3">
      <c r="A389">
        <v>998</v>
      </c>
      <c r="B389">
        <v>40588</v>
      </c>
      <c r="C389">
        <v>0.20833333333333334</v>
      </c>
      <c r="D389" t="s">
        <v>8</v>
      </c>
      <c r="E389" t="s">
        <v>9</v>
      </c>
      <c r="F389" t="s">
        <v>14</v>
      </c>
      <c r="G389" t="s">
        <v>18</v>
      </c>
      <c r="H389">
        <v>0.32</v>
      </c>
      <c r="I389">
        <v>0.30299999999999999</v>
      </c>
      <c r="J389">
        <v>0.53</v>
      </c>
      <c r="K389">
        <v>0.28360000000000002</v>
      </c>
      <c r="L389">
        <v>0</v>
      </c>
      <c r="M389">
        <v>3</v>
      </c>
      <c r="N389">
        <v>3</v>
      </c>
    </row>
    <row r="390" spans="1:14" x14ac:dyDescent="0.3">
      <c r="A390">
        <v>999</v>
      </c>
      <c r="B390">
        <v>40588</v>
      </c>
      <c r="C390">
        <v>0.25</v>
      </c>
      <c r="D390" t="s">
        <v>8</v>
      </c>
      <c r="E390" t="s">
        <v>9</v>
      </c>
      <c r="F390" t="s">
        <v>14</v>
      </c>
      <c r="G390" t="s">
        <v>18</v>
      </c>
      <c r="H390">
        <v>0.34</v>
      </c>
      <c r="I390">
        <v>0.30299999999999999</v>
      </c>
      <c r="J390">
        <v>0.46</v>
      </c>
      <c r="K390">
        <v>0.29849999999999999</v>
      </c>
      <c r="L390">
        <v>1</v>
      </c>
      <c r="M390">
        <v>25</v>
      </c>
      <c r="N390">
        <v>26</v>
      </c>
    </row>
    <row r="391" spans="1:14" x14ac:dyDescent="0.3">
      <c r="A391">
        <v>1000</v>
      </c>
      <c r="B391">
        <v>40588</v>
      </c>
      <c r="C391">
        <v>0.29166666666666669</v>
      </c>
      <c r="D391" t="s">
        <v>8</v>
      </c>
      <c r="E391" t="s">
        <v>9</v>
      </c>
      <c r="F391" t="s">
        <v>14</v>
      </c>
      <c r="G391" t="s">
        <v>18</v>
      </c>
      <c r="H391">
        <v>0.34</v>
      </c>
      <c r="I391">
        <v>0.30299999999999999</v>
      </c>
      <c r="J391">
        <v>0.46</v>
      </c>
      <c r="K391">
        <v>0.29849999999999999</v>
      </c>
      <c r="L391">
        <v>2</v>
      </c>
      <c r="M391">
        <v>96</v>
      </c>
      <c r="N391">
        <v>98</v>
      </c>
    </row>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BC2C-1EC7-4CED-A054-C677B0AAB523}">
  <sheetPr>
    <tabColor theme="7" tint="0.39997558519241921"/>
  </sheetPr>
  <dimension ref="A1:N1001"/>
  <sheetViews>
    <sheetView workbookViewId="0">
      <selection activeCell="G2" sqref="G1:G1001"/>
    </sheetView>
  </sheetViews>
  <sheetFormatPr defaultRowHeight="14.4" x14ac:dyDescent="0.3"/>
  <cols>
    <col min="1" max="1" width="14" customWidth="1"/>
    <col min="2" max="2" width="16.21875" style="4" customWidth="1"/>
    <col min="3" max="3" width="20.21875" style="5" customWidth="1"/>
    <col min="4" max="4" width="13.88671875" customWidth="1"/>
    <col min="5" max="5" width="14" customWidth="1"/>
    <col min="6" max="6" width="15.44140625" customWidth="1"/>
    <col min="7" max="7" width="25.21875" customWidth="1"/>
    <col min="8" max="8" width="18.77734375" customWidth="1"/>
    <col min="9" max="9" width="26.33203125" style="3" customWidth="1"/>
    <col min="10" max="10" width="14.88671875" customWidth="1"/>
    <col min="11" max="11" width="17.77734375" customWidth="1"/>
    <col min="12" max="12" width="13.44140625" customWidth="1"/>
    <col min="13" max="13" width="17.33203125" customWidth="1"/>
    <col min="14" max="14" width="26.44140625" customWidth="1"/>
  </cols>
  <sheetData>
    <row r="1" spans="1:14" x14ac:dyDescent="0.3">
      <c r="A1" t="s">
        <v>0</v>
      </c>
      <c r="B1" s="4" t="s">
        <v>1</v>
      </c>
      <c r="C1" s="5" t="s">
        <v>7</v>
      </c>
      <c r="D1" t="s">
        <v>2</v>
      </c>
      <c r="E1" t="s">
        <v>3</v>
      </c>
      <c r="F1" t="s">
        <v>4</v>
      </c>
      <c r="G1" t="s">
        <v>5</v>
      </c>
      <c r="H1" t="s">
        <v>6</v>
      </c>
      <c r="I1" s="3" t="s">
        <v>22</v>
      </c>
      <c r="J1" t="s">
        <v>23</v>
      </c>
      <c r="K1" t="s">
        <v>24</v>
      </c>
      <c r="L1" t="s">
        <v>25</v>
      </c>
      <c r="M1" t="s">
        <v>26</v>
      </c>
      <c r="N1" t="s">
        <v>27</v>
      </c>
    </row>
    <row r="2" spans="1:14" x14ac:dyDescent="0.3">
      <c r="A2">
        <v>1</v>
      </c>
      <c r="B2" s="4">
        <v>40544</v>
      </c>
      <c r="C2" s="5">
        <v>0</v>
      </c>
      <c r="D2" t="s">
        <v>8</v>
      </c>
      <c r="E2" t="s">
        <v>9</v>
      </c>
      <c r="F2" t="s">
        <v>11</v>
      </c>
      <c r="G2" t="s">
        <v>18</v>
      </c>
      <c r="H2">
        <v>0.24</v>
      </c>
      <c r="I2" s="3">
        <v>0.28789999999999999</v>
      </c>
      <c r="J2">
        <v>0.81</v>
      </c>
      <c r="K2">
        <v>0</v>
      </c>
      <c r="L2">
        <v>3</v>
      </c>
      <c r="M2">
        <v>13</v>
      </c>
      <c r="N2">
        <v>16</v>
      </c>
    </row>
    <row r="3" spans="1:14" x14ac:dyDescent="0.3">
      <c r="A3">
        <v>2</v>
      </c>
      <c r="B3" s="4">
        <v>40544</v>
      </c>
      <c r="C3" s="5">
        <v>4.1666666666666741E-2</v>
      </c>
      <c r="D3" t="s">
        <v>8</v>
      </c>
      <c r="E3" t="s">
        <v>9</v>
      </c>
      <c r="F3" t="s">
        <v>11</v>
      </c>
      <c r="G3" t="s">
        <v>18</v>
      </c>
      <c r="H3">
        <v>0.22</v>
      </c>
      <c r="I3" s="3">
        <v>0.2727</v>
      </c>
      <c r="J3">
        <v>0.8</v>
      </c>
      <c r="K3">
        <v>0</v>
      </c>
      <c r="L3">
        <v>8</v>
      </c>
      <c r="M3">
        <v>32</v>
      </c>
      <c r="N3">
        <v>40</v>
      </c>
    </row>
    <row r="4" spans="1:14" x14ac:dyDescent="0.3">
      <c r="A4">
        <v>3</v>
      </c>
      <c r="B4" s="4">
        <v>40544</v>
      </c>
      <c r="C4" s="5">
        <v>8.3333333333333259E-2</v>
      </c>
      <c r="D4" t="s">
        <v>8</v>
      </c>
      <c r="E4" t="s">
        <v>9</v>
      </c>
      <c r="F4" t="s">
        <v>11</v>
      </c>
      <c r="G4" t="s">
        <v>18</v>
      </c>
      <c r="H4">
        <v>0.22</v>
      </c>
      <c r="I4" s="3">
        <v>0.2727</v>
      </c>
      <c r="J4">
        <v>0.8</v>
      </c>
      <c r="K4">
        <v>0</v>
      </c>
      <c r="L4">
        <v>5</v>
      </c>
      <c r="M4">
        <v>27</v>
      </c>
      <c r="N4">
        <v>32</v>
      </c>
    </row>
    <row r="5" spans="1:14" x14ac:dyDescent="0.3">
      <c r="A5">
        <v>4</v>
      </c>
      <c r="B5" s="4">
        <v>40544</v>
      </c>
      <c r="C5" s="5">
        <v>0.125</v>
      </c>
      <c r="D5" t="s">
        <v>8</v>
      </c>
      <c r="E5" t="s">
        <v>9</v>
      </c>
      <c r="F5" t="s">
        <v>11</v>
      </c>
      <c r="G5" t="s">
        <v>18</v>
      </c>
      <c r="H5">
        <v>0.24</v>
      </c>
      <c r="I5" s="3">
        <v>0.28789999999999999</v>
      </c>
      <c r="J5">
        <v>0.75</v>
      </c>
      <c r="K5">
        <v>0</v>
      </c>
      <c r="L5">
        <v>3</v>
      </c>
      <c r="M5">
        <v>10</v>
      </c>
      <c r="N5">
        <v>13</v>
      </c>
    </row>
    <row r="6" spans="1:14" x14ac:dyDescent="0.3">
      <c r="A6">
        <v>5</v>
      </c>
      <c r="B6" s="4">
        <v>40544</v>
      </c>
      <c r="C6" s="5">
        <v>0.16666666666666674</v>
      </c>
      <c r="D6" t="s">
        <v>8</v>
      </c>
      <c r="E6" t="s">
        <v>9</v>
      </c>
      <c r="F6" t="s">
        <v>11</v>
      </c>
      <c r="G6" t="s">
        <v>18</v>
      </c>
      <c r="H6">
        <v>0.24</v>
      </c>
      <c r="I6" s="3">
        <v>0.28789999999999999</v>
      </c>
      <c r="J6">
        <v>0.75</v>
      </c>
      <c r="K6">
        <v>0</v>
      </c>
      <c r="L6">
        <v>0</v>
      </c>
      <c r="M6">
        <v>1</v>
      </c>
      <c r="N6">
        <v>1</v>
      </c>
    </row>
    <row r="7" spans="1:14" x14ac:dyDescent="0.3">
      <c r="A7">
        <v>6</v>
      </c>
      <c r="B7" s="4">
        <v>40544</v>
      </c>
      <c r="C7" s="5">
        <v>0.20833333333333326</v>
      </c>
      <c r="D7" t="s">
        <v>8</v>
      </c>
      <c r="E7" t="s">
        <v>9</v>
      </c>
      <c r="F7" t="s">
        <v>11</v>
      </c>
      <c r="G7" t="s">
        <v>19</v>
      </c>
      <c r="H7">
        <v>0.24</v>
      </c>
      <c r="I7" s="3">
        <v>0.2576</v>
      </c>
      <c r="J7">
        <v>0.75</v>
      </c>
      <c r="K7">
        <v>8.9599999999999999E-2</v>
      </c>
      <c r="L7">
        <v>0</v>
      </c>
      <c r="M7">
        <v>1</v>
      </c>
      <c r="N7">
        <v>1</v>
      </c>
    </row>
    <row r="8" spans="1:14" x14ac:dyDescent="0.3">
      <c r="A8">
        <v>7</v>
      </c>
      <c r="B8" s="4">
        <v>40544</v>
      </c>
      <c r="C8" s="5">
        <v>0.25</v>
      </c>
      <c r="D8" t="s">
        <v>8</v>
      </c>
      <c r="E8" t="s">
        <v>9</v>
      </c>
      <c r="F8" t="s">
        <v>11</v>
      </c>
      <c r="G8" t="s">
        <v>18</v>
      </c>
      <c r="H8">
        <v>0.22</v>
      </c>
      <c r="I8" s="3">
        <v>0.2727</v>
      </c>
      <c r="J8">
        <v>0.8</v>
      </c>
      <c r="K8">
        <v>0</v>
      </c>
      <c r="L8">
        <v>2</v>
      </c>
      <c r="M8">
        <v>0</v>
      </c>
      <c r="N8">
        <v>2</v>
      </c>
    </row>
    <row r="9" spans="1:14" x14ac:dyDescent="0.3">
      <c r="A9">
        <v>8</v>
      </c>
      <c r="B9" s="4">
        <v>40544</v>
      </c>
      <c r="C9" s="5">
        <v>0.29166666666666674</v>
      </c>
      <c r="D9" t="s">
        <v>8</v>
      </c>
      <c r="E9" t="s">
        <v>9</v>
      </c>
      <c r="F9" t="s">
        <v>11</v>
      </c>
      <c r="G9" t="s">
        <v>18</v>
      </c>
      <c r="H9">
        <v>0.2</v>
      </c>
      <c r="I9" s="3">
        <v>0.2576</v>
      </c>
      <c r="J9">
        <v>0.86</v>
      </c>
      <c r="K9">
        <v>0</v>
      </c>
      <c r="L9">
        <v>1</v>
      </c>
      <c r="M9">
        <v>2</v>
      </c>
      <c r="N9">
        <v>3</v>
      </c>
    </row>
    <row r="10" spans="1:14" x14ac:dyDescent="0.3">
      <c r="A10">
        <v>9</v>
      </c>
      <c r="B10" s="4">
        <v>40544</v>
      </c>
      <c r="C10" s="5">
        <v>0.33333333333333326</v>
      </c>
      <c r="D10" t="s">
        <v>8</v>
      </c>
      <c r="E10" t="s">
        <v>9</v>
      </c>
      <c r="F10" t="s">
        <v>11</v>
      </c>
      <c r="G10" t="s">
        <v>18</v>
      </c>
      <c r="H10">
        <v>0.24</v>
      </c>
      <c r="I10" s="3">
        <v>0.29047656249999987</v>
      </c>
      <c r="J10">
        <v>0.75</v>
      </c>
      <c r="K10">
        <v>0</v>
      </c>
      <c r="L10">
        <v>1</v>
      </c>
      <c r="M10">
        <v>7</v>
      </c>
      <c r="N10">
        <v>8</v>
      </c>
    </row>
    <row r="11" spans="1:14" x14ac:dyDescent="0.3">
      <c r="A11">
        <v>10</v>
      </c>
      <c r="B11" s="4">
        <v>40544</v>
      </c>
      <c r="C11" s="5">
        <v>0.375</v>
      </c>
      <c r="D11" t="s">
        <v>8</v>
      </c>
      <c r="E11" t="s">
        <v>9</v>
      </c>
      <c r="F11" t="s">
        <v>11</v>
      </c>
      <c r="G11" t="s">
        <v>18</v>
      </c>
      <c r="H11">
        <v>0.32</v>
      </c>
      <c r="I11" s="3">
        <v>0.34849999999999998</v>
      </c>
      <c r="J11">
        <v>0.76</v>
      </c>
      <c r="K11">
        <v>0</v>
      </c>
      <c r="L11">
        <v>8</v>
      </c>
      <c r="M11">
        <v>6</v>
      </c>
      <c r="N11">
        <v>14</v>
      </c>
    </row>
    <row r="12" spans="1:14" x14ac:dyDescent="0.3">
      <c r="A12">
        <v>11</v>
      </c>
      <c r="B12" s="4">
        <v>40544</v>
      </c>
      <c r="C12" s="5">
        <v>0.41666666666666674</v>
      </c>
      <c r="D12" t="s">
        <v>8</v>
      </c>
      <c r="E12" t="s">
        <v>9</v>
      </c>
      <c r="F12" t="s">
        <v>11</v>
      </c>
      <c r="G12" t="s">
        <v>18</v>
      </c>
      <c r="H12">
        <v>0.38</v>
      </c>
      <c r="I12" s="3">
        <v>0.39389999999999997</v>
      </c>
      <c r="J12">
        <v>0.76</v>
      </c>
      <c r="K12">
        <v>0.25369999999999998</v>
      </c>
      <c r="L12">
        <v>12</v>
      </c>
      <c r="M12">
        <v>24</v>
      </c>
      <c r="N12">
        <v>36</v>
      </c>
    </row>
    <row r="13" spans="1:14" x14ac:dyDescent="0.3">
      <c r="A13">
        <v>12</v>
      </c>
      <c r="B13" s="4">
        <v>40544</v>
      </c>
      <c r="C13" s="5">
        <v>0.45833333333333326</v>
      </c>
      <c r="D13" t="s">
        <v>8</v>
      </c>
      <c r="E13" t="s">
        <v>9</v>
      </c>
      <c r="F13" t="s">
        <v>11</v>
      </c>
      <c r="G13" t="s">
        <v>18</v>
      </c>
      <c r="H13">
        <v>0.36</v>
      </c>
      <c r="I13" s="3">
        <v>0.33329999999999999</v>
      </c>
      <c r="J13">
        <v>0.81</v>
      </c>
      <c r="K13">
        <v>0.28360000000000002</v>
      </c>
      <c r="L13">
        <v>26</v>
      </c>
      <c r="M13">
        <v>30</v>
      </c>
      <c r="N13">
        <v>56</v>
      </c>
    </row>
    <row r="14" spans="1:14" x14ac:dyDescent="0.3">
      <c r="A14">
        <v>13</v>
      </c>
      <c r="B14" s="4">
        <v>40544</v>
      </c>
      <c r="C14" s="5">
        <v>0.5</v>
      </c>
      <c r="D14" t="s">
        <v>8</v>
      </c>
      <c r="E14" t="s">
        <v>9</v>
      </c>
      <c r="F14" t="s">
        <v>11</v>
      </c>
      <c r="G14" t="s">
        <v>18</v>
      </c>
      <c r="H14">
        <v>0.42</v>
      </c>
      <c r="I14" s="3">
        <v>0.42420000000000002</v>
      </c>
      <c r="J14">
        <v>0.77</v>
      </c>
      <c r="K14">
        <v>0.28360000000000002</v>
      </c>
      <c r="L14">
        <v>29</v>
      </c>
      <c r="M14">
        <v>55</v>
      </c>
      <c r="N14">
        <v>84</v>
      </c>
    </row>
    <row r="15" spans="1:14" x14ac:dyDescent="0.3">
      <c r="A15">
        <v>14</v>
      </c>
      <c r="B15" s="4">
        <v>40544</v>
      </c>
      <c r="C15" s="5">
        <v>0.54166666666666674</v>
      </c>
      <c r="D15" t="s">
        <v>8</v>
      </c>
      <c r="E15" t="s">
        <v>9</v>
      </c>
      <c r="F15" t="s">
        <v>11</v>
      </c>
      <c r="G15" t="s">
        <v>19</v>
      </c>
      <c r="H15">
        <v>0.46</v>
      </c>
      <c r="I15" s="3">
        <v>0.45450000000000002</v>
      </c>
      <c r="J15">
        <v>0.72</v>
      </c>
      <c r="K15">
        <v>0.29849999999999999</v>
      </c>
      <c r="L15">
        <v>47</v>
      </c>
      <c r="M15">
        <v>47</v>
      </c>
      <c r="N15">
        <v>94</v>
      </c>
    </row>
    <row r="16" spans="1:14" x14ac:dyDescent="0.3">
      <c r="A16">
        <v>15</v>
      </c>
      <c r="B16" s="4">
        <v>40544</v>
      </c>
      <c r="C16" s="5">
        <v>0.58333333333333326</v>
      </c>
      <c r="D16" t="s">
        <v>8</v>
      </c>
      <c r="E16" t="s">
        <v>9</v>
      </c>
      <c r="F16" t="s">
        <v>11</v>
      </c>
      <c r="G16" t="s">
        <v>19</v>
      </c>
      <c r="H16">
        <v>0.46</v>
      </c>
      <c r="I16" s="3">
        <v>0.45450000000000002</v>
      </c>
      <c r="J16">
        <v>0.72</v>
      </c>
      <c r="K16">
        <v>0.28360000000000002</v>
      </c>
      <c r="L16">
        <v>35</v>
      </c>
      <c r="M16">
        <v>71</v>
      </c>
      <c r="N16">
        <v>106</v>
      </c>
    </row>
    <row r="17" spans="1:14" x14ac:dyDescent="0.3">
      <c r="A17">
        <v>16</v>
      </c>
      <c r="B17" s="4">
        <v>40544</v>
      </c>
      <c r="C17" s="5">
        <v>0.625</v>
      </c>
      <c r="D17" t="s">
        <v>8</v>
      </c>
      <c r="E17" t="s">
        <v>9</v>
      </c>
      <c r="F17" t="s">
        <v>11</v>
      </c>
      <c r="G17" t="s">
        <v>19</v>
      </c>
      <c r="H17">
        <v>0.44</v>
      </c>
      <c r="I17" s="3">
        <v>0.43940000000000001</v>
      </c>
      <c r="J17">
        <v>0.77</v>
      </c>
      <c r="K17">
        <v>0.29849999999999999</v>
      </c>
      <c r="L17">
        <v>40</v>
      </c>
      <c r="M17">
        <v>70</v>
      </c>
      <c r="N17">
        <v>110</v>
      </c>
    </row>
    <row r="18" spans="1:14" x14ac:dyDescent="0.3">
      <c r="A18">
        <v>17</v>
      </c>
      <c r="B18" s="4">
        <v>40544</v>
      </c>
      <c r="C18" s="5">
        <v>0.66666666666666674</v>
      </c>
      <c r="D18" t="s">
        <v>8</v>
      </c>
      <c r="E18" t="s">
        <v>9</v>
      </c>
      <c r="F18" t="s">
        <v>11</v>
      </c>
      <c r="G18" t="s">
        <v>19</v>
      </c>
      <c r="H18">
        <v>0.42</v>
      </c>
      <c r="I18" s="3">
        <v>0.42420000000000002</v>
      </c>
      <c r="J18">
        <v>0.82</v>
      </c>
      <c r="K18">
        <v>0.29849999999999999</v>
      </c>
      <c r="L18">
        <v>41</v>
      </c>
      <c r="M18">
        <v>52</v>
      </c>
      <c r="N18">
        <v>93</v>
      </c>
    </row>
    <row r="19" spans="1:14" x14ac:dyDescent="0.3">
      <c r="A19">
        <v>18</v>
      </c>
      <c r="B19" s="4">
        <v>40544</v>
      </c>
      <c r="C19" s="5">
        <v>0.70833333333333326</v>
      </c>
      <c r="D19" t="s">
        <v>8</v>
      </c>
      <c r="E19" t="s">
        <v>9</v>
      </c>
      <c r="F19" t="s">
        <v>11</v>
      </c>
      <c r="G19" t="s">
        <v>19</v>
      </c>
      <c r="H19">
        <v>0.44</v>
      </c>
      <c r="I19" s="3">
        <v>0.29047656249999987</v>
      </c>
      <c r="J19">
        <v>0.82</v>
      </c>
      <c r="K19">
        <v>0.28360000000000002</v>
      </c>
      <c r="L19">
        <v>15</v>
      </c>
      <c r="M19">
        <v>52</v>
      </c>
      <c r="N19">
        <v>67</v>
      </c>
    </row>
    <row r="20" spans="1:14" x14ac:dyDescent="0.3">
      <c r="A20">
        <v>19</v>
      </c>
      <c r="B20" s="4">
        <v>40544</v>
      </c>
      <c r="C20" s="5">
        <v>0.75</v>
      </c>
      <c r="D20" t="s">
        <v>8</v>
      </c>
      <c r="E20" t="s">
        <v>9</v>
      </c>
      <c r="F20" t="s">
        <v>11</v>
      </c>
      <c r="G20" t="s">
        <v>20</v>
      </c>
      <c r="H20">
        <v>0.42</v>
      </c>
      <c r="I20" s="3">
        <v>0.42420000000000002</v>
      </c>
      <c r="J20">
        <v>0.88</v>
      </c>
      <c r="K20">
        <v>0.25369999999999998</v>
      </c>
      <c r="L20">
        <v>9</v>
      </c>
      <c r="M20">
        <v>26</v>
      </c>
      <c r="N20">
        <v>35</v>
      </c>
    </row>
    <row r="21" spans="1:14" x14ac:dyDescent="0.3">
      <c r="A21">
        <v>20</v>
      </c>
      <c r="B21" s="4">
        <v>40544</v>
      </c>
      <c r="C21" s="5">
        <v>0.79166666666666674</v>
      </c>
      <c r="D21" t="s">
        <v>8</v>
      </c>
      <c r="E21" t="s">
        <v>9</v>
      </c>
      <c r="F21" t="s">
        <v>11</v>
      </c>
      <c r="G21" t="s">
        <v>20</v>
      </c>
      <c r="H21">
        <v>0.42</v>
      </c>
      <c r="I21" s="3">
        <v>0.42420000000000002</v>
      </c>
      <c r="J21">
        <v>0.88</v>
      </c>
      <c r="K21">
        <v>0.25369999999999998</v>
      </c>
      <c r="L21">
        <v>6</v>
      </c>
      <c r="M21">
        <v>31</v>
      </c>
      <c r="N21">
        <v>37</v>
      </c>
    </row>
    <row r="22" spans="1:14" x14ac:dyDescent="0.3">
      <c r="A22">
        <v>21</v>
      </c>
      <c r="B22" s="4">
        <v>40544</v>
      </c>
      <c r="C22" s="5">
        <v>0.83333333333333326</v>
      </c>
      <c r="D22" t="s">
        <v>8</v>
      </c>
      <c r="E22" t="s">
        <v>9</v>
      </c>
      <c r="F22" t="s">
        <v>11</v>
      </c>
      <c r="G22" t="s">
        <v>19</v>
      </c>
      <c r="H22">
        <v>0.4</v>
      </c>
      <c r="I22" s="3">
        <v>0.40910000000000002</v>
      </c>
      <c r="J22">
        <v>0.87</v>
      </c>
      <c r="K22">
        <v>0.25369999999999998</v>
      </c>
      <c r="L22">
        <v>11</v>
      </c>
      <c r="M22">
        <v>25</v>
      </c>
      <c r="N22">
        <v>36</v>
      </c>
    </row>
    <row r="23" spans="1:14" x14ac:dyDescent="0.3">
      <c r="A23">
        <v>22</v>
      </c>
      <c r="B23" s="4">
        <v>40544</v>
      </c>
      <c r="C23" s="5">
        <v>0.875</v>
      </c>
      <c r="D23" t="s">
        <v>8</v>
      </c>
      <c r="E23" t="s">
        <v>9</v>
      </c>
      <c r="F23" t="s">
        <v>11</v>
      </c>
      <c r="G23" t="s">
        <v>19</v>
      </c>
      <c r="H23">
        <v>0.4</v>
      </c>
      <c r="I23" s="3">
        <v>0.40910000000000002</v>
      </c>
      <c r="J23">
        <v>0.87</v>
      </c>
      <c r="K23">
        <v>0.19400000000000001</v>
      </c>
      <c r="L23">
        <v>3</v>
      </c>
      <c r="M23">
        <v>31</v>
      </c>
      <c r="N23">
        <v>34</v>
      </c>
    </row>
    <row r="24" spans="1:14" x14ac:dyDescent="0.3">
      <c r="A24">
        <v>23</v>
      </c>
      <c r="B24" s="4">
        <v>40544</v>
      </c>
      <c r="C24" s="5">
        <v>0.91666666666666674</v>
      </c>
      <c r="D24" t="s">
        <v>8</v>
      </c>
      <c r="E24" t="s">
        <v>9</v>
      </c>
      <c r="F24" t="s">
        <v>11</v>
      </c>
      <c r="G24" t="s">
        <v>19</v>
      </c>
      <c r="H24">
        <v>0.4</v>
      </c>
      <c r="I24" s="3">
        <v>0.40910000000000002</v>
      </c>
      <c r="J24">
        <v>0.94</v>
      </c>
      <c r="K24">
        <v>0.22389999999999999</v>
      </c>
      <c r="L24">
        <v>11</v>
      </c>
      <c r="M24">
        <v>17</v>
      </c>
      <c r="N24">
        <v>28</v>
      </c>
    </row>
    <row r="25" spans="1:14" x14ac:dyDescent="0.3">
      <c r="A25">
        <v>24</v>
      </c>
      <c r="B25" s="4">
        <v>40544</v>
      </c>
      <c r="C25" s="5">
        <v>0.95833333333333326</v>
      </c>
      <c r="D25" t="s">
        <v>8</v>
      </c>
      <c r="E25" t="s">
        <v>9</v>
      </c>
      <c r="F25" t="s">
        <v>11</v>
      </c>
      <c r="G25" t="s">
        <v>19</v>
      </c>
      <c r="H25">
        <v>0.46</v>
      </c>
      <c r="I25" s="3">
        <v>0.29047656249999987</v>
      </c>
      <c r="J25">
        <v>0.88</v>
      </c>
      <c r="K25">
        <v>0.29849999999999999</v>
      </c>
      <c r="L25">
        <v>15</v>
      </c>
      <c r="M25">
        <v>24</v>
      </c>
      <c r="N25">
        <v>39</v>
      </c>
    </row>
    <row r="26" spans="1:14" x14ac:dyDescent="0.3">
      <c r="A26">
        <v>25</v>
      </c>
      <c r="B26" s="4">
        <v>40545</v>
      </c>
      <c r="C26" s="5">
        <v>0</v>
      </c>
      <c r="D26" t="s">
        <v>8</v>
      </c>
      <c r="E26" t="s">
        <v>9</v>
      </c>
      <c r="F26" t="s">
        <v>12</v>
      </c>
      <c r="G26" t="s">
        <v>19</v>
      </c>
      <c r="H26">
        <v>0.46</v>
      </c>
      <c r="I26" s="3">
        <v>0.45450000000000002</v>
      </c>
      <c r="J26">
        <v>0.88</v>
      </c>
      <c r="K26">
        <v>0.29849999999999999</v>
      </c>
      <c r="L26">
        <v>4</v>
      </c>
      <c r="M26">
        <v>13</v>
      </c>
      <c r="N26">
        <v>17</v>
      </c>
    </row>
    <row r="27" spans="1:14" x14ac:dyDescent="0.3">
      <c r="A27">
        <v>26</v>
      </c>
      <c r="B27" s="4">
        <v>40545</v>
      </c>
      <c r="C27" s="5">
        <v>4.1666666666666741E-2</v>
      </c>
      <c r="D27" t="s">
        <v>8</v>
      </c>
      <c r="E27" t="s">
        <v>9</v>
      </c>
      <c r="F27" t="s">
        <v>12</v>
      </c>
      <c r="G27" t="s">
        <v>19</v>
      </c>
      <c r="H27">
        <v>0.44</v>
      </c>
      <c r="I27" s="3">
        <v>0.43940000000000001</v>
      </c>
      <c r="J27">
        <v>0.94</v>
      </c>
      <c r="K27">
        <v>0.25369999999999998</v>
      </c>
      <c r="L27">
        <v>1</v>
      </c>
      <c r="M27">
        <v>16</v>
      </c>
      <c r="N27">
        <v>17</v>
      </c>
    </row>
    <row r="28" spans="1:14" x14ac:dyDescent="0.3">
      <c r="A28">
        <v>27</v>
      </c>
      <c r="B28" s="4">
        <v>40545</v>
      </c>
      <c r="C28" s="5">
        <v>8.3333333333333259E-2</v>
      </c>
      <c r="D28" t="s">
        <v>8</v>
      </c>
      <c r="E28" t="s">
        <v>9</v>
      </c>
      <c r="F28" t="s">
        <v>12</v>
      </c>
      <c r="G28" t="s">
        <v>19</v>
      </c>
      <c r="H28">
        <v>0.42</v>
      </c>
      <c r="I28" s="3">
        <v>0.42420000000000002</v>
      </c>
      <c r="J28">
        <v>1</v>
      </c>
      <c r="K28">
        <v>0.28360000000000002</v>
      </c>
      <c r="L28">
        <v>1</v>
      </c>
      <c r="M28">
        <v>8</v>
      </c>
      <c r="N28">
        <v>9</v>
      </c>
    </row>
    <row r="29" spans="1:14" x14ac:dyDescent="0.3">
      <c r="A29">
        <v>28</v>
      </c>
      <c r="B29" s="4">
        <v>40545</v>
      </c>
      <c r="C29" s="5">
        <v>0.125</v>
      </c>
      <c r="D29" t="s">
        <v>8</v>
      </c>
      <c r="E29" t="s">
        <v>9</v>
      </c>
      <c r="F29" t="s">
        <v>12</v>
      </c>
      <c r="G29" t="s">
        <v>19</v>
      </c>
      <c r="H29">
        <v>0.46</v>
      </c>
      <c r="I29" s="3">
        <v>0.45450000000000002</v>
      </c>
      <c r="J29">
        <v>0.94</v>
      </c>
      <c r="K29">
        <v>0.19400000000000001</v>
      </c>
      <c r="L29">
        <v>2</v>
      </c>
      <c r="M29">
        <v>4</v>
      </c>
      <c r="N29">
        <v>6</v>
      </c>
    </row>
    <row r="30" spans="1:14" x14ac:dyDescent="0.3">
      <c r="A30">
        <v>29</v>
      </c>
      <c r="B30" s="4">
        <v>40545</v>
      </c>
      <c r="C30" s="5">
        <v>0.16666666666666674</v>
      </c>
      <c r="D30" t="s">
        <v>8</v>
      </c>
      <c r="E30" t="s">
        <v>9</v>
      </c>
      <c r="F30" t="s">
        <v>12</v>
      </c>
      <c r="G30" t="s">
        <v>19</v>
      </c>
      <c r="H30">
        <v>0.46</v>
      </c>
      <c r="I30" s="3">
        <v>0.29047656249999987</v>
      </c>
      <c r="J30">
        <v>0.94</v>
      </c>
      <c r="K30">
        <v>0.19400000000000001</v>
      </c>
      <c r="L30">
        <v>2</v>
      </c>
      <c r="M30">
        <v>1</v>
      </c>
      <c r="N30">
        <v>3</v>
      </c>
    </row>
    <row r="31" spans="1:14" x14ac:dyDescent="0.3">
      <c r="A31">
        <v>30</v>
      </c>
      <c r="B31" s="4">
        <v>40545</v>
      </c>
      <c r="C31" s="5">
        <v>0.25</v>
      </c>
      <c r="D31" t="s">
        <v>8</v>
      </c>
      <c r="E31" t="s">
        <v>9</v>
      </c>
      <c r="F31" t="s">
        <v>12</v>
      </c>
      <c r="G31" t="s">
        <v>20</v>
      </c>
      <c r="H31">
        <v>0.42</v>
      </c>
      <c r="I31" s="3">
        <v>0.42420000000000002</v>
      </c>
      <c r="J31">
        <v>0.77</v>
      </c>
      <c r="K31">
        <v>0.29849999999999999</v>
      </c>
      <c r="L31">
        <v>0</v>
      </c>
      <c r="M31">
        <v>2</v>
      </c>
      <c r="N31">
        <v>2</v>
      </c>
    </row>
    <row r="32" spans="1:14" x14ac:dyDescent="0.3">
      <c r="A32">
        <v>31</v>
      </c>
      <c r="B32" s="4">
        <v>40545</v>
      </c>
      <c r="C32" s="5">
        <v>0.29166666666666674</v>
      </c>
      <c r="D32" t="s">
        <v>8</v>
      </c>
      <c r="E32" t="s">
        <v>9</v>
      </c>
      <c r="F32" t="s">
        <v>12</v>
      </c>
      <c r="G32" t="s">
        <v>19</v>
      </c>
      <c r="H32">
        <v>0.4</v>
      </c>
      <c r="I32" s="3">
        <v>0.40910000000000002</v>
      </c>
      <c r="J32">
        <v>0.76</v>
      </c>
      <c r="K32">
        <v>0.19400000000000001</v>
      </c>
      <c r="L32">
        <v>0</v>
      </c>
      <c r="M32">
        <v>1</v>
      </c>
      <c r="N32">
        <v>1</v>
      </c>
    </row>
    <row r="33" spans="1:14" x14ac:dyDescent="0.3">
      <c r="A33">
        <v>32</v>
      </c>
      <c r="B33" s="4">
        <v>40545</v>
      </c>
      <c r="C33" s="5">
        <v>0.33333333333333326</v>
      </c>
      <c r="D33" t="s">
        <v>8</v>
      </c>
      <c r="E33" t="s">
        <v>9</v>
      </c>
      <c r="F33" t="s">
        <v>12</v>
      </c>
      <c r="G33" t="s">
        <v>20</v>
      </c>
      <c r="H33">
        <v>0.4</v>
      </c>
      <c r="I33" s="3">
        <v>0.40910000000000002</v>
      </c>
      <c r="J33">
        <v>0.71</v>
      </c>
      <c r="K33">
        <v>0.22389999999999999</v>
      </c>
      <c r="L33">
        <v>0</v>
      </c>
      <c r="M33">
        <v>8</v>
      </c>
      <c r="N33">
        <v>8</v>
      </c>
    </row>
    <row r="34" spans="1:14" x14ac:dyDescent="0.3">
      <c r="A34">
        <v>33</v>
      </c>
      <c r="B34" s="4">
        <v>40545</v>
      </c>
      <c r="C34" s="5">
        <v>0.375</v>
      </c>
      <c r="D34" t="s">
        <v>8</v>
      </c>
      <c r="E34" t="s">
        <v>9</v>
      </c>
      <c r="F34" t="s">
        <v>12</v>
      </c>
      <c r="G34" t="s">
        <v>19</v>
      </c>
      <c r="H34">
        <v>0.38</v>
      </c>
      <c r="I34" s="3">
        <v>0.29047656249999987</v>
      </c>
      <c r="J34">
        <v>0.76</v>
      </c>
      <c r="K34">
        <v>0.22389999999999999</v>
      </c>
      <c r="L34">
        <v>1</v>
      </c>
      <c r="M34">
        <v>19</v>
      </c>
      <c r="N34">
        <v>20</v>
      </c>
    </row>
    <row r="35" spans="1:14" x14ac:dyDescent="0.3">
      <c r="A35">
        <v>34</v>
      </c>
      <c r="B35" s="4">
        <v>40545</v>
      </c>
      <c r="C35" s="5">
        <v>0.41666666666666674</v>
      </c>
      <c r="D35" t="s">
        <v>8</v>
      </c>
      <c r="E35" t="s">
        <v>9</v>
      </c>
      <c r="F35" t="s">
        <v>12</v>
      </c>
      <c r="G35" t="s">
        <v>19</v>
      </c>
      <c r="H35">
        <v>0.36</v>
      </c>
      <c r="I35" s="3">
        <v>0.34849999999999998</v>
      </c>
      <c r="J35">
        <v>0.81</v>
      </c>
      <c r="K35">
        <v>0.22389999999999999</v>
      </c>
      <c r="L35">
        <v>7</v>
      </c>
      <c r="M35">
        <v>46</v>
      </c>
      <c r="N35">
        <v>53</v>
      </c>
    </row>
    <row r="36" spans="1:14" x14ac:dyDescent="0.3">
      <c r="A36">
        <v>35</v>
      </c>
      <c r="B36" s="4">
        <v>40545</v>
      </c>
      <c r="C36" s="5">
        <v>0.45833333333333326</v>
      </c>
      <c r="D36" t="s">
        <v>8</v>
      </c>
      <c r="E36" t="s">
        <v>9</v>
      </c>
      <c r="F36" t="s">
        <v>12</v>
      </c>
      <c r="G36" t="s">
        <v>19</v>
      </c>
      <c r="H36">
        <v>0.36</v>
      </c>
      <c r="I36" s="3">
        <v>0.33329999999999999</v>
      </c>
      <c r="J36">
        <v>0.71</v>
      </c>
      <c r="K36">
        <v>0.25369999999999998</v>
      </c>
      <c r="L36">
        <v>16</v>
      </c>
      <c r="M36">
        <v>54</v>
      </c>
      <c r="N36">
        <v>70</v>
      </c>
    </row>
    <row r="37" spans="1:14" x14ac:dyDescent="0.3">
      <c r="A37">
        <v>36</v>
      </c>
      <c r="B37" s="4">
        <v>40545</v>
      </c>
      <c r="C37" s="5">
        <v>0.5</v>
      </c>
      <c r="D37" t="s">
        <v>8</v>
      </c>
      <c r="E37" t="s">
        <v>9</v>
      </c>
      <c r="F37" t="s">
        <v>12</v>
      </c>
      <c r="G37" t="s">
        <v>19</v>
      </c>
      <c r="H37">
        <v>0.36</v>
      </c>
      <c r="I37" s="3">
        <v>0.33329999999999999</v>
      </c>
      <c r="J37">
        <v>0.66</v>
      </c>
      <c r="K37">
        <v>0.29849999999999999</v>
      </c>
      <c r="L37">
        <v>20</v>
      </c>
      <c r="M37">
        <v>73</v>
      </c>
      <c r="N37">
        <v>93</v>
      </c>
    </row>
    <row r="38" spans="1:14" x14ac:dyDescent="0.3">
      <c r="A38">
        <v>37</v>
      </c>
      <c r="B38" s="4">
        <v>40545</v>
      </c>
      <c r="C38" s="5">
        <v>0.54166666666666674</v>
      </c>
      <c r="D38" t="s">
        <v>8</v>
      </c>
      <c r="E38" t="s">
        <v>9</v>
      </c>
      <c r="F38" t="s">
        <v>12</v>
      </c>
      <c r="G38" t="s">
        <v>19</v>
      </c>
      <c r="H38">
        <v>0.36</v>
      </c>
      <c r="I38" s="3">
        <v>0.34849999999999998</v>
      </c>
      <c r="J38">
        <v>0.66</v>
      </c>
      <c r="K38">
        <v>0.1343</v>
      </c>
      <c r="L38">
        <v>11</v>
      </c>
      <c r="M38">
        <v>64</v>
      </c>
      <c r="N38">
        <v>75</v>
      </c>
    </row>
    <row r="39" spans="1:14" x14ac:dyDescent="0.3">
      <c r="A39">
        <v>38</v>
      </c>
      <c r="B39" s="4">
        <v>40545</v>
      </c>
      <c r="C39" s="5">
        <v>0.58333333333333326</v>
      </c>
      <c r="D39" t="s">
        <v>8</v>
      </c>
      <c r="E39" t="s">
        <v>9</v>
      </c>
      <c r="F39" t="s">
        <v>12</v>
      </c>
      <c r="G39" t="s">
        <v>20</v>
      </c>
      <c r="H39">
        <v>0.36</v>
      </c>
      <c r="I39" s="3">
        <v>0.29047656249999987</v>
      </c>
      <c r="J39">
        <v>0.76</v>
      </c>
      <c r="K39">
        <v>0.19400000000000001</v>
      </c>
      <c r="L39">
        <v>4</v>
      </c>
      <c r="M39">
        <v>55</v>
      </c>
      <c r="N39">
        <v>59</v>
      </c>
    </row>
    <row r="40" spans="1:14" x14ac:dyDescent="0.3">
      <c r="A40">
        <v>39</v>
      </c>
      <c r="B40" s="4">
        <v>40545</v>
      </c>
      <c r="C40" s="5">
        <v>0.625</v>
      </c>
      <c r="D40" t="s">
        <v>8</v>
      </c>
      <c r="E40" t="s">
        <v>9</v>
      </c>
      <c r="F40" t="s">
        <v>12</v>
      </c>
      <c r="G40" t="s">
        <v>20</v>
      </c>
      <c r="H40">
        <v>0.34</v>
      </c>
      <c r="I40" s="3">
        <v>0.33329999999999999</v>
      </c>
      <c r="J40">
        <v>0.81</v>
      </c>
      <c r="K40">
        <v>0.16420000000000001</v>
      </c>
      <c r="L40">
        <v>19</v>
      </c>
      <c r="M40">
        <v>55</v>
      </c>
      <c r="N40">
        <v>74</v>
      </c>
    </row>
    <row r="41" spans="1:14" x14ac:dyDescent="0.3">
      <c r="A41">
        <v>40</v>
      </c>
      <c r="B41" s="4">
        <v>40545</v>
      </c>
      <c r="C41" s="5">
        <v>0.66666666666666674</v>
      </c>
      <c r="D41" t="s">
        <v>8</v>
      </c>
      <c r="E41" t="s">
        <v>9</v>
      </c>
      <c r="F41" t="s">
        <v>12</v>
      </c>
      <c r="G41" t="s">
        <v>20</v>
      </c>
      <c r="H41">
        <v>0.34</v>
      </c>
      <c r="I41" s="3">
        <v>0.33329999999999999</v>
      </c>
      <c r="J41">
        <v>0.71</v>
      </c>
      <c r="K41">
        <v>0.16420000000000001</v>
      </c>
      <c r="L41">
        <v>9</v>
      </c>
      <c r="M41">
        <v>67</v>
      </c>
      <c r="N41">
        <v>76</v>
      </c>
    </row>
    <row r="42" spans="1:14" x14ac:dyDescent="0.3">
      <c r="A42">
        <v>41</v>
      </c>
      <c r="B42" s="4">
        <v>40545</v>
      </c>
      <c r="C42" s="5">
        <v>0.70833333333333326</v>
      </c>
      <c r="D42" t="s">
        <v>8</v>
      </c>
      <c r="E42" t="s">
        <v>9</v>
      </c>
      <c r="F42" t="s">
        <v>12</v>
      </c>
      <c r="G42" t="s">
        <v>18</v>
      </c>
      <c r="H42">
        <v>0.34</v>
      </c>
      <c r="I42" s="3">
        <v>0.33329999999999999</v>
      </c>
      <c r="J42">
        <v>0.56999999999999995</v>
      </c>
      <c r="K42">
        <v>0.19400000000000001</v>
      </c>
      <c r="L42">
        <v>7</v>
      </c>
      <c r="M42">
        <v>58</v>
      </c>
      <c r="N42">
        <v>65</v>
      </c>
    </row>
    <row r="43" spans="1:14" x14ac:dyDescent="0.3">
      <c r="A43">
        <v>42</v>
      </c>
      <c r="B43" s="4">
        <v>40545</v>
      </c>
      <c r="C43" s="5">
        <v>0.75</v>
      </c>
      <c r="D43" t="s">
        <v>8</v>
      </c>
      <c r="E43" t="s">
        <v>9</v>
      </c>
      <c r="F43" t="s">
        <v>12</v>
      </c>
      <c r="G43" t="s">
        <v>19</v>
      </c>
      <c r="H43">
        <v>0.36</v>
      </c>
      <c r="I43" s="3">
        <v>0.33329999999999999</v>
      </c>
      <c r="J43">
        <v>0.46</v>
      </c>
      <c r="K43">
        <v>0.32840000000000003</v>
      </c>
      <c r="L43">
        <v>10</v>
      </c>
      <c r="M43">
        <v>43</v>
      </c>
      <c r="N43">
        <v>53</v>
      </c>
    </row>
    <row r="44" spans="1:14" x14ac:dyDescent="0.3">
      <c r="A44">
        <v>43</v>
      </c>
      <c r="B44" s="4">
        <v>40545</v>
      </c>
      <c r="C44" s="5">
        <v>0.79166666666666674</v>
      </c>
      <c r="D44" t="s">
        <v>8</v>
      </c>
      <c r="E44" t="s">
        <v>9</v>
      </c>
      <c r="F44" t="s">
        <v>12</v>
      </c>
      <c r="G44" t="s">
        <v>18</v>
      </c>
      <c r="H44">
        <v>0.32</v>
      </c>
      <c r="I44" s="3">
        <v>0.28789999999999999</v>
      </c>
      <c r="J44">
        <v>0.42</v>
      </c>
      <c r="K44">
        <v>0.44779999999999998</v>
      </c>
      <c r="L44">
        <v>1</v>
      </c>
      <c r="M44">
        <v>29</v>
      </c>
      <c r="N44">
        <v>30</v>
      </c>
    </row>
    <row r="45" spans="1:14" x14ac:dyDescent="0.3">
      <c r="A45">
        <v>44</v>
      </c>
      <c r="B45" s="4">
        <v>40545</v>
      </c>
      <c r="C45" s="5">
        <v>0.83333333333333326</v>
      </c>
      <c r="D45" t="s">
        <v>8</v>
      </c>
      <c r="E45" t="s">
        <v>9</v>
      </c>
      <c r="F45" t="s">
        <v>12</v>
      </c>
      <c r="G45" t="s">
        <v>18</v>
      </c>
      <c r="H45">
        <v>0.3</v>
      </c>
      <c r="I45" s="3">
        <v>0.29047656249999987</v>
      </c>
      <c r="J45">
        <v>0.39</v>
      </c>
      <c r="K45">
        <v>0.35820000000000002</v>
      </c>
      <c r="L45">
        <v>5</v>
      </c>
      <c r="M45">
        <v>17</v>
      </c>
      <c r="N45">
        <v>22</v>
      </c>
    </row>
    <row r="46" spans="1:14" x14ac:dyDescent="0.3">
      <c r="A46">
        <v>45</v>
      </c>
      <c r="B46" s="4">
        <v>40545</v>
      </c>
      <c r="C46" s="5">
        <v>0.875</v>
      </c>
      <c r="D46" t="s">
        <v>8</v>
      </c>
      <c r="E46" t="s">
        <v>9</v>
      </c>
      <c r="F46" t="s">
        <v>12</v>
      </c>
      <c r="G46" t="s">
        <v>18</v>
      </c>
      <c r="H46">
        <v>0.26</v>
      </c>
      <c r="I46" s="3">
        <v>0.2273</v>
      </c>
      <c r="J46">
        <v>0.44</v>
      </c>
      <c r="K46">
        <v>0.32840000000000003</v>
      </c>
      <c r="L46">
        <v>11</v>
      </c>
      <c r="M46">
        <v>20</v>
      </c>
      <c r="N46">
        <v>31</v>
      </c>
    </row>
    <row r="47" spans="1:14" x14ac:dyDescent="0.3">
      <c r="A47">
        <v>46</v>
      </c>
      <c r="B47" s="4">
        <v>40545</v>
      </c>
      <c r="C47" s="5">
        <v>0.91666666666666674</v>
      </c>
      <c r="D47" t="s">
        <v>8</v>
      </c>
      <c r="E47" t="s">
        <v>9</v>
      </c>
      <c r="F47" t="s">
        <v>12</v>
      </c>
      <c r="G47" t="s">
        <v>18</v>
      </c>
      <c r="H47">
        <v>0.24</v>
      </c>
      <c r="I47" s="3">
        <v>0.21210000000000001</v>
      </c>
      <c r="J47">
        <v>0.44</v>
      </c>
      <c r="K47">
        <v>0.29849999999999999</v>
      </c>
      <c r="L47">
        <v>0</v>
      </c>
      <c r="M47">
        <v>9</v>
      </c>
      <c r="N47">
        <v>9</v>
      </c>
    </row>
    <row r="48" spans="1:14" x14ac:dyDescent="0.3">
      <c r="A48">
        <v>47</v>
      </c>
      <c r="B48" s="4">
        <v>40545</v>
      </c>
      <c r="C48" s="5">
        <v>0.95833333333333326</v>
      </c>
      <c r="D48" t="s">
        <v>8</v>
      </c>
      <c r="E48" t="s">
        <v>9</v>
      </c>
      <c r="F48" t="s">
        <v>12</v>
      </c>
      <c r="G48" t="s">
        <v>18</v>
      </c>
      <c r="H48">
        <v>0.22</v>
      </c>
      <c r="I48" s="3">
        <v>0.2273</v>
      </c>
      <c r="J48">
        <v>0.47</v>
      </c>
      <c r="K48">
        <v>0.16420000000000001</v>
      </c>
      <c r="L48">
        <v>0</v>
      </c>
      <c r="M48">
        <v>8</v>
      </c>
      <c r="N48">
        <v>8</v>
      </c>
    </row>
    <row r="49" spans="1:14" x14ac:dyDescent="0.3">
      <c r="A49">
        <v>48</v>
      </c>
      <c r="B49" s="4">
        <v>40546</v>
      </c>
      <c r="C49" s="5">
        <v>0</v>
      </c>
      <c r="D49" t="s">
        <v>8</v>
      </c>
      <c r="E49" t="s">
        <v>9</v>
      </c>
      <c r="F49" t="s">
        <v>13</v>
      </c>
      <c r="G49" t="s">
        <v>18</v>
      </c>
      <c r="H49">
        <v>0.22</v>
      </c>
      <c r="I49" s="3">
        <v>0.19700000000000001</v>
      </c>
      <c r="J49">
        <v>0.44</v>
      </c>
      <c r="K49">
        <v>0.35820000000000002</v>
      </c>
      <c r="L49">
        <v>0</v>
      </c>
      <c r="M49">
        <v>5</v>
      </c>
      <c r="N49">
        <v>5</v>
      </c>
    </row>
    <row r="50" spans="1:14" x14ac:dyDescent="0.3">
      <c r="A50">
        <v>49</v>
      </c>
      <c r="B50" s="4">
        <v>40546</v>
      </c>
      <c r="C50" s="5">
        <v>4.1666666666666741E-2</v>
      </c>
      <c r="D50" t="s">
        <v>8</v>
      </c>
      <c r="E50" t="s">
        <v>9</v>
      </c>
      <c r="F50" t="s">
        <v>13</v>
      </c>
      <c r="G50" t="s">
        <v>18</v>
      </c>
      <c r="H50">
        <v>0.2</v>
      </c>
      <c r="I50" s="3">
        <v>0.29047656249999987</v>
      </c>
      <c r="J50">
        <v>0.44</v>
      </c>
      <c r="K50">
        <v>0.41789999999999999</v>
      </c>
      <c r="L50">
        <v>0</v>
      </c>
      <c r="M50">
        <v>2</v>
      </c>
      <c r="N50">
        <v>2</v>
      </c>
    </row>
    <row r="51" spans="1:14" x14ac:dyDescent="0.3">
      <c r="A51">
        <v>50</v>
      </c>
      <c r="B51" s="4">
        <v>40546</v>
      </c>
      <c r="C51" s="5">
        <v>0.16666666666666674</v>
      </c>
      <c r="D51" t="s">
        <v>8</v>
      </c>
      <c r="E51" t="s">
        <v>9</v>
      </c>
      <c r="F51" t="s">
        <v>13</v>
      </c>
      <c r="G51" t="s">
        <v>18</v>
      </c>
      <c r="H51">
        <v>0.16</v>
      </c>
      <c r="I51" s="3">
        <v>0.13639999999999999</v>
      </c>
      <c r="J51">
        <v>0.47</v>
      </c>
      <c r="K51">
        <v>0.3881</v>
      </c>
      <c r="L51">
        <v>0</v>
      </c>
      <c r="M51">
        <v>1</v>
      </c>
      <c r="N51">
        <v>1</v>
      </c>
    </row>
    <row r="52" spans="1:14" x14ac:dyDescent="0.3">
      <c r="A52">
        <v>51</v>
      </c>
      <c r="B52" s="4">
        <v>40546</v>
      </c>
      <c r="C52" s="5">
        <v>0.20833333333333326</v>
      </c>
      <c r="D52" t="s">
        <v>8</v>
      </c>
      <c r="E52" t="s">
        <v>9</v>
      </c>
      <c r="F52" t="s">
        <v>13</v>
      </c>
      <c r="G52" t="s">
        <v>18</v>
      </c>
      <c r="H52">
        <v>0.16</v>
      </c>
      <c r="I52" s="3">
        <v>0.13639999999999999</v>
      </c>
      <c r="J52">
        <v>0.47</v>
      </c>
      <c r="K52">
        <v>0.28360000000000002</v>
      </c>
      <c r="L52">
        <v>0</v>
      </c>
      <c r="M52">
        <v>3</v>
      </c>
      <c r="N52">
        <v>3</v>
      </c>
    </row>
    <row r="53" spans="1:14" x14ac:dyDescent="0.3">
      <c r="A53">
        <v>52</v>
      </c>
      <c r="B53" s="4">
        <v>40546</v>
      </c>
      <c r="C53" s="5">
        <v>0.25</v>
      </c>
      <c r="D53" t="s">
        <v>8</v>
      </c>
      <c r="E53" t="s">
        <v>9</v>
      </c>
      <c r="F53" t="s">
        <v>13</v>
      </c>
      <c r="G53" t="s">
        <v>18</v>
      </c>
      <c r="H53">
        <v>0.14000000000000001</v>
      </c>
      <c r="I53" s="3">
        <v>0.1061</v>
      </c>
      <c r="J53">
        <v>0.5</v>
      </c>
      <c r="K53">
        <v>0.3881</v>
      </c>
      <c r="L53">
        <v>0</v>
      </c>
      <c r="M53">
        <v>30</v>
      </c>
      <c r="N53">
        <v>30</v>
      </c>
    </row>
    <row r="54" spans="1:14" x14ac:dyDescent="0.3">
      <c r="A54">
        <v>53</v>
      </c>
      <c r="B54" s="4">
        <v>40546</v>
      </c>
      <c r="C54" s="5">
        <v>0.29166666666666674</v>
      </c>
      <c r="D54" t="s">
        <v>8</v>
      </c>
      <c r="E54" t="s">
        <v>9</v>
      </c>
      <c r="F54" t="s">
        <v>13</v>
      </c>
      <c r="G54" t="s">
        <v>18</v>
      </c>
      <c r="H54">
        <v>0.14000000000000001</v>
      </c>
      <c r="I54" s="3">
        <v>0.13639999999999999</v>
      </c>
      <c r="J54">
        <v>0.5</v>
      </c>
      <c r="K54">
        <v>0.19400000000000001</v>
      </c>
      <c r="L54">
        <v>1</v>
      </c>
      <c r="M54">
        <v>63</v>
      </c>
      <c r="N54">
        <v>64</v>
      </c>
    </row>
    <row r="55" spans="1:14" x14ac:dyDescent="0.3">
      <c r="A55">
        <v>54</v>
      </c>
      <c r="B55" s="4">
        <v>40546</v>
      </c>
      <c r="C55" s="5">
        <v>0.33333333333333326</v>
      </c>
      <c r="D55" t="s">
        <v>8</v>
      </c>
      <c r="E55" t="s">
        <v>9</v>
      </c>
      <c r="F55" t="s">
        <v>13</v>
      </c>
      <c r="G55" t="s">
        <v>18</v>
      </c>
      <c r="H55">
        <v>0.14000000000000001</v>
      </c>
      <c r="I55" s="3">
        <v>0.1212</v>
      </c>
      <c r="J55">
        <v>0.5</v>
      </c>
      <c r="K55">
        <v>0.28360000000000002</v>
      </c>
      <c r="L55">
        <v>1</v>
      </c>
      <c r="M55">
        <v>153</v>
      </c>
      <c r="N55">
        <v>154</v>
      </c>
    </row>
    <row r="56" spans="1:14" x14ac:dyDescent="0.3">
      <c r="A56">
        <v>55</v>
      </c>
      <c r="B56" s="4">
        <v>40546</v>
      </c>
      <c r="C56" s="5">
        <v>0.375</v>
      </c>
      <c r="D56" t="s">
        <v>8</v>
      </c>
      <c r="E56" t="s">
        <v>9</v>
      </c>
      <c r="F56" t="s">
        <v>13</v>
      </c>
      <c r="G56" t="s">
        <v>18</v>
      </c>
      <c r="H56">
        <v>0.16</v>
      </c>
      <c r="I56" s="3">
        <v>0.13639999999999999</v>
      </c>
      <c r="J56">
        <v>0.43</v>
      </c>
      <c r="K56">
        <v>0.3881</v>
      </c>
      <c r="L56">
        <v>7</v>
      </c>
      <c r="M56">
        <v>81</v>
      </c>
      <c r="N56">
        <v>88</v>
      </c>
    </row>
    <row r="57" spans="1:14" x14ac:dyDescent="0.3">
      <c r="A57">
        <v>56</v>
      </c>
      <c r="B57" s="4">
        <v>40546</v>
      </c>
      <c r="C57" s="5">
        <v>0.41666666666666674</v>
      </c>
      <c r="D57" t="s">
        <v>8</v>
      </c>
      <c r="E57" t="s">
        <v>9</v>
      </c>
      <c r="F57" t="s">
        <v>13</v>
      </c>
      <c r="G57" t="s">
        <v>18</v>
      </c>
      <c r="H57">
        <v>0.18</v>
      </c>
      <c r="I57" s="3">
        <v>0.16669999999999999</v>
      </c>
      <c r="J57">
        <v>0.43</v>
      </c>
      <c r="K57">
        <v>0.25369999999999998</v>
      </c>
      <c r="L57">
        <v>11</v>
      </c>
      <c r="M57">
        <v>33</v>
      </c>
      <c r="N57">
        <v>44</v>
      </c>
    </row>
    <row r="58" spans="1:14" x14ac:dyDescent="0.3">
      <c r="A58">
        <v>57</v>
      </c>
      <c r="B58" s="4">
        <v>40546</v>
      </c>
      <c r="C58" s="5">
        <v>0.45833333333333326</v>
      </c>
      <c r="D58" t="s">
        <v>8</v>
      </c>
      <c r="E58" t="s">
        <v>9</v>
      </c>
      <c r="F58" t="s">
        <v>13</v>
      </c>
      <c r="G58" t="s">
        <v>18</v>
      </c>
      <c r="H58">
        <v>0.2</v>
      </c>
      <c r="I58" s="3">
        <v>0.18179999999999999</v>
      </c>
      <c r="J58">
        <v>0.4</v>
      </c>
      <c r="K58">
        <v>0.32840000000000003</v>
      </c>
      <c r="L58">
        <v>10</v>
      </c>
      <c r="M58">
        <v>41</v>
      </c>
      <c r="N58">
        <v>51</v>
      </c>
    </row>
    <row r="59" spans="1:14" x14ac:dyDescent="0.3">
      <c r="A59">
        <v>58</v>
      </c>
      <c r="B59" s="4">
        <v>40546</v>
      </c>
      <c r="C59" s="5">
        <v>0.5</v>
      </c>
      <c r="D59" t="s">
        <v>8</v>
      </c>
      <c r="E59" t="s">
        <v>9</v>
      </c>
      <c r="F59" t="s">
        <v>13</v>
      </c>
      <c r="G59" t="s">
        <v>18</v>
      </c>
      <c r="H59">
        <v>0.22</v>
      </c>
      <c r="I59" s="3">
        <v>0.21210000000000001</v>
      </c>
      <c r="J59">
        <v>0.35</v>
      </c>
      <c r="K59">
        <v>0.29849999999999999</v>
      </c>
      <c r="L59">
        <v>13</v>
      </c>
      <c r="M59">
        <v>48</v>
      </c>
      <c r="N59">
        <v>61</v>
      </c>
    </row>
    <row r="60" spans="1:14" x14ac:dyDescent="0.3">
      <c r="A60">
        <v>59</v>
      </c>
      <c r="B60" s="4">
        <v>40546</v>
      </c>
      <c r="C60" s="5">
        <v>0.54166666666666674</v>
      </c>
      <c r="D60" t="s">
        <v>8</v>
      </c>
      <c r="E60" t="s">
        <v>9</v>
      </c>
      <c r="F60" t="s">
        <v>13</v>
      </c>
      <c r="G60" t="s">
        <v>18</v>
      </c>
      <c r="H60">
        <v>0.24</v>
      </c>
      <c r="I60" s="3">
        <v>0.29047656249999987</v>
      </c>
      <c r="J60">
        <v>0.35</v>
      </c>
      <c r="K60">
        <v>0.28360000000000002</v>
      </c>
      <c r="L60">
        <v>8</v>
      </c>
      <c r="M60">
        <v>53</v>
      </c>
      <c r="N60">
        <v>61</v>
      </c>
    </row>
    <row r="61" spans="1:14" x14ac:dyDescent="0.3">
      <c r="A61">
        <v>60</v>
      </c>
      <c r="B61" s="4">
        <v>40546</v>
      </c>
      <c r="C61" s="5">
        <v>0.58333333333333326</v>
      </c>
      <c r="D61" t="s">
        <v>8</v>
      </c>
      <c r="E61" t="s">
        <v>9</v>
      </c>
      <c r="F61" t="s">
        <v>13</v>
      </c>
      <c r="G61" t="s">
        <v>18</v>
      </c>
      <c r="H61">
        <v>0.26</v>
      </c>
      <c r="I61" s="3">
        <v>0.2424</v>
      </c>
      <c r="J61">
        <v>0.3</v>
      </c>
      <c r="K61">
        <v>0.28360000000000002</v>
      </c>
      <c r="L61">
        <v>11</v>
      </c>
      <c r="M61">
        <v>66</v>
      </c>
      <c r="N61">
        <v>77</v>
      </c>
    </row>
    <row r="62" spans="1:14" x14ac:dyDescent="0.3">
      <c r="A62">
        <v>61</v>
      </c>
      <c r="B62" s="4">
        <v>40546</v>
      </c>
      <c r="C62" s="5">
        <v>0.625</v>
      </c>
      <c r="D62" t="s">
        <v>8</v>
      </c>
      <c r="E62" t="s">
        <v>9</v>
      </c>
      <c r="F62" t="s">
        <v>13</v>
      </c>
      <c r="G62" t="s">
        <v>18</v>
      </c>
      <c r="H62">
        <v>0.26</v>
      </c>
      <c r="I62" s="3">
        <v>0.2424</v>
      </c>
      <c r="J62">
        <v>0.3</v>
      </c>
      <c r="K62">
        <v>0.25369999999999998</v>
      </c>
      <c r="L62">
        <v>14</v>
      </c>
      <c r="M62">
        <v>58</v>
      </c>
      <c r="N62">
        <v>72</v>
      </c>
    </row>
    <row r="63" spans="1:14" x14ac:dyDescent="0.3">
      <c r="A63">
        <v>62</v>
      </c>
      <c r="B63" s="4">
        <v>40546</v>
      </c>
      <c r="C63" s="5">
        <v>0.66666666666666674</v>
      </c>
      <c r="D63" t="s">
        <v>8</v>
      </c>
      <c r="E63" t="s">
        <v>9</v>
      </c>
      <c r="F63" t="s">
        <v>13</v>
      </c>
      <c r="G63" t="s">
        <v>18</v>
      </c>
      <c r="H63">
        <v>0.26</v>
      </c>
      <c r="I63" s="3">
        <v>0.2424</v>
      </c>
      <c r="J63">
        <v>0.3</v>
      </c>
      <c r="K63">
        <v>0.25369999999999998</v>
      </c>
      <c r="L63">
        <v>9</v>
      </c>
      <c r="M63">
        <v>67</v>
      </c>
      <c r="N63">
        <v>76</v>
      </c>
    </row>
    <row r="64" spans="1:14" x14ac:dyDescent="0.3">
      <c r="A64">
        <v>63</v>
      </c>
      <c r="B64" s="4">
        <v>40546</v>
      </c>
      <c r="C64" s="5">
        <v>0.70833333333333326</v>
      </c>
      <c r="D64" t="s">
        <v>8</v>
      </c>
      <c r="E64" t="s">
        <v>9</v>
      </c>
      <c r="F64" t="s">
        <v>13</v>
      </c>
      <c r="G64" t="s">
        <v>18</v>
      </c>
      <c r="H64">
        <v>0.24</v>
      </c>
      <c r="I64" s="3">
        <v>0.2273</v>
      </c>
      <c r="J64">
        <v>0.3</v>
      </c>
      <c r="K64">
        <v>0.22389999999999999</v>
      </c>
      <c r="L64">
        <v>11</v>
      </c>
      <c r="M64">
        <v>146</v>
      </c>
      <c r="N64">
        <v>157</v>
      </c>
    </row>
    <row r="65" spans="1:14" x14ac:dyDescent="0.3">
      <c r="A65">
        <v>64</v>
      </c>
      <c r="B65" s="4">
        <v>40546</v>
      </c>
      <c r="C65" s="5">
        <v>0.75</v>
      </c>
      <c r="D65" t="s">
        <v>8</v>
      </c>
      <c r="E65" t="s">
        <v>9</v>
      </c>
      <c r="F65" t="s">
        <v>13</v>
      </c>
      <c r="G65" t="s">
        <v>18</v>
      </c>
      <c r="H65">
        <v>0.24</v>
      </c>
      <c r="I65" s="3">
        <v>0.2576</v>
      </c>
      <c r="J65">
        <v>0.32</v>
      </c>
      <c r="K65">
        <v>0.1045</v>
      </c>
      <c r="L65">
        <v>9</v>
      </c>
      <c r="M65">
        <v>148</v>
      </c>
      <c r="N65">
        <v>157</v>
      </c>
    </row>
    <row r="66" spans="1:14" x14ac:dyDescent="0.3">
      <c r="A66">
        <v>65</v>
      </c>
      <c r="B66" s="4">
        <v>40546</v>
      </c>
      <c r="C66" s="5">
        <v>0.79166666666666674</v>
      </c>
      <c r="D66" t="s">
        <v>8</v>
      </c>
      <c r="E66" t="s">
        <v>9</v>
      </c>
      <c r="F66" t="s">
        <v>13</v>
      </c>
      <c r="G66" t="s">
        <v>18</v>
      </c>
      <c r="H66">
        <v>0.2</v>
      </c>
      <c r="I66" s="3">
        <v>0.2576</v>
      </c>
      <c r="J66">
        <v>0.47</v>
      </c>
      <c r="K66">
        <v>0</v>
      </c>
      <c r="L66">
        <v>8</v>
      </c>
      <c r="M66">
        <v>102</v>
      </c>
      <c r="N66">
        <v>110</v>
      </c>
    </row>
    <row r="67" spans="1:14" x14ac:dyDescent="0.3">
      <c r="A67">
        <v>66</v>
      </c>
      <c r="B67" s="4">
        <v>40546</v>
      </c>
      <c r="C67" s="5">
        <v>0.83333333333333326</v>
      </c>
      <c r="D67" t="s">
        <v>8</v>
      </c>
      <c r="E67" t="s">
        <v>9</v>
      </c>
      <c r="F67" t="s">
        <v>13</v>
      </c>
      <c r="G67" t="s">
        <v>18</v>
      </c>
      <c r="H67">
        <v>0.2</v>
      </c>
      <c r="I67" s="3">
        <v>0.29047656249999987</v>
      </c>
      <c r="J67">
        <v>0.47</v>
      </c>
      <c r="K67">
        <v>0.1045</v>
      </c>
      <c r="L67">
        <v>3</v>
      </c>
      <c r="M67">
        <v>49</v>
      </c>
      <c r="N67">
        <v>52</v>
      </c>
    </row>
    <row r="68" spans="1:14" x14ac:dyDescent="0.3">
      <c r="A68">
        <v>67</v>
      </c>
      <c r="B68" s="4">
        <v>40546</v>
      </c>
      <c r="C68" s="5">
        <v>0.875</v>
      </c>
      <c r="D68" t="s">
        <v>8</v>
      </c>
      <c r="E68" t="s">
        <v>9</v>
      </c>
      <c r="F68" t="s">
        <v>13</v>
      </c>
      <c r="G68" t="s">
        <v>18</v>
      </c>
      <c r="H68">
        <v>0.18</v>
      </c>
      <c r="I68" s="3">
        <v>0.19700000000000001</v>
      </c>
      <c r="J68">
        <v>0.64</v>
      </c>
      <c r="K68">
        <v>0.1343</v>
      </c>
      <c r="L68">
        <v>3</v>
      </c>
      <c r="M68">
        <v>49</v>
      </c>
      <c r="N68">
        <v>52</v>
      </c>
    </row>
    <row r="69" spans="1:14" x14ac:dyDescent="0.3">
      <c r="A69">
        <v>68</v>
      </c>
      <c r="B69" s="4">
        <v>40546</v>
      </c>
      <c r="C69" s="5">
        <v>0.91666666666666674</v>
      </c>
      <c r="D69" t="s">
        <v>8</v>
      </c>
      <c r="E69" t="s">
        <v>9</v>
      </c>
      <c r="F69" t="s">
        <v>13</v>
      </c>
      <c r="G69" t="s">
        <v>18</v>
      </c>
      <c r="H69">
        <v>0.14000000000000001</v>
      </c>
      <c r="I69" s="3">
        <v>0.1515</v>
      </c>
      <c r="J69">
        <v>0.69</v>
      </c>
      <c r="K69">
        <v>0.1343</v>
      </c>
      <c r="L69">
        <v>0</v>
      </c>
      <c r="M69">
        <v>20</v>
      </c>
      <c r="N69">
        <v>20</v>
      </c>
    </row>
    <row r="70" spans="1:14" x14ac:dyDescent="0.3">
      <c r="A70">
        <v>69</v>
      </c>
      <c r="B70" s="4">
        <v>40546</v>
      </c>
      <c r="C70" s="5">
        <v>0.95833333333333326</v>
      </c>
      <c r="D70" t="s">
        <v>8</v>
      </c>
      <c r="E70" t="s">
        <v>9</v>
      </c>
      <c r="F70" t="s">
        <v>13</v>
      </c>
      <c r="G70" t="s">
        <v>18</v>
      </c>
      <c r="H70">
        <v>0.18</v>
      </c>
      <c r="I70" s="3">
        <v>0.21210000000000001</v>
      </c>
      <c r="J70">
        <v>0.55000000000000004</v>
      </c>
      <c r="K70">
        <v>0.1045</v>
      </c>
      <c r="L70">
        <v>1</v>
      </c>
      <c r="M70">
        <v>11</v>
      </c>
      <c r="N70">
        <v>12</v>
      </c>
    </row>
    <row r="71" spans="1:14" x14ac:dyDescent="0.3">
      <c r="A71">
        <v>70</v>
      </c>
      <c r="B71" s="4">
        <v>40547</v>
      </c>
      <c r="C71" s="5">
        <v>0</v>
      </c>
      <c r="D71" t="s">
        <v>8</v>
      </c>
      <c r="E71" t="s">
        <v>9</v>
      </c>
      <c r="F71" t="s">
        <v>14</v>
      </c>
      <c r="G71" t="s">
        <v>18</v>
      </c>
      <c r="H71">
        <v>0.16</v>
      </c>
      <c r="I71" s="3">
        <v>0.29047656249999987</v>
      </c>
      <c r="J71">
        <v>0.55000000000000004</v>
      </c>
      <c r="K71">
        <v>0.1045</v>
      </c>
      <c r="L71">
        <v>0</v>
      </c>
      <c r="M71">
        <v>5</v>
      </c>
      <c r="N71">
        <v>5</v>
      </c>
    </row>
    <row r="72" spans="1:14" x14ac:dyDescent="0.3">
      <c r="A72">
        <v>71</v>
      </c>
      <c r="B72" s="4">
        <v>40547</v>
      </c>
      <c r="C72" s="5">
        <v>4.1666666666666741E-2</v>
      </c>
      <c r="D72" t="s">
        <v>8</v>
      </c>
      <c r="E72" t="s">
        <v>9</v>
      </c>
      <c r="F72" t="s">
        <v>14</v>
      </c>
      <c r="G72" t="s">
        <v>18</v>
      </c>
      <c r="H72">
        <v>0.16</v>
      </c>
      <c r="I72" s="3">
        <v>0.18179999999999999</v>
      </c>
      <c r="J72">
        <v>0.59</v>
      </c>
      <c r="K72">
        <v>0.1045</v>
      </c>
      <c r="L72">
        <v>0</v>
      </c>
      <c r="M72">
        <v>2</v>
      </c>
      <c r="N72">
        <v>2</v>
      </c>
    </row>
    <row r="73" spans="1:14" x14ac:dyDescent="0.3">
      <c r="A73">
        <v>72</v>
      </c>
      <c r="B73" s="4">
        <v>40547</v>
      </c>
      <c r="C73" s="5">
        <v>8.3333333333333259E-2</v>
      </c>
      <c r="D73" t="s">
        <v>8</v>
      </c>
      <c r="E73" t="s">
        <v>9</v>
      </c>
      <c r="F73" t="s">
        <v>14</v>
      </c>
      <c r="G73" t="s">
        <v>18</v>
      </c>
      <c r="H73">
        <v>0.14000000000000001</v>
      </c>
      <c r="I73" s="3">
        <v>0.1515</v>
      </c>
      <c r="J73">
        <v>0.63</v>
      </c>
      <c r="K73">
        <v>0.1343</v>
      </c>
      <c r="L73">
        <v>0</v>
      </c>
      <c r="M73">
        <v>1</v>
      </c>
      <c r="N73">
        <v>1</v>
      </c>
    </row>
    <row r="74" spans="1:14" x14ac:dyDescent="0.3">
      <c r="A74">
        <v>73</v>
      </c>
      <c r="B74" s="4">
        <v>40547</v>
      </c>
      <c r="C74" s="5">
        <v>0.16666666666666674</v>
      </c>
      <c r="D74" t="s">
        <v>8</v>
      </c>
      <c r="E74" t="s">
        <v>9</v>
      </c>
      <c r="F74" t="s">
        <v>14</v>
      </c>
      <c r="G74" t="s">
        <v>18</v>
      </c>
      <c r="H74">
        <v>0.14000000000000001</v>
      </c>
      <c r="I74" s="3">
        <v>0.18179999999999999</v>
      </c>
      <c r="J74">
        <v>0.63</v>
      </c>
      <c r="K74">
        <v>8.9599999999999999E-2</v>
      </c>
      <c r="L74">
        <v>0</v>
      </c>
      <c r="M74">
        <v>2</v>
      </c>
      <c r="N74">
        <v>2</v>
      </c>
    </row>
    <row r="75" spans="1:14" x14ac:dyDescent="0.3">
      <c r="A75">
        <v>74</v>
      </c>
      <c r="B75" s="4">
        <v>40547</v>
      </c>
      <c r="C75" s="5">
        <v>0.20833333333333326</v>
      </c>
      <c r="D75" t="s">
        <v>8</v>
      </c>
      <c r="E75" t="s">
        <v>9</v>
      </c>
      <c r="F75" t="s">
        <v>14</v>
      </c>
      <c r="G75" t="s">
        <v>18</v>
      </c>
      <c r="H75">
        <v>0.12</v>
      </c>
      <c r="I75" s="3">
        <v>0.1515</v>
      </c>
      <c r="J75">
        <v>0.68</v>
      </c>
      <c r="K75">
        <v>0.1045</v>
      </c>
      <c r="L75">
        <v>0</v>
      </c>
      <c r="M75">
        <v>4</v>
      </c>
      <c r="N75">
        <v>4</v>
      </c>
    </row>
    <row r="76" spans="1:14" x14ac:dyDescent="0.3">
      <c r="A76">
        <v>75</v>
      </c>
      <c r="B76" s="4">
        <v>40547</v>
      </c>
      <c r="C76" s="5">
        <v>0.25</v>
      </c>
      <c r="D76" t="s">
        <v>8</v>
      </c>
      <c r="E76" t="s">
        <v>9</v>
      </c>
      <c r="F76" t="s">
        <v>14</v>
      </c>
      <c r="G76" t="s">
        <v>18</v>
      </c>
      <c r="H76">
        <v>0.12</v>
      </c>
      <c r="I76" s="3">
        <v>0.1515</v>
      </c>
      <c r="J76">
        <v>0.74</v>
      </c>
      <c r="K76">
        <v>0.1045</v>
      </c>
      <c r="L76">
        <v>0</v>
      </c>
      <c r="M76">
        <v>36</v>
      </c>
      <c r="N76">
        <v>36</v>
      </c>
    </row>
    <row r="77" spans="1:14" x14ac:dyDescent="0.3">
      <c r="A77">
        <v>76</v>
      </c>
      <c r="B77" s="4">
        <v>40547</v>
      </c>
      <c r="C77" s="5">
        <v>0.29166666666666674</v>
      </c>
      <c r="D77" t="s">
        <v>8</v>
      </c>
      <c r="E77" t="s">
        <v>9</v>
      </c>
      <c r="F77" t="s">
        <v>14</v>
      </c>
      <c r="G77" t="s">
        <v>18</v>
      </c>
      <c r="H77">
        <v>0.12</v>
      </c>
      <c r="I77" s="3">
        <v>0.1515</v>
      </c>
      <c r="J77">
        <v>0.74</v>
      </c>
      <c r="K77">
        <v>0.1343</v>
      </c>
      <c r="L77">
        <v>2</v>
      </c>
      <c r="M77">
        <v>92</v>
      </c>
      <c r="N77">
        <v>94</v>
      </c>
    </row>
    <row r="78" spans="1:14" x14ac:dyDescent="0.3">
      <c r="A78">
        <v>77</v>
      </c>
      <c r="B78" s="4">
        <v>40547</v>
      </c>
      <c r="C78" s="5">
        <v>0.33333333333333326</v>
      </c>
      <c r="D78" t="s">
        <v>8</v>
      </c>
      <c r="E78" t="s">
        <v>9</v>
      </c>
      <c r="F78" t="s">
        <v>14</v>
      </c>
      <c r="G78" t="s">
        <v>18</v>
      </c>
      <c r="H78">
        <v>0.14000000000000001</v>
      </c>
      <c r="I78" s="3">
        <v>0.1515</v>
      </c>
      <c r="J78">
        <v>0.69</v>
      </c>
      <c r="K78">
        <v>0.16420000000000001</v>
      </c>
      <c r="L78">
        <v>2</v>
      </c>
      <c r="M78">
        <v>177</v>
      </c>
      <c r="N78">
        <v>179</v>
      </c>
    </row>
    <row r="79" spans="1:14" x14ac:dyDescent="0.3">
      <c r="A79">
        <v>78</v>
      </c>
      <c r="B79" s="4">
        <v>40547</v>
      </c>
      <c r="C79" s="5">
        <v>0.375</v>
      </c>
      <c r="D79" t="s">
        <v>8</v>
      </c>
      <c r="E79" t="s">
        <v>9</v>
      </c>
      <c r="F79" t="s">
        <v>14</v>
      </c>
      <c r="G79" t="s">
        <v>18</v>
      </c>
      <c r="H79">
        <v>0.16</v>
      </c>
      <c r="I79" s="3">
        <v>0.1515</v>
      </c>
      <c r="J79">
        <v>0.64</v>
      </c>
      <c r="K79">
        <v>0.22389999999999999</v>
      </c>
      <c r="L79">
        <v>2</v>
      </c>
      <c r="M79">
        <v>98</v>
      </c>
      <c r="N79">
        <v>100</v>
      </c>
    </row>
    <row r="80" spans="1:14" x14ac:dyDescent="0.3">
      <c r="A80">
        <v>79</v>
      </c>
      <c r="B80" s="4">
        <v>40547</v>
      </c>
      <c r="C80" s="5">
        <v>0.41666666666666674</v>
      </c>
      <c r="D80" t="s">
        <v>8</v>
      </c>
      <c r="E80" t="s">
        <v>9</v>
      </c>
      <c r="F80" t="s">
        <v>14</v>
      </c>
      <c r="G80" t="s">
        <v>19</v>
      </c>
      <c r="H80">
        <v>0.16</v>
      </c>
      <c r="I80" s="3">
        <v>0.13639999999999999</v>
      </c>
      <c r="J80">
        <v>0.69</v>
      </c>
      <c r="K80">
        <v>0.32840000000000003</v>
      </c>
      <c r="L80">
        <v>5</v>
      </c>
      <c r="M80">
        <v>37</v>
      </c>
      <c r="N80">
        <v>42</v>
      </c>
    </row>
    <row r="81" spans="1:14" x14ac:dyDescent="0.3">
      <c r="A81">
        <v>80</v>
      </c>
      <c r="B81" s="4">
        <v>40547</v>
      </c>
      <c r="C81" s="5">
        <v>0.45833333333333326</v>
      </c>
      <c r="D81" t="s">
        <v>8</v>
      </c>
      <c r="E81" t="s">
        <v>9</v>
      </c>
      <c r="F81" t="s">
        <v>14</v>
      </c>
      <c r="G81" t="s">
        <v>18</v>
      </c>
      <c r="H81">
        <v>0.22</v>
      </c>
      <c r="I81" s="3">
        <v>0.21210000000000001</v>
      </c>
      <c r="J81">
        <v>0.51</v>
      </c>
      <c r="K81">
        <v>0.29849999999999999</v>
      </c>
      <c r="L81">
        <v>7</v>
      </c>
      <c r="M81">
        <v>50</v>
      </c>
      <c r="N81">
        <v>57</v>
      </c>
    </row>
    <row r="82" spans="1:14" x14ac:dyDescent="0.3">
      <c r="A82">
        <v>81</v>
      </c>
      <c r="B82" s="4">
        <v>40547</v>
      </c>
      <c r="C82" s="5">
        <v>0.5</v>
      </c>
      <c r="D82" t="s">
        <v>8</v>
      </c>
      <c r="E82" t="s">
        <v>9</v>
      </c>
      <c r="F82" t="s">
        <v>14</v>
      </c>
      <c r="G82" t="s">
        <v>18</v>
      </c>
      <c r="H82">
        <v>0.22</v>
      </c>
      <c r="I82" s="3">
        <v>0.2273</v>
      </c>
      <c r="J82">
        <v>0.51</v>
      </c>
      <c r="K82">
        <v>0.16420000000000001</v>
      </c>
      <c r="L82">
        <v>12</v>
      </c>
      <c r="M82">
        <v>66</v>
      </c>
      <c r="N82">
        <v>78</v>
      </c>
    </row>
    <row r="83" spans="1:14" x14ac:dyDescent="0.3">
      <c r="A83">
        <v>82</v>
      </c>
      <c r="B83" s="4">
        <v>40547</v>
      </c>
      <c r="C83" s="5">
        <v>0.54166666666666674</v>
      </c>
      <c r="D83" t="s">
        <v>8</v>
      </c>
      <c r="E83" t="s">
        <v>9</v>
      </c>
      <c r="F83" t="s">
        <v>14</v>
      </c>
      <c r="G83" t="s">
        <v>18</v>
      </c>
      <c r="H83">
        <v>0.24</v>
      </c>
      <c r="I83" s="3">
        <v>0.2273</v>
      </c>
      <c r="J83">
        <v>0.56000000000000005</v>
      </c>
      <c r="K83">
        <v>0.19400000000000001</v>
      </c>
      <c r="L83">
        <v>18</v>
      </c>
      <c r="M83">
        <v>79</v>
      </c>
      <c r="N83">
        <v>97</v>
      </c>
    </row>
    <row r="84" spans="1:14" x14ac:dyDescent="0.3">
      <c r="A84">
        <v>83</v>
      </c>
      <c r="B84" s="4">
        <v>40547</v>
      </c>
      <c r="C84" s="5">
        <v>0.58333333333333326</v>
      </c>
      <c r="D84" t="s">
        <v>8</v>
      </c>
      <c r="E84" t="s">
        <v>9</v>
      </c>
      <c r="F84" t="s">
        <v>14</v>
      </c>
      <c r="G84" t="s">
        <v>18</v>
      </c>
      <c r="H84">
        <v>0.26</v>
      </c>
      <c r="I84" s="3">
        <v>0.2576</v>
      </c>
      <c r="J84">
        <v>0.52</v>
      </c>
      <c r="K84">
        <v>0.22389999999999999</v>
      </c>
      <c r="L84">
        <v>9</v>
      </c>
      <c r="M84">
        <v>54</v>
      </c>
      <c r="N84">
        <v>63</v>
      </c>
    </row>
    <row r="85" spans="1:14" x14ac:dyDescent="0.3">
      <c r="A85">
        <v>84</v>
      </c>
      <c r="B85" s="4">
        <v>40547</v>
      </c>
      <c r="C85" s="5">
        <v>0.625</v>
      </c>
      <c r="D85" t="s">
        <v>8</v>
      </c>
      <c r="E85" t="s">
        <v>9</v>
      </c>
      <c r="F85" t="s">
        <v>14</v>
      </c>
      <c r="G85" t="s">
        <v>18</v>
      </c>
      <c r="H85">
        <v>0.28000000000000003</v>
      </c>
      <c r="I85" s="3">
        <v>0.2727</v>
      </c>
      <c r="J85">
        <v>0.52</v>
      </c>
      <c r="K85">
        <v>0.25369999999999998</v>
      </c>
      <c r="L85">
        <v>17</v>
      </c>
      <c r="M85">
        <v>48</v>
      </c>
      <c r="N85">
        <v>65</v>
      </c>
    </row>
    <row r="86" spans="1:14" x14ac:dyDescent="0.3">
      <c r="A86">
        <v>85</v>
      </c>
      <c r="B86" s="4">
        <v>40547</v>
      </c>
      <c r="C86" s="5">
        <v>0.66666666666666674</v>
      </c>
      <c r="D86" t="s">
        <v>8</v>
      </c>
      <c r="E86" t="s">
        <v>9</v>
      </c>
      <c r="F86" t="s">
        <v>14</v>
      </c>
      <c r="G86" t="s">
        <v>18</v>
      </c>
      <c r="H86">
        <v>0.3</v>
      </c>
      <c r="I86" s="3">
        <v>0.28789999999999999</v>
      </c>
      <c r="J86">
        <v>0.49</v>
      </c>
      <c r="K86">
        <v>0.25369999999999998</v>
      </c>
      <c r="L86">
        <v>15</v>
      </c>
      <c r="M86">
        <v>68</v>
      </c>
      <c r="N86">
        <v>83</v>
      </c>
    </row>
    <row r="87" spans="1:14" x14ac:dyDescent="0.3">
      <c r="A87">
        <v>86</v>
      </c>
      <c r="B87" s="4">
        <v>40547</v>
      </c>
      <c r="C87" s="5">
        <v>0.70833333333333326</v>
      </c>
      <c r="D87" t="s">
        <v>8</v>
      </c>
      <c r="E87" t="s">
        <v>9</v>
      </c>
      <c r="F87" t="s">
        <v>14</v>
      </c>
      <c r="G87" t="s">
        <v>18</v>
      </c>
      <c r="H87">
        <v>0.28000000000000003</v>
      </c>
      <c r="I87" s="3">
        <v>0.2727</v>
      </c>
      <c r="J87">
        <v>0.48</v>
      </c>
      <c r="K87">
        <v>0.22389999999999999</v>
      </c>
      <c r="L87">
        <v>10</v>
      </c>
      <c r="M87">
        <v>202</v>
      </c>
      <c r="N87">
        <v>212</v>
      </c>
    </row>
    <row r="88" spans="1:14" x14ac:dyDescent="0.3">
      <c r="A88">
        <v>87</v>
      </c>
      <c r="B88" s="4">
        <v>40547</v>
      </c>
      <c r="C88" s="5">
        <v>0.75</v>
      </c>
      <c r="D88" t="s">
        <v>8</v>
      </c>
      <c r="E88" t="s">
        <v>9</v>
      </c>
      <c r="F88" t="s">
        <v>14</v>
      </c>
      <c r="G88" t="s">
        <v>18</v>
      </c>
      <c r="H88">
        <v>0.26</v>
      </c>
      <c r="I88" s="3">
        <v>0.2576</v>
      </c>
      <c r="J88">
        <v>0.48</v>
      </c>
      <c r="K88">
        <v>0.19400000000000001</v>
      </c>
      <c r="L88">
        <v>3</v>
      </c>
      <c r="M88">
        <v>179</v>
      </c>
      <c r="N88">
        <v>182</v>
      </c>
    </row>
    <row r="89" spans="1:14" x14ac:dyDescent="0.3">
      <c r="A89">
        <v>88</v>
      </c>
      <c r="B89" s="4">
        <v>40547</v>
      </c>
      <c r="C89" s="5">
        <v>0.79166666666666674</v>
      </c>
      <c r="D89" t="s">
        <v>8</v>
      </c>
      <c r="E89" t="s">
        <v>9</v>
      </c>
      <c r="F89" t="s">
        <v>14</v>
      </c>
      <c r="G89" t="s">
        <v>18</v>
      </c>
      <c r="H89">
        <v>0.24</v>
      </c>
      <c r="I89" s="3">
        <v>0.2576</v>
      </c>
      <c r="J89">
        <v>0.48</v>
      </c>
      <c r="K89">
        <v>0.1045</v>
      </c>
      <c r="L89">
        <v>2</v>
      </c>
      <c r="M89">
        <v>110</v>
      </c>
      <c r="N89">
        <v>112</v>
      </c>
    </row>
    <row r="90" spans="1:14" x14ac:dyDescent="0.3">
      <c r="A90">
        <v>89</v>
      </c>
      <c r="B90" s="4">
        <v>40547</v>
      </c>
      <c r="C90" s="5">
        <v>0.83333333333333326</v>
      </c>
      <c r="D90" t="s">
        <v>8</v>
      </c>
      <c r="E90" t="s">
        <v>9</v>
      </c>
      <c r="F90" t="s">
        <v>14</v>
      </c>
      <c r="G90" t="s">
        <v>18</v>
      </c>
      <c r="H90">
        <v>0.24</v>
      </c>
      <c r="I90" s="3">
        <v>0.2576</v>
      </c>
      <c r="J90">
        <v>0.48</v>
      </c>
      <c r="K90">
        <v>0.1045</v>
      </c>
      <c r="L90">
        <v>1</v>
      </c>
      <c r="M90">
        <v>53</v>
      </c>
      <c r="N90">
        <v>54</v>
      </c>
    </row>
    <row r="91" spans="1:14" x14ac:dyDescent="0.3">
      <c r="A91">
        <v>90</v>
      </c>
      <c r="B91" s="4">
        <v>40547</v>
      </c>
      <c r="C91" s="5">
        <v>0.875</v>
      </c>
      <c r="D91" t="s">
        <v>8</v>
      </c>
      <c r="E91" t="s">
        <v>9</v>
      </c>
      <c r="F91" t="s">
        <v>14</v>
      </c>
      <c r="G91" t="s">
        <v>18</v>
      </c>
      <c r="H91">
        <v>0.22</v>
      </c>
      <c r="I91" s="3">
        <v>0.2727</v>
      </c>
      <c r="J91">
        <v>0.64</v>
      </c>
      <c r="K91">
        <v>0</v>
      </c>
      <c r="L91">
        <v>0</v>
      </c>
      <c r="M91">
        <v>48</v>
      </c>
      <c r="N91">
        <v>48</v>
      </c>
    </row>
    <row r="92" spans="1:14" x14ac:dyDescent="0.3">
      <c r="A92">
        <v>91</v>
      </c>
      <c r="B92" s="4">
        <v>40547</v>
      </c>
      <c r="C92" s="5">
        <v>0.91666666666666674</v>
      </c>
      <c r="D92" t="s">
        <v>8</v>
      </c>
      <c r="E92" t="s">
        <v>9</v>
      </c>
      <c r="F92" t="s">
        <v>14</v>
      </c>
      <c r="G92" t="s">
        <v>18</v>
      </c>
      <c r="H92">
        <v>0.22</v>
      </c>
      <c r="I92" s="3">
        <v>0.2576</v>
      </c>
      <c r="J92">
        <v>0.64</v>
      </c>
      <c r="K92">
        <v>8.9599999999999999E-2</v>
      </c>
      <c r="L92">
        <v>1</v>
      </c>
      <c r="M92">
        <v>34</v>
      </c>
      <c r="N92">
        <v>35</v>
      </c>
    </row>
    <row r="93" spans="1:14" x14ac:dyDescent="0.3">
      <c r="A93">
        <v>92</v>
      </c>
      <c r="B93" s="4">
        <v>40547</v>
      </c>
      <c r="C93" s="5">
        <v>0.95833333333333326</v>
      </c>
      <c r="D93" t="s">
        <v>8</v>
      </c>
      <c r="E93" t="s">
        <v>9</v>
      </c>
      <c r="F93" t="s">
        <v>14</v>
      </c>
      <c r="G93" t="s">
        <v>18</v>
      </c>
      <c r="H93">
        <v>0.2</v>
      </c>
      <c r="I93" s="3">
        <v>0.2273</v>
      </c>
      <c r="J93">
        <v>0.69</v>
      </c>
      <c r="K93">
        <v>8.9599999999999999E-2</v>
      </c>
      <c r="L93">
        <v>2</v>
      </c>
      <c r="M93">
        <v>9</v>
      </c>
      <c r="N93">
        <v>11</v>
      </c>
    </row>
    <row r="94" spans="1:14" x14ac:dyDescent="0.3">
      <c r="A94">
        <v>93</v>
      </c>
      <c r="B94" s="4">
        <v>40548</v>
      </c>
      <c r="C94" s="5">
        <v>0</v>
      </c>
      <c r="D94" t="s">
        <v>8</v>
      </c>
      <c r="E94" t="s">
        <v>9</v>
      </c>
      <c r="F94" t="s">
        <v>15</v>
      </c>
      <c r="G94" t="s">
        <v>18</v>
      </c>
      <c r="H94">
        <v>0.2</v>
      </c>
      <c r="I94" s="3">
        <v>0.2576</v>
      </c>
      <c r="J94">
        <v>0.64</v>
      </c>
      <c r="K94">
        <v>0</v>
      </c>
      <c r="L94">
        <v>0</v>
      </c>
      <c r="M94">
        <v>6</v>
      </c>
      <c r="N94">
        <v>6</v>
      </c>
    </row>
    <row r="95" spans="1:14" x14ac:dyDescent="0.3">
      <c r="A95">
        <v>94</v>
      </c>
      <c r="B95" s="4">
        <v>40548</v>
      </c>
      <c r="C95" s="5">
        <v>4.1666666666666741E-2</v>
      </c>
      <c r="D95" t="s">
        <v>8</v>
      </c>
      <c r="E95" t="s">
        <v>9</v>
      </c>
      <c r="F95" t="s">
        <v>15</v>
      </c>
      <c r="G95" t="s">
        <v>18</v>
      </c>
      <c r="H95">
        <v>0.16</v>
      </c>
      <c r="I95" s="3">
        <v>0.19700000000000001</v>
      </c>
      <c r="J95">
        <v>0.74</v>
      </c>
      <c r="K95">
        <v>8.9599999999999999E-2</v>
      </c>
      <c r="L95">
        <v>0</v>
      </c>
      <c r="M95">
        <v>6</v>
      </c>
      <c r="N95">
        <v>6</v>
      </c>
    </row>
    <row r="96" spans="1:14" x14ac:dyDescent="0.3">
      <c r="A96">
        <v>95</v>
      </c>
      <c r="B96" s="4">
        <v>40548</v>
      </c>
      <c r="C96" s="5">
        <v>8.3333333333333259E-2</v>
      </c>
      <c r="D96" t="s">
        <v>8</v>
      </c>
      <c r="E96" t="s">
        <v>9</v>
      </c>
      <c r="F96" t="s">
        <v>15</v>
      </c>
      <c r="G96" t="s">
        <v>18</v>
      </c>
      <c r="H96">
        <v>0.16</v>
      </c>
      <c r="I96" s="3">
        <v>0.19700000000000001</v>
      </c>
      <c r="J96">
        <v>0.74</v>
      </c>
      <c r="K96">
        <v>8.9599999999999999E-2</v>
      </c>
      <c r="L96">
        <v>0</v>
      </c>
      <c r="M96">
        <v>2</v>
      </c>
      <c r="N96">
        <v>2</v>
      </c>
    </row>
    <row r="97" spans="1:14" x14ac:dyDescent="0.3">
      <c r="A97">
        <v>96</v>
      </c>
      <c r="B97" s="4">
        <v>40548</v>
      </c>
      <c r="C97" s="5">
        <v>0.16666666666666674</v>
      </c>
      <c r="D97" t="s">
        <v>8</v>
      </c>
      <c r="E97" t="s">
        <v>9</v>
      </c>
      <c r="F97" t="s">
        <v>15</v>
      </c>
      <c r="G97" t="s">
        <v>18</v>
      </c>
      <c r="H97">
        <v>0.24</v>
      </c>
      <c r="I97" s="3">
        <v>0.2273</v>
      </c>
      <c r="J97">
        <v>0.48</v>
      </c>
      <c r="K97">
        <v>0.22389999999999999</v>
      </c>
      <c r="L97">
        <v>0</v>
      </c>
      <c r="M97">
        <v>2</v>
      </c>
      <c r="N97">
        <v>2</v>
      </c>
    </row>
    <row r="98" spans="1:14" x14ac:dyDescent="0.3">
      <c r="A98">
        <v>97</v>
      </c>
      <c r="B98" s="4">
        <v>40548</v>
      </c>
      <c r="C98" s="5">
        <v>0.20833333333333326</v>
      </c>
      <c r="D98" t="s">
        <v>8</v>
      </c>
      <c r="E98" t="s">
        <v>9</v>
      </c>
      <c r="F98" t="s">
        <v>15</v>
      </c>
      <c r="G98" t="s">
        <v>18</v>
      </c>
      <c r="H98">
        <v>0.22</v>
      </c>
      <c r="I98" s="3">
        <v>0.2273</v>
      </c>
      <c r="J98">
        <v>0.47</v>
      </c>
      <c r="K98">
        <v>0.16420000000000001</v>
      </c>
      <c r="L98">
        <v>0</v>
      </c>
      <c r="M98">
        <v>3</v>
      </c>
      <c r="N98">
        <v>3</v>
      </c>
    </row>
    <row r="99" spans="1:14" x14ac:dyDescent="0.3">
      <c r="A99">
        <v>98</v>
      </c>
      <c r="B99" s="4">
        <v>40548</v>
      </c>
      <c r="C99" s="5">
        <v>0.25</v>
      </c>
      <c r="D99" t="s">
        <v>8</v>
      </c>
      <c r="E99" t="s">
        <v>9</v>
      </c>
      <c r="F99" t="s">
        <v>15</v>
      </c>
      <c r="G99" t="s">
        <v>18</v>
      </c>
      <c r="H99">
        <v>0.2</v>
      </c>
      <c r="I99" s="3">
        <v>0.19700000000000001</v>
      </c>
      <c r="J99">
        <v>0.47</v>
      </c>
      <c r="K99">
        <v>0.22389999999999999</v>
      </c>
      <c r="L99">
        <v>0</v>
      </c>
      <c r="M99">
        <v>33</v>
      </c>
      <c r="N99">
        <v>33</v>
      </c>
    </row>
    <row r="100" spans="1:14" x14ac:dyDescent="0.3">
      <c r="A100">
        <v>99</v>
      </c>
      <c r="B100" s="4">
        <v>40548</v>
      </c>
      <c r="C100" s="5">
        <v>0.29166666666666674</v>
      </c>
      <c r="D100" t="s">
        <v>8</v>
      </c>
      <c r="E100" t="s">
        <v>9</v>
      </c>
      <c r="F100" t="s">
        <v>15</v>
      </c>
      <c r="G100" t="s">
        <v>18</v>
      </c>
      <c r="H100">
        <v>0.18</v>
      </c>
      <c r="I100" s="3">
        <v>0.18179999999999999</v>
      </c>
      <c r="J100">
        <v>0.43</v>
      </c>
      <c r="K100">
        <v>0.19400000000000001</v>
      </c>
      <c r="L100">
        <v>1</v>
      </c>
      <c r="M100">
        <v>87</v>
      </c>
      <c r="N100">
        <v>88</v>
      </c>
    </row>
    <row r="101" spans="1:14" x14ac:dyDescent="0.3">
      <c r="A101">
        <v>100</v>
      </c>
      <c r="B101" s="4">
        <v>40548</v>
      </c>
      <c r="C101" s="5">
        <v>0.33333333333333326</v>
      </c>
      <c r="D101" t="s">
        <v>8</v>
      </c>
      <c r="E101" t="s">
        <v>9</v>
      </c>
      <c r="F101" t="s">
        <v>15</v>
      </c>
      <c r="G101" t="s">
        <v>18</v>
      </c>
      <c r="H101">
        <v>0.2</v>
      </c>
      <c r="I101" s="3">
        <v>0.18179999999999999</v>
      </c>
      <c r="J101">
        <v>0.4</v>
      </c>
      <c r="K101">
        <v>0.29849999999999999</v>
      </c>
      <c r="L101">
        <v>3</v>
      </c>
      <c r="M101">
        <v>192</v>
      </c>
      <c r="N101">
        <v>195</v>
      </c>
    </row>
    <row r="102" spans="1:14" x14ac:dyDescent="0.3">
      <c r="A102">
        <v>101</v>
      </c>
      <c r="B102" s="4">
        <v>40548</v>
      </c>
      <c r="C102" s="5">
        <v>0.375</v>
      </c>
      <c r="D102" t="s">
        <v>8</v>
      </c>
      <c r="E102" t="s">
        <v>9</v>
      </c>
      <c r="F102" t="s">
        <v>15</v>
      </c>
      <c r="G102" t="s">
        <v>18</v>
      </c>
      <c r="H102">
        <v>0.22</v>
      </c>
      <c r="I102" s="3">
        <v>0.19700000000000001</v>
      </c>
      <c r="J102">
        <v>0.37</v>
      </c>
      <c r="K102">
        <v>0.32840000000000003</v>
      </c>
      <c r="L102">
        <v>6</v>
      </c>
      <c r="M102">
        <v>109</v>
      </c>
      <c r="N102">
        <v>115</v>
      </c>
    </row>
    <row r="103" spans="1:14" x14ac:dyDescent="0.3">
      <c r="A103">
        <v>102</v>
      </c>
      <c r="B103" s="4">
        <v>40548</v>
      </c>
      <c r="C103" s="5">
        <v>0.41666666666666674</v>
      </c>
      <c r="D103" t="s">
        <v>8</v>
      </c>
      <c r="E103" t="s">
        <v>9</v>
      </c>
      <c r="F103" t="s">
        <v>15</v>
      </c>
      <c r="G103" t="s">
        <v>18</v>
      </c>
      <c r="H103">
        <v>0.22</v>
      </c>
      <c r="I103" s="3">
        <v>0.19700000000000001</v>
      </c>
      <c r="J103">
        <v>0.37</v>
      </c>
      <c r="K103">
        <v>0.32840000000000003</v>
      </c>
      <c r="L103">
        <v>4</v>
      </c>
      <c r="M103">
        <v>53</v>
      </c>
      <c r="N103">
        <v>57</v>
      </c>
    </row>
    <row r="104" spans="1:14" x14ac:dyDescent="0.3">
      <c r="A104">
        <v>103</v>
      </c>
      <c r="B104" s="4">
        <v>40548</v>
      </c>
      <c r="C104" s="5">
        <v>0.45833333333333326</v>
      </c>
      <c r="D104" t="s">
        <v>8</v>
      </c>
      <c r="E104" t="s">
        <v>9</v>
      </c>
      <c r="F104" t="s">
        <v>15</v>
      </c>
      <c r="G104" t="s">
        <v>18</v>
      </c>
      <c r="H104">
        <v>0.26</v>
      </c>
      <c r="I104" s="3">
        <v>0.2273</v>
      </c>
      <c r="J104">
        <v>0.33</v>
      </c>
      <c r="K104">
        <v>0.32840000000000003</v>
      </c>
      <c r="L104">
        <v>12</v>
      </c>
      <c r="M104">
        <v>34</v>
      </c>
      <c r="N104">
        <v>46</v>
      </c>
    </row>
    <row r="105" spans="1:14" x14ac:dyDescent="0.3">
      <c r="A105">
        <v>104</v>
      </c>
      <c r="B105" s="4">
        <v>40548</v>
      </c>
      <c r="C105" s="5">
        <v>0.5</v>
      </c>
      <c r="D105" t="s">
        <v>8</v>
      </c>
      <c r="E105" t="s">
        <v>9</v>
      </c>
      <c r="F105" t="s">
        <v>15</v>
      </c>
      <c r="G105" t="s">
        <v>18</v>
      </c>
      <c r="H105">
        <v>0.26</v>
      </c>
      <c r="I105" s="3">
        <v>0.2273</v>
      </c>
      <c r="J105">
        <v>0.33</v>
      </c>
      <c r="K105">
        <v>0.32840000000000003</v>
      </c>
      <c r="L105">
        <v>5</v>
      </c>
      <c r="M105">
        <v>74</v>
      </c>
      <c r="N105">
        <v>79</v>
      </c>
    </row>
    <row r="106" spans="1:14" x14ac:dyDescent="0.3">
      <c r="A106">
        <v>105</v>
      </c>
      <c r="B106" s="4">
        <v>40548</v>
      </c>
      <c r="C106" s="5">
        <v>0.54166666666666674</v>
      </c>
      <c r="D106" t="s">
        <v>8</v>
      </c>
      <c r="E106" t="s">
        <v>9</v>
      </c>
      <c r="F106" t="s">
        <v>15</v>
      </c>
      <c r="G106" t="s">
        <v>18</v>
      </c>
      <c r="H106">
        <v>0.28000000000000003</v>
      </c>
      <c r="I106" s="3">
        <v>0.2576</v>
      </c>
      <c r="J106">
        <v>0.3</v>
      </c>
      <c r="K106">
        <v>0.29849999999999999</v>
      </c>
      <c r="L106">
        <v>6</v>
      </c>
      <c r="M106">
        <v>65</v>
      </c>
      <c r="N106">
        <v>71</v>
      </c>
    </row>
    <row r="107" spans="1:14" x14ac:dyDescent="0.3">
      <c r="A107">
        <v>106</v>
      </c>
      <c r="B107" s="4">
        <v>40548</v>
      </c>
      <c r="C107" s="5">
        <v>0.58333333333333326</v>
      </c>
      <c r="D107" t="s">
        <v>8</v>
      </c>
      <c r="E107" t="s">
        <v>9</v>
      </c>
      <c r="F107" t="s">
        <v>15</v>
      </c>
      <c r="G107" t="s">
        <v>18</v>
      </c>
      <c r="H107">
        <v>0.3</v>
      </c>
      <c r="I107" s="3">
        <v>0.28789999999999999</v>
      </c>
      <c r="J107">
        <v>0.28000000000000003</v>
      </c>
      <c r="K107">
        <v>0.19400000000000001</v>
      </c>
      <c r="L107">
        <v>10</v>
      </c>
      <c r="M107">
        <v>52</v>
      </c>
      <c r="N107">
        <v>62</v>
      </c>
    </row>
    <row r="108" spans="1:14" x14ac:dyDescent="0.3">
      <c r="A108">
        <v>107</v>
      </c>
      <c r="B108" s="4">
        <v>40548</v>
      </c>
      <c r="C108" s="5">
        <v>0.625</v>
      </c>
      <c r="D108" t="s">
        <v>8</v>
      </c>
      <c r="E108" t="s">
        <v>9</v>
      </c>
      <c r="F108" t="s">
        <v>15</v>
      </c>
      <c r="G108" t="s">
        <v>18</v>
      </c>
      <c r="H108">
        <v>0.3</v>
      </c>
      <c r="I108" s="3">
        <v>0.28789999999999999</v>
      </c>
      <c r="J108">
        <v>0.28000000000000003</v>
      </c>
      <c r="K108">
        <v>0.19400000000000001</v>
      </c>
      <c r="L108">
        <v>7</v>
      </c>
      <c r="M108">
        <v>55</v>
      </c>
      <c r="N108">
        <v>62</v>
      </c>
    </row>
    <row r="109" spans="1:14" x14ac:dyDescent="0.3">
      <c r="A109">
        <v>108</v>
      </c>
      <c r="B109" s="4">
        <v>40548</v>
      </c>
      <c r="C109" s="5">
        <v>0.66666666666666674</v>
      </c>
      <c r="D109" t="s">
        <v>8</v>
      </c>
      <c r="E109" t="s">
        <v>9</v>
      </c>
      <c r="F109" t="s">
        <v>15</v>
      </c>
      <c r="G109" t="s">
        <v>18</v>
      </c>
      <c r="H109">
        <v>0.3</v>
      </c>
      <c r="I109" s="3">
        <v>0.31819999999999998</v>
      </c>
      <c r="J109">
        <v>0.28000000000000003</v>
      </c>
      <c r="K109">
        <v>8.9599999999999999E-2</v>
      </c>
      <c r="L109">
        <v>4</v>
      </c>
      <c r="M109">
        <v>85</v>
      </c>
      <c r="N109">
        <v>89</v>
      </c>
    </row>
    <row r="110" spans="1:14" x14ac:dyDescent="0.3">
      <c r="A110">
        <v>109</v>
      </c>
      <c r="B110" s="4">
        <v>40548</v>
      </c>
      <c r="C110" s="5">
        <v>0.70833333333333326</v>
      </c>
      <c r="D110" t="s">
        <v>8</v>
      </c>
      <c r="E110" t="s">
        <v>9</v>
      </c>
      <c r="F110" t="s">
        <v>15</v>
      </c>
      <c r="G110" t="s">
        <v>18</v>
      </c>
      <c r="H110">
        <v>0.24</v>
      </c>
      <c r="I110" s="3">
        <v>0.2273</v>
      </c>
      <c r="J110">
        <v>0.38</v>
      </c>
      <c r="K110">
        <v>0.19400000000000001</v>
      </c>
      <c r="L110">
        <v>4</v>
      </c>
      <c r="M110">
        <v>186</v>
      </c>
      <c r="N110">
        <v>190</v>
      </c>
    </row>
    <row r="111" spans="1:14" x14ac:dyDescent="0.3">
      <c r="A111">
        <v>110</v>
      </c>
      <c r="B111" s="4">
        <v>40548</v>
      </c>
      <c r="C111" s="5">
        <v>0.75</v>
      </c>
      <c r="D111" t="s">
        <v>8</v>
      </c>
      <c r="E111" t="s">
        <v>9</v>
      </c>
      <c r="F111" t="s">
        <v>15</v>
      </c>
      <c r="G111" t="s">
        <v>18</v>
      </c>
      <c r="H111">
        <v>0.24</v>
      </c>
      <c r="I111" s="3">
        <v>0.2424</v>
      </c>
      <c r="J111">
        <v>0.38</v>
      </c>
      <c r="K111">
        <v>0.1343</v>
      </c>
      <c r="L111">
        <v>3</v>
      </c>
      <c r="M111">
        <v>166</v>
      </c>
      <c r="N111">
        <v>169</v>
      </c>
    </row>
    <row r="112" spans="1:14" x14ac:dyDescent="0.3">
      <c r="A112">
        <v>111</v>
      </c>
      <c r="B112" s="4">
        <v>40548</v>
      </c>
      <c r="C112" s="5">
        <v>0.79166666666666674</v>
      </c>
      <c r="D112" t="s">
        <v>8</v>
      </c>
      <c r="E112" t="s">
        <v>9</v>
      </c>
      <c r="F112" t="s">
        <v>15</v>
      </c>
      <c r="G112" t="s">
        <v>18</v>
      </c>
      <c r="H112">
        <v>0.24</v>
      </c>
      <c r="I112" s="3">
        <v>0.2576</v>
      </c>
      <c r="J112">
        <v>0.38</v>
      </c>
      <c r="K112">
        <v>0.1045</v>
      </c>
      <c r="L112">
        <v>5</v>
      </c>
      <c r="M112">
        <v>127</v>
      </c>
      <c r="N112">
        <v>132</v>
      </c>
    </row>
    <row r="113" spans="1:14" x14ac:dyDescent="0.3">
      <c r="A113">
        <v>112</v>
      </c>
      <c r="B113" s="4">
        <v>40548</v>
      </c>
      <c r="C113" s="5">
        <v>0.83333333333333326</v>
      </c>
      <c r="D113" t="s">
        <v>8</v>
      </c>
      <c r="E113" t="s">
        <v>9</v>
      </c>
      <c r="F113" t="s">
        <v>15</v>
      </c>
      <c r="G113" t="s">
        <v>18</v>
      </c>
      <c r="H113">
        <v>0.22</v>
      </c>
      <c r="I113" s="3">
        <v>0.2273</v>
      </c>
      <c r="J113">
        <v>0.47</v>
      </c>
      <c r="K113">
        <v>0.16420000000000001</v>
      </c>
      <c r="L113">
        <v>7</v>
      </c>
      <c r="M113">
        <v>82</v>
      </c>
      <c r="N113">
        <v>89</v>
      </c>
    </row>
    <row r="114" spans="1:14" x14ac:dyDescent="0.3">
      <c r="A114">
        <v>113</v>
      </c>
      <c r="B114" s="4">
        <v>40548</v>
      </c>
      <c r="C114" s="5">
        <v>0.875</v>
      </c>
      <c r="D114" t="s">
        <v>8</v>
      </c>
      <c r="E114" t="s">
        <v>9</v>
      </c>
      <c r="F114" t="s">
        <v>15</v>
      </c>
      <c r="G114" t="s">
        <v>18</v>
      </c>
      <c r="H114">
        <v>0.2</v>
      </c>
      <c r="I114" s="3">
        <v>0.19700000000000001</v>
      </c>
      <c r="J114">
        <v>0.51</v>
      </c>
      <c r="K114">
        <v>0.19400000000000001</v>
      </c>
      <c r="L114">
        <v>3</v>
      </c>
      <c r="M114">
        <v>40</v>
      </c>
      <c r="N114">
        <v>43</v>
      </c>
    </row>
    <row r="115" spans="1:14" x14ac:dyDescent="0.3">
      <c r="A115">
        <v>114</v>
      </c>
      <c r="B115" s="4">
        <v>40548</v>
      </c>
      <c r="C115" s="5">
        <v>0.91666666666666674</v>
      </c>
      <c r="D115" t="s">
        <v>8</v>
      </c>
      <c r="E115" t="s">
        <v>9</v>
      </c>
      <c r="F115" t="s">
        <v>15</v>
      </c>
      <c r="G115" t="s">
        <v>18</v>
      </c>
      <c r="H115">
        <v>0.18</v>
      </c>
      <c r="I115" s="3">
        <v>0.19700000000000001</v>
      </c>
      <c r="J115">
        <v>0.55000000000000004</v>
      </c>
      <c r="K115">
        <v>0.1343</v>
      </c>
      <c r="L115">
        <v>1</v>
      </c>
      <c r="M115">
        <v>41</v>
      </c>
      <c r="N115">
        <v>42</v>
      </c>
    </row>
    <row r="116" spans="1:14" x14ac:dyDescent="0.3">
      <c r="A116">
        <v>115</v>
      </c>
      <c r="B116" s="4">
        <v>40548</v>
      </c>
      <c r="C116" s="5">
        <v>0.95833333333333326</v>
      </c>
      <c r="D116" t="s">
        <v>8</v>
      </c>
      <c r="E116" t="s">
        <v>9</v>
      </c>
      <c r="F116" t="s">
        <v>15</v>
      </c>
      <c r="G116" t="s">
        <v>18</v>
      </c>
      <c r="H116">
        <v>0.2</v>
      </c>
      <c r="I116" s="3">
        <v>0.2576</v>
      </c>
      <c r="J116">
        <v>0.47</v>
      </c>
      <c r="K116">
        <v>0</v>
      </c>
      <c r="L116">
        <v>1</v>
      </c>
      <c r="M116">
        <v>18</v>
      </c>
      <c r="N116">
        <v>19</v>
      </c>
    </row>
    <row r="117" spans="1:14" x14ac:dyDescent="0.3">
      <c r="A117">
        <v>116</v>
      </c>
      <c r="B117" s="4">
        <v>40549</v>
      </c>
      <c r="C117" s="5">
        <v>0</v>
      </c>
      <c r="D117" t="s">
        <v>8</v>
      </c>
      <c r="E117" t="s">
        <v>9</v>
      </c>
      <c r="F117" t="s">
        <v>16</v>
      </c>
      <c r="G117" t="s">
        <v>18</v>
      </c>
      <c r="H117">
        <v>0.18</v>
      </c>
      <c r="I117" s="3">
        <v>0.2424</v>
      </c>
      <c r="J117">
        <v>0.55000000000000004</v>
      </c>
      <c r="K117">
        <v>0</v>
      </c>
      <c r="L117">
        <v>0</v>
      </c>
      <c r="M117">
        <v>11</v>
      </c>
      <c r="N117">
        <v>11</v>
      </c>
    </row>
    <row r="118" spans="1:14" x14ac:dyDescent="0.3">
      <c r="A118">
        <v>117</v>
      </c>
      <c r="B118" s="4">
        <v>40549</v>
      </c>
      <c r="C118" s="5">
        <v>4.1666666666666741E-2</v>
      </c>
      <c r="D118" t="s">
        <v>8</v>
      </c>
      <c r="E118" t="s">
        <v>9</v>
      </c>
      <c r="F118" t="s">
        <v>16</v>
      </c>
      <c r="G118" t="s">
        <v>18</v>
      </c>
      <c r="H118">
        <v>0.16</v>
      </c>
      <c r="I118" s="3">
        <v>0.2273</v>
      </c>
      <c r="J118">
        <v>0.64</v>
      </c>
      <c r="K118">
        <v>0</v>
      </c>
      <c r="L118">
        <v>0</v>
      </c>
      <c r="M118">
        <v>4</v>
      </c>
      <c r="N118">
        <v>4</v>
      </c>
    </row>
    <row r="119" spans="1:14" x14ac:dyDescent="0.3">
      <c r="A119">
        <v>118</v>
      </c>
      <c r="B119" s="4">
        <v>40549</v>
      </c>
      <c r="C119" s="5">
        <v>8.3333333333333259E-2</v>
      </c>
      <c r="D119" t="s">
        <v>8</v>
      </c>
      <c r="E119" t="s">
        <v>9</v>
      </c>
      <c r="F119" t="s">
        <v>16</v>
      </c>
      <c r="G119" t="s">
        <v>18</v>
      </c>
      <c r="H119">
        <v>0.16</v>
      </c>
      <c r="I119" s="3">
        <v>0.2273</v>
      </c>
      <c r="J119">
        <v>0.64</v>
      </c>
      <c r="K119">
        <v>0</v>
      </c>
      <c r="L119">
        <v>0</v>
      </c>
      <c r="M119">
        <v>2</v>
      </c>
      <c r="N119">
        <v>2</v>
      </c>
    </row>
    <row r="120" spans="1:14" x14ac:dyDescent="0.3">
      <c r="A120">
        <v>119</v>
      </c>
      <c r="B120" s="4">
        <v>40549</v>
      </c>
      <c r="C120" s="5">
        <v>0.16666666666666674</v>
      </c>
      <c r="D120" t="s">
        <v>8</v>
      </c>
      <c r="E120" t="s">
        <v>9</v>
      </c>
      <c r="F120" t="s">
        <v>16</v>
      </c>
      <c r="G120" t="s">
        <v>19</v>
      </c>
      <c r="H120">
        <v>0.16</v>
      </c>
      <c r="I120" s="3">
        <v>0.19700000000000001</v>
      </c>
      <c r="J120">
        <v>0.64</v>
      </c>
      <c r="K120">
        <v>8.9599999999999999E-2</v>
      </c>
      <c r="L120">
        <v>0</v>
      </c>
      <c r="M120">
        <v>1</v>
      </c>
      <c r="N120">
        <v>1</v>
      </c>
    </row>
    <row r="121" spans="1:14" x14ac:dyDescent="0.3">
      <c r="A121">
        <v>120</v>
      </c>
      <c r="B121" s="4">
        <v>40549</v>
      </c>
      <c r="C121" s="5">
        <v>0.20833333333333326</v>
      </c>
      <c r="D121" t="s">
        <v>8</v>
      </c>
      <c r="E121" t="s">
        <v>9</v>
      </c>
      <c r="F121" t="s">
        <v>16</v>
      </c>
      <c r="G121" t="s">
        <v>19</v>
      </c>
      <c r="H121">
        <v>0.14000000000000001</v>
      </c>
      <c r="I121" s="3">
        <v>0.18179999999999999</v>
      </c>
      <c r="J121">
        <v>0.69</v>
      </c>
      <c r="K121">
        <v>8.9599999999999999E-2</v>
      </c>
      <c r="L121">
        <v>0</v>
      </c>
      <c r="M121">
        <v>4</v>
      </c>
      <c r="N121">
        <v>4</v>
      </c>
    </row>
    <row r="122" spans="1:14" x14ac:dyDescent="0.3">
      <c r="A122">
        <v>121</v>
      </c>
      <c r="B122" s="4">
        <v>40549</v>
      </c>
      <c r="C122" s="5">
        <v>0.25</v>
      </c>
      <c r="D122" t="s">
        <v>8</v>
      </c>
      <c r="E122" t="s">
        <v>9</v>
      </c>
      <c r="F122" t="s">
        <v>16</v>
      </c>
      <c r="G122" t="s">
        <v>19</v>
      </c>
      <c r="H122">
        <v>0.14000000000000001</v>
      </c>
      <c r="I122" s="3">
        <v>0.16669999999999999</v>
      </c>
      <c r="J122">
        <v>0.63</v>
      </c>
      <c r="K122">
        <v>0.1045</v>
      </c>
      <c r="L122">
        <v>0</v>
      </c>
      <c r="M122">
        <v>36</v>
      </c>
      <c r="N122">
        <v>36</v>
      </c>
    </row>
    <row r="123" spans="1:14" x14ac:dyDescent="0.3">
      <c r="A123">
        <v>122</v>
      </c>
      <c r="B123" s="4">
        <v>40549</v>
      </c>
      <c r="C123" s="5">
        <v>0.29166666666666674</v>
      </c>
      <c r="D123" t="s">
        <v>8</v>
      </c>
      <c r="E123" t="s">
        <v>9</v>
      </c>
      <c r="F123" t="s">
        <v>16</v>
      </c>
      <c r="G123" t="s">
        <v>19</v>
      </c>
      <c r="H123">
        <v>0.16</v>
      </c>
      <c r="I123" s="3">
        <v>0.2273</v>
      </c>
      <c r="J123">
        <v>0.59</v>
      </c>
      <c r="K123">
        <v>0</v>
      </c>
      <c r="L123">
        <v>0</v>
      </c>
      <c r="M123">
        <v>95</v>
      </c>
      <c r="N123">
        <v>95</v>
      </c>
    </row>
    <row r="124" spans="1:14" x14ac:dyDescent="0.3">
      <c r="A124">
        <v>123</v>
      </c>
      <c r="B124" s="4">
        <v>40549</v>
      </c>
      <c r="C124" s="5">
        <v>0.33333333333333326</v>
      </c>
      <c r="D124" t="s">
        <v>8</v>
      </c>
      <c r="E124" t="s">
        <v>9</v>
      </c>
      <c r="F124" t="s">
        <v>16</v>
      </c>
      <c r="G124" t="s">
        <v>18</v>
      </c>
      <c r="H124">
        <v>0.16</v>
      </c>
      <c r="I124" s="3">
        <v>0.2273</v>
      </c>
      <c r="J124">
        <v>0.59</v>
      </c>
      <c r="K124">
        <v>0</v>
      </c>
      <c r="L124">
        <v>3</v>
      </c>
      <c r="M124">
        <v>216</v>
      </c>
      <c r="N124">
        <v>219</v>
      </c>
    </row>
    <row r="125" spans="1:14" x14ac:dyDescent="0.3">
      <c r="A125">
        <v>124</v>
      </c>
      <c r="B125" s="4">
        <v>40549</v>
      </c>
      <c r="C125" s="5">
        <v>0.375</v>
      </c>
      <c r="D125" t="s">
        <v>8</v>
      </c>
      <c r="E125" t="s">
        <v>9</v>
      </c>
      <c r="F125" t="s">
        <v>16</v>
      </c>
      <c r="G125" t="s">
        <v>19</v>
      </c>
      <c r="H125">
        <v>0.18</v>
      </c>
      <c r="I125" s="3">
        <v>0.2424</v>
      </c>
      <c r="J125">
        <v>0.51</v>
      </c>
      <c r="K125">
        <v>0</v>
      </c>
      <c r="L125">
        <v>6</v>
      </c>
      <c r="M125">
        <v>116</v>
      </c>
      <c r="N125">
        <v>122</v>
      </c>
    </row>
    <row r="126" spans="1:14" x14ac:dyDescent="0.3">
      <c r="A126">
        <v>125</v>
      </c>
      <c r="B126" s="4">
        <v>40549</v>
      </c>
      <c r="C126" s="5">
        <v>0.41666666666666674</v>
      </c>
      <c r="D126" t="s">
        <v>8</v>
      </c>
      <c r="E126" t="s">
        <v>9</v>
      </c>
      <c r="F126" t="s">
        <v>16</v>
      </c>
      <c r="G126" t="s">
        <v>18</v>
      </c>
      <c r="H126">
        <v>0.2</v>
      </c>
      <c r="I126" s="3">
        <v>0.2576</v>
      </c>
      <c r="J126">
        <v>0.47</v>
      </c>
      <c r="K126">
        <v>0</v>
      </c>
      <c r="L126">
        <v>3</v>
      </c>
      <c r="M126">
        <v>42</v>
      </c>
      <c r="N126">
        <v>45</v>
      </c>
    </row>
    <row r="127" spans="1:14" x14ac:dyDescent="0.3">
      <c r="A127">
        <v>126</v>
      </c>
      <c r="B127" s="4">
        <v>40549</v>
      </c>
      <c r="C127" s="5">
        <v>0.45833333333333326</v>
      </c>
      <c r="D127" t="s">
        <v>8</v>
      </c>
      <c r="E127" t="s">
        <v>9</v>
      </c>
      <c r="F127" t="s">
        <v>16</v>
      </c>
      <c r="G127" t="s">
        <v>18</v>
      </c>
      <c r="H127">
        <v>0.22</v>
      </c>
      <c r="I127" s="3">
        <v>0.2576</v>
      </c>
      <c r="J127">
        <v>0.44</v>
      </c>
      <c r="K127">
        <v>8.9599999999999999E-2</v>
      </c>
      <c r="L127">
        <v>2</v>
      </c>
      <c r="M127">
        <v>57</v>
      </c>
      <c r="N127">
        <v>59</v>
      </c>
    </row>
    <row r="128" spans="1:14" x14ac:dyDescent="0.3">
      <c r="A128">
        <v>127</v>
      </c>
      <c r="B128" s="4">
        <v>40549</v>
      </c>
      <c r="C128" s="5">
        <v>0.5</v>
      </c>
      <c r="D128" t="s">
        <v>8</v>
      </c>
      <c r="E128" t="s">
        <v>9</v>
      </c>
      <c r="F128" t="s">
        <v>16</v>
      </c>
      <c r="G128" t="s">
        <v>18</v>
      </c>
      <c r="H128">
        <v>0.26</v>
      </c>
      <c r="I128" s="3">
        <v>0.28789999999999999</v>
      </c>
      <c r="J128">
        <v>0.35</v>
      </c>
      <c r="K128">
        <v>0</v>
      </c>
      <c r="L128">
        <v>6</v>
      </c>
      <c r="M128">
        <v>78</v>
      </c>
      <c r="N128">
        <v>84</v>
      </c>
    </row>
    <row r="129" spans="1:14" x14ac:dyDescent="0.3">
      <c r="A129">
        <v>128</v>
      </c>
      <c r="B129" s="4">
        <v>40549</v>
      </c>
      <c r="C129" s="5">
        <v>0.54166666666666674</v>
      </c>
      <c r="D129" t="s">
        <v>8</v>
      </c>
      <c r="E129" t="s">
        <v>9</v>
      </c>
      <c r="F129" t="s">
        <v>16</v>
      </c>
      <c r="G129" t="s">
        <v>18</v>
      </c>
      <c r="H129">
        <v>0.26</v>
      </c>
      <c r="I129" s="3">
        <v>0.2727</v>
      </c>
      <c r="J129">
        <v>0.35</v>
      </c>
      <c r="K129">
        <v>0.1045</v>
      </c>
      <c r="L129">
        <v>12</v>
      </c>
      <c r="M129">
        <v>55</v>
      </c>
      <c r="N129">
        <v>67</v>
      </c>
    </row>
    <row r="130" spans="1:14" x14ac:dyDescent="0.3">
      <c r="A130">
        <v>129</v>
      </c>
      <c r="B130" s="4">
        <v>40549</v>
      </c>
      <c r="C130" s="5">
        <v>0.58333333333333326</v>
      </c>
      <c r="D130" t="s">
        <v>8</v>
      </c>
      <c r="E130" t="s">
        <v>9</v>
      </c>
      <c r="F130" t="s">
        <v>16</v>
      </c>
      <c r="G130" t="s">
        <v>18</v>
      </c>
      <c r="H130">
        <v>0.28000000000000003</v>
      </c>
      <c r="I130" s="3">
        <v>0.2727</v>
      </c>
      <c r="J130">
        <v>0.36</v>
      </c>
      <c r="K130">
        <v>0.16420000000000001</v>
      </c>
      <c r="L130">
        <v>11</v>
      </c>
      <c r="M130">
        <v>59</v>
      </c>
      <c r="N130">
        <v>70</v>
      </c>
    </row>
    <row r="131" spans="1:14" x14ac:dyDescent="0.3">
      <c r="A131">
        <v>130</v>
      </c>
      <c r="B131" s="4">
        <v>40549</v>
      </c>
      <c r="C131" s="5">
        <v>0.625</v>
      </c>
      <c r="D131" t="s">
        <v>8</v>
      </c>
      <c r="E131" t="s">
        <v>9</v>
      </c>
      <c r="F131" t="s">
        <v>16</v>
      </c>
      <c r="G131" t="s">
        <v>18</v>
      </c>
      <c r="H131">
        <v>0.28000000000000003</v>
      </c>
      <c r="I131" s="3">
        <v>0.2727</v>
      </c>
      <c r="J131">
        <v>0.36</v>
      </c>
      <c r="K131">
        <v>0</v>
      </c>
      <c r="L131">
        <v>8</v>
      </c>
      <c r="M131">
        <v>54</v>
      </c>
      <c r="N131">
        <v>62</v>
      </c>
    </row>
    <row r="132" spans="1:14" x14ac:dyDescent="0.3">
      <c r="A132">
        <v>131</v>
      </c>
      <c r="B132" s="4">
        <v>40549</v>
      </c>
      <c r="C132" s="5">
        <v>0.66666666666666674</v>
      </c>
      <c r="D132" t="s">
        <v>8</v>
      </c>
      <c r="E132" t="s">
        <v>9</v>
      </c>
      <c r="F132" t="s">
        <v>16</v>
      </c>
      <c r="G132" t="s">
        <v>18</v>
      </c>
      <c r="H132">
        <v>0.26</v>
      </c>
      <c r="I132" s="3">
        <v>0.2576</v>
      </c>
      <c r="J132">
        <v>0.38</v>
      </c>
      <c r="K132">
        <v>0.16420000000000001</v>
      </c>
      <c r="L132">
        <v>12</v>
      </c>
      <c r="M132">
        <v>74</v>
      </c>
      <c r="N132">
        <v>86</v>
      </c>
    </row>
    <row r="133" spans="1:14" x14ac:dyDescent="0.3">
      <c r="A133">
        <v>132</v>
      </c>
      <c r="B133" s="4">
        <v>40549</v>
      </c>
      <c r="C133" s="5">
        <v>0.70833333333333326</v>
      </c>
      <c r="D133" t="s">
        <v>8</v>
      </c>
      <c r="E133" t="s">
        <v>9</v>
      </c>
      <c r="F133" t="s">
        <v>16</v>
      </c>
      <c r="G133" t="s">
        <v>18</v>
      </c>
      <c r="H133">
        <v>0.22</v>
      </c>
      <c r="I133" s="3">
        <v>0.2273</v>
      </c>
      <c r="J133">
        <v>0.51</v>
      </c>
      <c r="K133">
        <v>0.16420000000000001</v>
      </c>
      <c r="L133">
        <v>9</v>
      </c>
      <c r="M133">
        <v>163</v>
      </c>
      <c r="N133">
        <v>172</v>
      </c>
    </row>
    <row r="134" spans="1:14" x14ac:dyDescent="0.3">
      <c r="A134">
        <v>133</v>
      </c>
      <c r="B134" s="4">
        <v>40549</v>
      </c>
      <c r="C134" s="5">
        <v>0.75</v>
      </c>
      <c r="D134" t="s">
        <v>8</v>
      </c>
      <c r="E134" t="s">
        <v>9</v>
      </c>
      <c r="F134" t="s">
        <v>16</v>
      </c>
      <c r="G134" t="s">
        <v>18</v>
      </c>
      <c r="H134">
        <v>0.22</v>
      </c>
      <c r="I134" s="3">
        <v>0.2273</v>
      </c>
      <c r="J134">
        <v>0.51</v>
      </c>
      <c r="K134">
        <v>0.1343</v>
      </c>
      <c r="L134">
        <v>5</v>
      </c>
      <c r="M134">
        <v>158</v>
      </c>
      <c r="N134">
        <v>163</v>
      </c>
    </row>
    <row r="135" spans="1:14" x14ac:dyDescent="0.3">
      <c r="A135">
        <v>134</v>
      </c>
      <c r="B135" s="4">
        <v>40549</v>
      </c>
      <c r="C135" s="5">
        <v>0.79166666666666674</v>
      </c>
      <c r="D135" t="s">
        <v>8</v>
      </c>
      <c r="E135" t="s">
        <v>9</v>
      </c>
      <c r="F135" t="s">
        <v>16</v>
      </c>
      <c r="G135" t="s">
        <v>18</v>
      </c>
      <c r="H135">
        <v>0.22</v>
      </c>
      <c r="I135" s="3">
        <v>0.2576</v>
      </c>
      <c r="J135">
        <v>0.55000000000000004</v>
      </c>
      <c r="K135">
        <v>8.9599999999999999E-2</v>
      </c>
      <c r="L135">
        <v>3</v>
      </c>
      <c r="M135">
        <v>109</v>
      </c>
      <c r="N135">
        <v>112</v>
      </c>
    </row>
    <row r="136" spans="1:14" x14ac:dyDescent="0.3">
      <c r="A136">
        <v>135</v>
      </c>
      <c r="B136" s="4">
        <v>40549</v>
      </c>
      <c r="C136" s="5">
        <v>0.83333333333333326</v>
      </c>
      <c r="D136" t="s">
        <v>8</v>
      </c>
      <c r="E136" t="s">
        <v>9</v>
      </c>
      <c r="F136" t="s">
        <v>16</v>
      </c>
      <c r="G136" t="s">
        <v>18</v>
      </c>
      <c r="H136">
        <v>0.2</v>
      </c>
      <c r="I136" s="3">
        <v>0.21210000000000001</v>
      </c>
      <c r="J136">
        <v>0.51</v>
      </c>
      <c r="K136">
        <v>0.16420000000000001</v>
      </c>
      <c r="L136">
        <v>3</v>
      </c>
      <c r="M136">
        <v>66</v>
      </c>
      <c r="N136">
        <v>69</v>
      </c>
    </row>
    <row r="137" spans="1:14" x14ac:dyDescent="0.3">
      <c r="A137">
        <v>136</v>
      </c>
      <c r="B137" s="4">
        <v>40549</v>
      </c>
      <c r="C137" s="5">
        <v>0.875</v>
      </c>
      <c r="D137" t="s">
        <v>8</v>
      </c>
      <c r="E137" t="s">
        <v>9</v>
      </c>
      <c r="F137" t="s">
        <v>16</v>
      </c>
      <c r="G137" t="s">
        <v>19</v>
      </c>
      <c r="H137">
        <v>0.22</v>
      </c>
      <c r="I137" s="3">
        <v>0.21210000000000001</v>
      </c>
      <c r="J137">
        <v>0.55000000000000004</v>
      </c>
      <c r="K137">
        <v>0.22389999999999999</v>
      </c>
      <c r="L137">
        <v>0</v>
      </c>
      <c r="M137">
        <v>48</v>
      </c>
      <c r="N137">
        <v>48</v>
      </c>
    </row>
    <row r="138" spans="1:14" x14ac:dyDescent="0.3">
      <c r="A138">
        <v>137</v>
      </c>
      <c r="B138" s="4">
        <v>40549</v>
      </c>
      <c r="C138" s="5">
        <v>0.91666666666666674</v>
      </c>
      <c r="D138" t="s">
        <v>8</v>
      </c>
      <c r="E138" t="s">
        <v>9</v>
      </c>
      <c r="F138" t="s">
        <v>16</v>
      </c>
      <c r="G138" t="s">
        <v>19</v>
      </c>
      <c r="H138">
        <v>0.22</v>
      </c>
      <c r="I138" s="3">
        <v>0.21210000000000001</v>
      </c>
      <c r="J138">
        <v>0.51</v>
      </c>
      <c r="K138">
        <v>0.28360000000000002</v>
      </c>
      <c r="L138">
        <v>1</v>
      </c>
      <c r="M138">
        <v>51</v>
      </c>
      <c r="N138">
        <v>52</v>
      </c>
    </row>
    <row r="139" spans="1:14" x14ac:dyDescent="0.3">
      <c r="A139">
        <v>138</v>
      </c>
      <c r="B139" s="4">
        <v>40549</v>
      </c>
      <c r="C139" s="5">
        <v>0.95833333333333326</v>
      </c>
      <c r="D139" t="s">
        <v>8</v>
      </c>
      <c r="E139" t="s">
        <v>9</v>
      </c>
      <c r="F139" t="s">
        <v>16</v>
      </c>
      <c r="G139" t="s">
        <v>19</v>
      </c>
      <c r="H139">
        <v>0.2</v>
      </c>
      <c r="I139" s="3">
        <v>0.19700000000000001</v>
      </c>
      <c r="J139">
        <v>0.59</v>
      </c>
      <c r="K139">
        <v>0.19400000000000001</v>
      </c>
      <c r="L139">
        <v>4</v>
      </c>
      <c r="M139">
        <v>19</v>
      </c>
      <c r="N139">
        <v>23</v>
      </c>
    </row>
    <row r="140" spans="1:14" x14ac:dyDescent="0.3">
      <c r="A140">
        <v>139</v>
      </c>
      <c r="B140" s="4">
        <v>40550</v>
      </c>
      <c r="C140" s="5">
        <v>0</v>
      </c>
      <c r="D140" t="s">
        <v>8</v>
      </c>
      <c r="E140" t="s">
        <v>9</v>
      </c>
      <c r="F140" t="s">
        <v>17</v>
      </c>
      <c r="G140" t="s">
        <v>19</v>
      </c>
      <c r="H140">
        <v>0.2</v>
      </c>
      <c r="I140" s="3">
        <v>0.19700000000000001</v>
      </c>
      <c r="J140">
        <v>0.64</v>
      </c>
      <c r="K140">
        <v>0.19400000000000001</v>
      </c>
      <c r="L140">
        <v>4</v>
      </c>
      <c r="M140">
        <v>13</v>
      </c>
      <c r="N140">
        <v>17</v>
      </c>
    </row>
    <row r="141" spans="1:14" x14ac:dyDescent="0.3">
      <c r="A141">
        <v>140</v>
      </c>
      <c r="B141" s="4">
        <v>40550</v>
      </c>
      <c r="C141" s="5">
        <v>4.1666666666666741E-2</v>
      </c>
      <c r="D141" t="s">
        <v>8</v>
      </c>
      <c r="E141" t="s">
        <v>9</v>
      </c>
      <c r="F141" t="s">
        <v>17</v>
      </c>
      <c r="G141" t="s">
        <v>19</v>
      </c>
      <c r="H141">
        <v>0.2</v>
      </c>
      <c r="I141" s="3">
        <v>0.19700000000000001</v>
      </c>
      <c r="J141">
        <v>0.69</v>
      </c>
      <c r="K141">
        <v>0.22389999999999999</v>
      </c>
      <c r="L141">
        <v>2</v>
      </c>
      <c r="M141">
        <v>5</v>
      </c>
      <c r="N141">
        <v>7</v>
      </c>
    </row>
    <row r="142" spans="1:14" x14ac:dyDescent="0.3">
      <c r="A142">
        <v>141</v>
      </c>
      <c r="B142" s="4">
        <v>40550</v>
      </c>
      <c r="C142" s="5">
        <v>8.3333333333333259E-2</v>
      </c>
      <c r="D142" t="s">
        <v>8</v>
      </c>
      <c r="E142" t="s">
        <v>9</v>
      </c>
      <c r="F142" t="s">
        <v>17</v>
      </c>
      <c r="G142" t="s">
        <v>19</v>
      </c>
      <c r="H142">
        <v>0.2</v>
      </c>
      <c r="I142" s="3">
        <v>0.19700000000000001</v>
      </c>
      <c r="J142">
        <v>0.69</v>
      </c>
      <c r="K142">
        <v>0.22389999999999999</v>
      </c>
      <c r="L142">
        <v>0</v>
      </c>
      <c r="M142">
        <v>1</v>
      </c>
      <c r="N142">
        <v>1</v>
      </c>
    </row>
    <row r="143" spans="1:14" x14ac:dyDescent="0.3">
      <c r="A143">
        <v>142</v>
      </c>
      <c r="B143" s="4">
        <v>40550</v>
      </c>
      <c r="C143" s="5">
        <v>0.16666666666666674</v>
      </c>
      <c r="D143" t="s">
        <v>8</v>
      </c>
      <c r="E143" t="s">
        <v>9</v>
      </c>
      <c r="F143" t="s">
        <v>17</v>
      </c>
      <c r="G143" t="s">
        <v>19</v>
      </c>
      <c r="H143">
        <v>0.2</v>
      </c>
      <c r="I143" s="3">
        <v>0.21210000000000001</v>
      </c>
      <c r="J143">
        <v>0.69</v>
      </c>
      <c r="K143">
        <v>0.1343</v>
      </c>
      <c r="L143">
        <v>0</v>
      </c>
      <c r="M143">
        <v>1</v>
      </c>
      <c r="N143">
        <v>1</v>
      </c>
    </row>
    <row r="144" spans="1:14" x14ac:dyDescent="0.3">
      <c r="A144">
        <v>143</v>
      </c>
      <c r="B144" s="4">
        <v>40550</v>
      </c>
      <c r="C144" s="5">
        <v>0.20833333333333326</v>
      </c>
      <c r="D144" t="s">
        <v>8</v>
      </c>
      <c r="E144" t="s">
        <v>9</v>
      </c>
      <c r="F144" t="s">
        <v>17</v>
      </c>
      <c r="G144" t="s">
        <v>20</v>
      </c>
      <c r="H144">
        <v>0.22</v>
      </c>
      <c r="I144" s="3">
        <v>0.2727</v>
      </c>
      <c r="J144">
        <v>0.55000000000000004</v>
      </c>
      <c r="K144">
        <v>0</v>
      </c>
      <c r="L144">
        <v>0</v>
      </c>
      <c r="M144">
        <v>5</v>
      </c>
      <c r="N144">
        <v>5</v>
      </c>
    </row>
    <row r="145" spans="1:14" x14ac:dyDescent="0.3">
      <c r="A145">
        <v>144</v>
      </c>
      <c r="B145" s="4">
        <v>40550</v>
      </c>
      <c r="C145" s="5">
        <v>0.25</v>
      </c>
      <c r="D145" t="s">
        <v>8</v>
      </c>
      <c r="E145" t="s">
        <v>9</v>
      </c>
      <c r="F145" t="s">
        <v>17</v>
      </c>
      <c r="G145" t="s">
        <v>19</v>
      </c>
      <c r="H145">
        <v>0.2</v>
      </c>
      <c r="I145" s="3">
        <v>0.2576</v>
      </c>
      <c r="J145">
        <v>0.69</v>
      </c>
      <c r="K145">
        <v>0</v>
      </c>
      <c r="L145">
        <v>8</v>
      </c>
      <c r="M145">
        <v>26</v>
      </c>
      <c r="N145">
        <v>34</v>
      </c>
    </row>
    <row r="146" spans="1:14" x14ac:dyDescent="0.3">
      <c r="A146">
        <v>145</v>
      </c>
      <c r="B146" s="4">
        <v>40550</v>
      </c>
      <c r="C146" s="5">
        <v>0.29166666666666674</v>
      </c>
      <c r="D146" t="s">
        <v>8</v>
      </c>
      <c r="E146" t="s">
        <v>9</v>
      </c>
      <c r="F146" t="s">
        <v>17</v>
      </c>
      <c r="G146" t="s">
        <v>18</v>
      </c>
      <c r="H146">
        <v>0.2</v>
      </c>
      <c r="I146" s="3">
        <v>0.21210000000000001</v>
      </c>
      <c r="J146">
        <v>0.69</v>
      </c>
      <c r="K146">
        <v>0.1343</v>
      </c>
      <c r="L146">
        <v>8</v>
      </c>
      <c r="M146">
        <v>76</v>
      </c>
      <c r="N146">
        <v>84</v>
      </c>
    </row>
    <row r="147" spans="1:14" x14ac:dyDescent="0.3">
      <c r="A147">
        <v>146</v>
      </c>
      <c r="B147" s="4">
        <v>40550</v>
      </c>
      <c r="C147" s="5">
        <v>0.33333333333333326</v>
      </c>
      <c r="D147" t="s">
        <v>8</v>
      </c>
      <c r="E147" t="s">
        <v>9</v>
      </c>
      <c r="F147" t="s">
        <v>17</v>
      </c>
      <c r="G147" t="s">
        <v>18</v>
      </c>
      <c r="H147">
        <v>0.2</v>
      </c>
      <c r="I147" s="3">
        <v>0.19700000000000001</v>
      </c>
      <c r="J147">
        <v>0.51</v>
      </c>
      <c r="K147">
        <v>0.25369999999999998</v>
      </c>
      <c r="L147">
        <v>20</v>
      </c>
      <c r="M147">
        <v>190</v>
      </c>
      <c r="N147">
        <v>210</v>
      </c>
    </row>
    <row r="148" spans="1:14" x14ac:dyDescent="0.3">
      <c r="A148">
        <v>147</v>
      </c>
      <c r="B148" s="4">
        <v>40550</v>
      </c>
      <c r="C148" s="5">
        <v>0.375</v>
      </c>
      <c r="D148" t="s">
        <v>8</v>
      </c>
      <c r="E148" t="s">
        <v>9</v>
      </c>
      <c r="F148" t="s">
        <v>17</v>
      </c>
      <c r="G148" t="s">
        <v>18</v>
      </c>
      <c r="H148">
        <v>0.2</v>
      </c>
      <c r="I148" s="3">
        <v>0.18179999999999999</v>
      </c>
      <c r="J148">
        <v>0.47</v>
      </c>
      <c r="K148">
        <v>0.29849999999999999</v>
      </c>
      <c r="L148">
        <v>9</v>
      </c>
      <c r="M148">
        <v>125</v>
      </c>
      <c r="N148">
        <v>134</v>
      </c>
    </row>
    <row r="149" spans="1:14" x14ac:dyDescent="0.3">
      <c r="A149">
        <v>148</v>
      </c>
      <c r="B149" s="4">
        <v>40550</v>
      </c>
      <c r="C149" s="5">
        <v>0.41666666666666674</v>
      </c>
      <c r="D149" t="s">
        <v>8</v>
      </c>
      <c r="E149" t="s">
        <v>9</v>
      </c>
      <c r="F149" t="s">
        <v>17</v>
      </c>
      <c r="G149" t="s">
        <v>18</v>
      </c>
      <c r="H149">
        <v>0.22</v>
      </c>
      <c r="I149" s="3">
        <v>0.19700000000000001</v>
      </c>
      <c r="J149">
        <v>0.37</v>
      </c>
      <c r="K149">
        <v>0.32840000000000003</v>
      </c>
      <c r="L149">
        <v>16</v>
      </c>
      <c r="M149">
        <v>47</v>
      </c>
      <c r="N149">
        <v>63</v>
      </c>
    </row>
    <row r="150" spans="1:14" x14ac:dyDescent="0.3">
      <c r="A150">
        <v>149</v>
      </c>
      <c r="B150" s="4">
        <v>40550</v>
      </c>
      <c r="C150" s="5">
        <v>0.45833333333333326</v>
      </c>
      <c r="D150" t="s">
        <v>8</v>
      </c>
      <c r="E150" t="s">
        <v>9</v>
      </c>
      <c r="F150" t="s">
        <v>17</v>
      </c>
      <c r="G150" t="s">
        <v>19</v>
      </c>
      <c r="H150">
        <v>0.2</v>
      </c>
      <c r="I150" s="3">
        <v>0.19700000000000001</v>
      </c>
      <c r="J150">
        <v>0.4</v>
      </c>
      <c r="K150">
        <v>0.22389999999999999</v>
      </c>
      <c r="L150">
        <v>19</v>
      </c>
      <c r="M150">
        <v>48</v>
      </c>
      <c r="N150">
        <v>67</v>
      </c>
    </row>
    <row r="151" spans="1:14" x14ac:dyDescent="0.3">
      <c r="A151">
        <v>150</v>
      </c>
      <c r="B151" s="4">
        <v>40550</v>
      </c>
      <c r="C151" s="5">
        <v>0.5</v>
      </c>
      <c r="D151" t="s">
        <v>8</v>
      </c>
      <c r="E151" t="s">
        <v>9</v>
      </c>
      <c r="F151" t="s">
        <v>17</v>
      </c>
      <c r="G151" t="s">
        <v>19</v>
      </c>
      <c r="H151">
        <v>0.2</v>
      </c>
      <c r="I151" s="3">
        <v>0.19700000000000001</v>
      </c>
      <c r="J151">
        <v>0.37</v>
      </c>
      <c r="K151">
        <v>0.25369999999999998</v>
      </c>
      <c r="L151">
        <v>9</v>
      </c>
      <c r="M151">
        <v>50</v>
      </c>
      <c r="N151">
        <v>59</v>
      </c>
    </row>
    <row r="152" spans="1:14" x14ac:dyDescent="0.3">
      <c r="A152">
        <v>151</v>
      </c>
      <c r="B152" s="4">
        <v>40550</v>
      </c>
      <c r="C152" s="5">
        <v>0.54166666666666674</v>
      </c>
      <c r="D152" t="s">
        <v>8</v>
      </c>
      <c r="E152" t="s">
        <v>9</v>
      </c>
      <c r="F152" t="s">
        <v>17</v>
      </c>
      <c r="G152" t="s">
        <v>19</v>
      </c>
      <c r="H152">
        <v>0.2</v>
      </c>
      <c r="I152" s="3">
        <v>0.18179999999999999</v>
      </c>
      <c r="J152">
        <v>0.37</v>
      </c>
      <c r="K152">
        <v>0.28360000000000002</v>
      </c>
      <c r="L152">
        <v>9</v>
      </c>
      <c r="M152">
        <v>64</v>
      </c>
      <c r="N152">
        <v>73</v>
      </c>
    </row>
    <row r="153" spans="1:14" x14ac:dyDescent="0.3">
      <c r="A153">
        <v>152</v>
      </c>
      <c r="B153" s="4">
        <v>40550</v>
      </c>
      <c r="C153" s="5">
        <v>0.58333333333333326</v>
      </c>
      <c r="D153" t="s">
        <v>8</v>
      </c>
      <c r="E153" t="s">
        <v>9</v>
      </c>
      <c r="F153" t="s">
        <v>17</v>
      </c>
      <c r="G153" t="s">
        <v>19</v>
      </c>
      <c r="H153">
        <v>0.2</v>
      </c>
      <c r="I153" s="3">
        <v>0.19700000000000001</v>
      </c>
      <c r="J153">
        <v>0.4</v>
      </c>
      <c r="K153">
        <v>0.25369999999999998</v>
      </c>
      <c r="L153">
        <v>7</v>
      </c>
      <c r="M153">
        <v>43</v>
      </c>
      <c r="N153">
        <v>50</v>
      </c>
    </row>
    <row r="154" spans="1:14" x14ac:dyDescent="0.3">
      <c r="A154">
        <v>153</v>
      </c>
      <c r="B154" s="4">
        <v>40550</v>
      </c>
      <c r="C154" s="5">
        <v>0.625</v>
      </c>
      <c r="D154" t="s">
        <v>8</v>
      </c>
      <c r="E154" t="s">
        <v>9</v>
      </c>
      <c r="F154" t="s">
        <v>17</v>
      </c>
      <c r="G154" t="s">
        <v>19</v>
      </c>
      <c r="H154">
        <v>0.2</v>
      </c>
      <c r="I154" s="3">
        <v>0.21210000000000001</v>
      </c>
      <c r="J154">
        <v>0.37</v>
      </c>
      <c r="K154">
        <v>0.16420000000000001</v>
      </c>
      <c r="L154">
        <v>9</v>
      </c>
      <c r="M154">
        <v>63</v>
      </c>
      <c r="N154">
        <v>72</v>
      </c>
    </row>
    <row r="155" spans="1:14" x14ac:dyDescent="0.3">
      <c r="A155">
        <v>154</v>
      </c>
      <c r="B155" s="4">
        <v>40550</v>
      </c>
      <c r="C155" s="5">
        <v>0.66666666666666674</v>
      </c>
      <c r="D155" t="s">
        <v>8</v>
      </c>
      <c r="E155" t="s">
        <v>9</v>
      </c>
      <c r="F155" t="s">
        <v>17</v>
      </c>
      <c r="G155" t="s">
        <v>19</v>
      </c>
      <c r="H155">
        <v>0.2</v>
      </c>
      <c r="I155" s="3">
        <v>0.21210000000000001</v>
      </c>
      <c r="J155">
        <v>0.37</v>
      </c>
      <c r="K155">
        <v>0.16420000000000001</v>
      </c>
      <c r="L155">
        <v>5</v>
      </c>
      <c r="M155">
        <v>82</v>
      </c>
      <c r="N155">
        <v>87</v>
      </c>
    </row>
    <row r="156" spans="1:14" x14ac:dyDescent="0.3">
      <c r="A156">
        <v>155</v>
      </c>
      <c r="B156" s="4">
        <v>40550</v>
      </c>
      <c r="C156" s="5">
        <v>0.70833333333333326</v>
      </c>
      <c r="D156" t="s">
        <v>8</v>
      </c>
      <c r="E156" t="s">
        <v>9</v>
      </c>
      <c r="F156" t="s">
        <v>17</v>
      </c>
      <c r="G156" t="s">
        <v>19</v>
      </c>
      <c r="H156">
        <v>0.2</v>
      </c>
      <c r="I156" s="3">
        <v>0.2576</v>
      </c>
      <c r="J156">
        <v>0.37</v>
      </c>
      <c r="K156">
        <v>0</v>
      </c>
      <c r="L156">
        <v>9</v>
      </c>
      <c r="M156">
        <v>178</v>
      </c>
      <c r="N156">
        <v>187</v>
      </c>
    </row>
    <row r="157" spans="1:14" x14ac:dyDescent="0.3">
      <c r="A157">
        <v>156</v>
      </c>
      <c r="B157" s="4">
        <v>40550</v>
      </c>
      <c r="C157" s="5">
        <v>0.75</v>
      </c>
      <c r="D157" t="s">
        <v>8</v>
      </c>
      <c r="E157" t="s">
        <v>9</v>
      </c>
      <c r="F157" t="s">
        <v>17</v>
      </c>
      <c r="G157" t="s">
        <v>18</v>
      </c>
      <c r="H157">
        <v>0.2</v>
      </c>
      <c r="I157" s="3">
        <v>0.2273</v>
      </c>
      <c r="J157">
        <v>0.4</v>
      </c>
      <c r="K157">
        <v>8.9599999999999999E-2</v>
      </c>
      <c r="L157">
        <v>7</v>
      </c>
      <c r="M157">
        <v>116</v>
      </c>
      <c r="N157">
        <v>123</v>
      </c>
    </row>
    <row r="158" spans="1:14" x14ac:dyDescent="0.3">
      <c r="A158">
        <v>157</v>
      </c>
      <c r="B158" s="4">
        <v>40550</v>
      </c>
      <c r="C158" s="5">
        <v>0.79166666666666674</v>
      </c>
      <c r="D158" t="s">
        <v>8</v>
      </c>
      <c r="E158" t="s">
        <v>9</v>
      </c>
      <c r="F158" t="s">
        <v>17</v>
      </c>
      <c r="G158" t="s">
        <v>18</v>
      </c>
      <c r="H158">
        <v>0.16</v>
      </c>
      <c r="I158" s="3">
        <v>0.19700000000000001</v>
      </c>
      <c r="J158">
        <v>0.55000000000000004</v>
      </c>
      <c r="K158">
        <v>8.9599999999999999E-2</v>
      </c>
      <c r="L158">
        <v>3</v>
      </c>
      <c r="M158">
        <v>92</v>
      </c>
      <c r="N158">
        <v>95</v>
      </c>
    </row>
    <row r="159" spans="1:14" x14ac:dyDescent="0.3">
      <c r="A159">
        <v>158</v>
      </c>
      <c r="B159" s="4">
        <v>40550</v>
      </c>
      <c r="C159" s="5">
        <v>0.83333333333333326</v>
      </c>
      <c r="D159" t="s">
        <v>8</v>
      </c>
      <c r="E159" t="s">
        <v>9</v>
      </c>
      <c r="F159" t="s">
        <v>17</v>
      </c>
      <c r="G159" t="s">
        <v>18</v>
      </c>
      <c r="H159">
        <v>0.18</v>
      </c>
      <c r="I159" s="3">
        <v>0.21210000000000001</v>
      </c>
      <c r="J159">
        <v>0.47</v>
      </c>
      <c r="K159">
        <v>0.1045</v>
      </c>
      <c r="L159">
        <v>1</v>
      </c>
      <c r="M159">
        <v>50</v>
      </c>
      <c r="N159">
        <v>51</v>
      </c>
    </row>
    <row r="160" spans="1:14" x14ac:dyDescent="0.3">
      <c r="A160">
        <v>159</v>
      </c>
      <c r="B160" s="4">
        <v>40550</v>
      </c>
      <c r="C160" s="5">
        <v>0.875</v>
      </c>
      <c r="D160" t="s">
        <v>8</v>
      </c>
      <c r="E160" t="s">
        <v>9</v>
      </c>
      <c r="F160" t="s">
        <v>17</v>
      </c>
      <c r="G160" t="s">
        <v>18</v>
      </c>
      <c r="H160">
        <v>0.18</v>
      </c>
      <c r="I160" s="3">
        <v>0.19700000000000001</v>
      </c>
      <c r="J160">
        <v>0.47</v>
      </c>
      <c r="K160">
        <v>0.1343</v>
      </c>
      <c r="L160">
        <v>0</v>
      </c>
      <c r="M160">
        <v>39</v>
      </c>
      <c r="N160">
        <v>39</v>
      </c>
    </row>
    <row r="161" spans="1:14" x14ac:dyDescent="0.3">
      <c r="A161">
        <v>160</v>
      </c>
      <c r="B161" s="4">
        <v>40550</v>
      </c>
      <c r="C161" s="5">
        <v>0.91666666666666674</v>
      </c>
      <c r="D161" t="s">
        <v>8</v>
      </c>
      <c r="E161" t="s">
        <v>9</v>
      </c>
      <c r="F161" t="s">
        <v>17</v>
      </c>
      <c r="G161" t="s">
        <v>19</v>
      </c>
      <c r="H161">
        <v>0.18</v>
      </c>
      <c r="I161" s="3">
        <v>0.19700000000000001</v>
      </c>
      <c r="J161">
        <v>0.43</v>
      </c>
      <c r="K161">
        <v>0.16420000000000001</v>
      </c>
      <c r="L161">
        <v>2</v>
      </c>
      <c r="M161">
        <v>34</v>
      </c>
      <c r="N161">
        <v>36</v>
      </c>
    </row>
    <row r="162" spans="1:14" x14ac:dyDescent="0.3">
      <c r="A162">
        <v>161</v>
      </c>
      <c r="B162" s="4">
        <v>40550</v>
      </c>
      <c r="C162" s="5">
        <v>0.95833333333333326</v>
      </c>
      <c r="D162" t="s">
        <v>8</v>
      </c>
      <c r="E162" t="s">
        <v>9</v>
      </c>
      <c r="F162" t="s">
        <v>17</v>
      </c>
      <c r="G162" t="s">
        <v>19</v>
      </c>
      <c r="H162">
        <v>0.18</v>
      </c>
      <c r="I162" s="3">
        <v>0.19700000000000001</v>
      </c>
      <c r="J162">
        <v>0.51</v>
      </c>
      <c r="K162">
        <v>0.16420000000000001</v>
      </c>
      <c r="L162">
        <v>1</v>
      </c>
      <c r="M162">
        <v>14</v>
      </c>
      <c r="N162">
        <v>15</v>
      </c>
    </row>
    <row r="163" spans="1:14" x14ac:dyDescent="0.3">
      <c r="A163">
        <v>162</v>
      </c>
      <c r="B163" s="4">
        <v>40551</v>
      </c>
      <c r="C163" s="5">
        <v>0</v>
      </c>
      <c r="D163" t="s">
        <v>8</v>
      </c>
      <c r="E163" t="s">
        <v>9</v>
      </c>
      <c r="F163" t="s">
        <v>11</v>
      </c>
      <c r="G163" t="s">
        <v>19</v>
      </c>
      <c r="H163">
        <v>0.18</v>
      </c>
      <c r="I163" s="3">
        <v>0.19700000000000001</v>
      </c>
      <c r="J163">
        <v>0.51</v>
      </c>
      <c r="K163">
        <v>0.16420000000000001</v>
      </c>
      <c r="L163">
        <v>1</v>
      </c>
      <c r="M163">
        <v>24</v>
      </c>
      <c r="N163">
        <v>25</v>
      </c>
    </row>
    <row r="164" spans="1:14" x14ac:dyDescent="0.3">
      <c r="A164">
        <v>163</v>
      </c>
      <c r="B164" s="4">
        <v>40551</v>
      </c>
      <c r="C164" s="5">
        <v>4.1666666666666741E-2</v>
      </c>
      <c r="D164" t="s">
        <v>8</v>
      </c>
      <c r="E164" t="s">
        <v>9</v>
      </c>
      <c r="F164" t="s">
        <v>11</v>
      </c>
      <c r="G164" t="s">
        <v>19</v>
      </c>
      <c r="H164">
        <v>0.18</v>
      </c>
      <c r="I164" s="3">
        <v>0.21210000000000001</v>
      </c>
      <c r="J164">
        <v>0.55000000000000004</v>
      </c>
      <c r="K164">
        <v>8.9599999999999999E-2</v>
      </c>
      <c r="L164">
        <v>1</v>
      </c>
      <c r="M164">
        <v>15</v>
      </c>
      <c r="N164">
        <v>16</v>
      </c>
    </row>
    <row r="165" spans="1:14" x14ac:dyDescent="0.3">
      <c r="A165">
        <v>164</v>
      </c>
      <c r="B165" s="4">
        <v>40551</v>
      </c>
      <c r="C165" s="5">
        <v>8.3333333333333259E-2</v>
      </c>
      <c r="D165" t="s">
        <v>8</v>
      </c>
      <c r="E165" t="s">
        <v>9</v>
      </c>
      <c r="F165" t="s">
        <v>11</v>
      </c>
      <c r="G165" t="s">
        <v>19</v>
      </c>
      <c r="H165">
        <v>0.18</v>
      </c>
      <c r="I165" s="3">
        <v>0.2424</v>
      </c>
      <c r="J165">
        <v>0.55000000000000004</v>
      </c>
      <c r="K165">
        <v>0</v>
      </c>
      <c r="L165">
        <v>3</v>
      </c>
      <c r="M165">
        <v>13</v>
      </c>
      <c r="N165">
        <v>16</v>
      </c>
    </row>
    <row r="166" spans="1:14" x14ac:dyDescent="0.3">
      <c r="A166">
        <v>165</v>
      </c>
      <c r="B166" s="4">
        <v>40551</v>
      </c>
      <c r="C166" s="5">
        <v>0.125</v>
      </c>
      <c r="D166" t="s">
        <v>8</v>
      </c>
      <c r="E166" t="s">
        <v>9</v>
      </c>
      <c r="F166" t="s">
        <v>11</v>
      </c>
      <c r="G166" t="s">
        <v>20</v>
      </c>
      <c r="H166">
        <v>0.18</v>
      </c>
      <c r="I166" s="3">
        <v>0.19700000000000001</v>
      </c>
      <c r="J166">
        <v>0.55000000000000004</v>
      </c>
      <c r="K166">
        <v>0.16420000000000001</v>
      </c>
      <c r="L166">
        <v>0</v>
      </c>
      <c r="M166">
        <v>7</v>
      </c>
      <c r="N166">
        <v>7</v>
      </c>
    </row>
    <row r="167" spans="1:14" x14ac:dyDescent="0.3">
      <c r="A167">
        <v>166</v>
      </c>
      <c r="B167" s="4">
        <v>40551</v>
      </c>
      <c r="C167" s="5">
        <v>0.16666666666666674</v>
      </c>
      <c r="D167" t="s">
        <v>8</v>
      </c>
      <c r="E167" t="s">
        <v>9</v>
      </c>
      <c r="F167" t="s">
        <v>11</v>
      </c>
      <c r="G167" t="s">
        <v>20</v>
      </c>
      <c r="H167">
        <v>0.18</v>
      </c>
      <c r="I167" s="3">
        <v>0.19700000000000001</v>
      </c>
      <c r="J167">
        <v>0.55000000000000004</v>
      </c>
      <c r="K167">
        <v>0.16420000000000001</v>
      </c>
      <c r="L167">
        <v>0</v>
      </c>
      <c r="M167">
        <v>1</v>
      </c>
      <c r="N167">
        <v>1</v>
      </c>
    </row>
    <row r="168" spans="1:14" x14ac:dyDescent="0.3">
      <c r="A168">
        <v>167</v>
      </c>
      <c r="B168" s="4">
        <v>40551</v>
      </c>
      <c r="C168" s="5">
        <v>0.20833333333333326</v>
      </c>
      <c r="D168" t="s">
        <v>8</v>
      </c>
      <c r="E168" t="s">
        <v>9</v>
      </c>
      <c r="F168" t="s">
        <v>11</v>
      </c>
      <c r="G168" t="s">
        <v>19</v>
      </c>
      <c r="H168">
        <v>0.16</v>
      </c>
      <c r="I168" s="3">
        <v>0.16669999999999999</v>
      </c>
      <c r="J168">
        <v>0.74</v>
      </c>
      <c r="K168">
        <v>0.16420000000000001</v>
      </c>
      <c r="L168">
        <v>0</v>
      </c>
      <c r="M168">
        <v>5</v>
      </c>
      <c r="N168">
        <v>5</v>
      </c>
    </row>
    <row r="169" spans="1:14" x14ac:dyDescent="0.3">
      <c r="A169">
        <v>168</v>
      </c>
      <c r="B169" s="4">
        <v>40551</v>
      </c>
      <c r="C169" s="5">
        <v>0.25</v>
      </c>
      <c r="D169" t="s">
        <v>8</v>
      </c>
      <c r="E169" t="s">
        <v>9</v>
      </c>
      <c r="F169" t="s">
        <v>11</v>
      </c>
      <c r="G169" t="s">
        <v>19</v>
      </c>
      <c r="H169">
        <v>0.16</v>
      </c>
      <c r="I169" s="3">
        <v>0.16669999999999999</v>
      </c>
      <c r="J169">
        <v>0.74</v>
      </c>
      <c r="K169">
        <v>0.16420000000000001</v>
      </c>
      <c r="L169">
        <v>0</v>
      </c>
      <c r="M169">
        <v>2</v>
      </c>
      <c r="N169">
        <v>2</v>
      </c>
    </row>
    <row r="170" spans="1:14" x14ac:dyDescent="0.3">
      <c r="A170">
        <v>169</v>
      </c>
      <c r="B170" s="4">
        <v>40551</v>
      </c>
      <c r="C170" s="5">
        <v>0.29166666666666674</v>
      </c>
      <c r="D170" t="s">
        <v>8</v>
      </c>
      <c r="E170" t="s">
        <v>9</v>
      </c>
      <c r="F170" t="s">
        <v>11</v>
      </c>
      <c r="G170" t="s">
        <v>19</v>
      </c>
      <c r="H170">
        <v>0.16</v>
      </c>
      <c r="I170" s="3">
        <v>0.18179999999999999</v>
      </c>
      <c r="J170">
        <v>0.74</v>
      </c>
      <c r="K170">
        <v>0.1045</v>
      </c>
      <c r="L170">
        <v>1</v>
      </c>
      <c r="M170">
        <v>8</v>
      </c>
      <c r="N170">
        <v>9</v>
      </c>
    </row>
    <row r="171" spans="1:14" x14ac:dyDescent="0.3">
      <c r="A171">
        <v>170</v>
      </c>
      <c r="B171" s="4">
        <v>40551</v>
      </c>
      <c r="C171" s="5">
        <v>0.33333333333333326</v>
      </c>
      <c r="D171" t="s">
        <v>8</v>
      </c>
      <c r="E171" t="s">
        <v>9</v>
      </c>
      <c r="F171" t="s">
        <v>11</v>
      </c>
      <c r="G171" t="s">
        <v>20</v>
      </c>
      <c r="H171">
        <v>0.16</v>
      </c>
      <c r="I171" s="3">
        <v>0.18179999999999999</v>
      </c>
      <c r="J171">
        <v>0.93</v>
      </c>
      <c r="K171">
        <v>0.1045</v>
      </c>
      <c r="L171">
        <v>0</v>
      </c>
      <c r="M171">
        <v>15</v>
      </c>
      <c r="N171">
        <v>15</v>
      </c>
    </row>
    <row r="172" spans="1:14" x14ac:dyDescent="0.3">
      <c r="A172">
        <v>171</v>
      </c>
      <c r="B172" s="4">
        <v>40551</v>
      </c>
      <c r="C172" s="5">
        <v>0.375</v>
      </c>
      <c r="D172" t="s">
        <v>8</v>
      </c>
      <c r="E172" t="s">
        <v>9</v>
      </c>
      <c r="F172" t="s">
        <v>11</v>
      </c>
      <c r="G172" t="s">
        <v>20</v>
      </c>
      <c r="H172">
        <v>0.16</v>
      </c>
      <c r="I172" s="3">
        <v>0.18179999999999999</v>
      </c>
      <c r="J172">
        <v>0.93</v>
      </c>
      <c r="K172">
        <v>0.1045</v>
      </c>
      <c r="L172">
        <v>0</v>
      </c>
      <c r="M172">
        <v>20</v>
      </c>
      <c r="N172">
        <v>20</v>
      </c>
    </row>
    <row r="173" spans="1:14" x14ac:dyDescent="0.3">
      <c r="A173">
        <v>172</v>
      </c>
      <c r="B173" s="4">
        <v>40551</v>
      </c>
      <c r="C173" s="5">
        <v>0.41666666666666674</v>
      </c>
      <c r="D173" t="s">
        <v>8</v>
      </c>
      <c r="E173" t="s">
        <v>9</v>
      </c>
      <c r="F173" t="s">
        <v>11</v>
      </c>
      <c r="G173" t="s">
        <v>19</v>
      </c>
      <c r="H173">
        <v>0.18</v>
      </c>
      <c r="I173" s="3">
        <v>0.19700000000000001</v>
      </c>
      <c r="J173">
        <v>0.8</v>
      </c>
      <c r="K173">
        <v>0.16420000000000001</v>
      </c>
      <c r="L173">
        <v>5</v>
      </c>
      <c r="M173">
        <v>56</v>
      </c>
      <c r="N173">
        <v>61</v>
      </c>
    </row>
    <row r="174" spans="1:14" x14ac:dyDescent="0.3">
      <c r="A174">
        <v>173</v>
      </c>
      <c r="B174" s="4">
        <v>40551</v>
      </c>
      <c r="C174" s="5">
        <v>0.45833333333333326</v>
      </c>
      <c r="D174" t="s">
        <v>8</v>
      </c>
      <c r="E174" t="s">
        <v>9</v>
      </c>
      <c r="F174" t="s">
        <v>11</v>
      </c>
      <c r="G174" t="s">
        <v>19</v>
      </c>
      <c r="H174">
        <v>0.2</v>
      </c>
      <c r="I174" s="3">
        <v>0.18179999999999999</v>
      </c>
      <c r="J174">
        <v>0.69</v>
      </c>
      <c r="K174">
        <v>0.3881</v>
      </c>
      <c r="L174">
        <v>2</v>
      </c>
      <c r="M174">
        <v>60</v>
      </c>
      <c r="N174">
        <v>62</v>
      </c>
    </row>
    <row r="175" spans="1:14" x14ac:dyDescent="0.3">
      <c r="A175">
        <v>174</v>
      </c>
      <c r="B175" s="4">
        <v>40551</v>
      </c>
      <c r="C175" s="5">
        <v>0.5</v>
      </c>
      <c r="D175" t="s">
        <v>8</v>
      </c>
      <c r="E175" t="s">
        <v>9</v>
      </c>
      <c r="F175" t="s">
        <v>11</v>
      </c>
      <c r="G175" t="s">
        <v>19</v>
      </c>
      <c r="H175">
        <v>0.2</v>
      </c>
      <c r="I175" s="3">
        <v>0.18179999999999999</v>
      </c>
      <c r="J175">
        <v>0.59</v>
      </c>
      <c r="K175">
        <v>0.35820000000000002</v>
      </c>
      <c r="L175">
        <v>8</v>
      </c>
      <c r="M175">
        <v>90</v>
      </c>
      <c r="N175">
        <v>98</v>
      </c>
    </row>
    <row r="176" spans="1:14" x14ac:dyDescent="0.3">
      <c r="A176">
        <v>175</v>
      </c>
      <c r="B176" s="4">
        <v>40551</v>
      </c>
      <c r="C176" s="5">
        <v>0.54166666666666674</v>
      </c>
      <c r="D176" t="s">
        <v>8</v>
      </c>
      <c r="E176" t="s">
        <v>9</v>
      </c>
      <c r="F176" t="s">
        <v>11</v>
      </c>
      <c r="G176" t="s">
        <v>18</v>
      </c>
      <c r="H176">
        <v>0.2</v>
      </c>
      <c r="I176" s="3">
        <v>0.18179999999999999</v>
      </c>
      <c r="J176">
        <v>0.44</v>
      </c>
      <c r="K176">
        <v>0.32840000000000003</v>
      </c>
      <c r="L176">
        <v>7</v>
      </c>
      <c r="M176">
        <v>95</v>
      </c>
      <c r="N176">
        <v>102</v>
      </c>
    </row>
    <row r="177" spans="1:14" x14ac:dyDescent="0.3">
      <c r="A177">
        <v>176</v>
      </c>
      <c r="B177" s="4">
        <v>40551</v>
      </c>
      <c r="C177" s="5">
        <v>0.58333333333333326</v>
      </c>
      <c r="D177" t="s">
        <v>8</v>
      </c>
      <c r="E177" t="s">
        <v>9</v>
      </c>
      <c r="F177" t="s">
        <v>11</v>
      </c>
      <c r="G177" t="s">
        <v>18</v>
      </c>
      <c r="H177">
        <v>0.2</v>
      </c>
      <c r="I177" s="3">
        <v>0.16669999999999999</v>
      </c>
      <c r="J177">
        <v>0.32</v>
      </c>
      <c r="K177">
        <v>0.49249999999999999</v>
      </c>
      <c r="L177">
        <v>12</v>
      </c>
      <c r="M177">
        <v>83</v>
      </c>
      <c r="N177">
        <v>95</v>
      </c>
    </row>
    <row r="178" spans="1:14" x14ac:dyDescent="0.3">
      <c r="A178">
        <v>177</v>
      </c>
      <c r="B178" s="4">
        <v>40551</v>
      </c>
      <c r="C178" s="5">
        <v>0.625</v>
      </c>
      <c r="D178" t="s">
        <v>8</v>
      </c>
      <c r="E178" t="s">
        <v>9</v>
      </c>
      <c r="F178" t="s">
        <v>11</v>
      </c>
      <c r="G178" t="s">
        <v>18</v>
      </c>
      <c r="H178">
        <v>0.2</v>
      </c>
      <c r="I178" s="3">
        <v>0.16669999999999999</v>
      </c>
      <c r="J178">
        <v>0.32</v>
      </c>
      <c r="K178">
        <v>0.44779999999999998</v>
      </c>
      <c r="L178">
        <v>5</v>
      </c>
      <c r="M178">
        <v>69</v>
      </c>
      <c r="N178">
        <v>74</v>
      </c>
    </row>
    <row r="179" spans="1:14" x14ac:dyDescent="0.3">
      <c r="A179">
        <v>178</v>
      </c>
      <c r="B179" s="4">
        <v>40551</v>
      </c>
      <c r="C179" s="5">
        <v>0.66666666666666674</v>
      </c>
      <c r="D179" t="s">
        <v>8</v>
      </c>
      <c r="E179" t="s">
        <v>9</v>
      </c>
      <c r="F179" t="s">
        <v>11</v>
      </c>
      <c r="G179" t="s">
        <v>18</v>
      </c>
      <c r="H179">
        <v>0.18</v>
      </c>
      <c r="I179" s="3">
        <v>0.13639999999999999</v>
      </c>
      <c r="J179">
        <v>0.28999999999999998</v>
      </c>
      <c r="K179">
        <v>0.44779999999999998</v>
      </c>
      <c r="L179">
        <v>8</v>
      </c>
      <c r="M179">
        <v>68</v>
      </c>
      <c r="N179">
        <v>76</v>
      </c>
    </row>
    <row r="180" spans="1:14" x14ac:dyDescent="0.3">
      <c r="A180">
        <v>179</v>
      </c>
      <c r="B180" s="4">
        <v>40551</v>
      </c>
      <c r="C180" s="5">
        <v>0.70833333333333326</v>
      </c>
      <c r="D180" t="s">
        <v>8</v>
      </c>
      <c r="E180" t="s">
        <v>9</v>
      </c>
      <c r="F180" t="s">
        <v>11</v>
      </c>
      <c r="G180" t="s">
        <v>18</v>
      </c>
      <c r="H180">
        <v>0.16</v>
      </c>
      <c r="I180" s="3">
        <v>0.1212</v>
      </c>
      <c r="J180">
        <v>0.37</v>
      </c>
      <c r="K180">
        <v>0.55220000000000002</v>
      </c>
      <c r="L180">
        <v>5</v>
      </c>
      <c r="M180">
        <v>64</v>
      </c>
      <c r="N180">
        <v>69</v>
      </c>
    </row>
    <row r="181" spans="1:14" x14ac:dyDescent="0.3">
      <c r="A181">
        <v>180</v>
      </c>
      <c r="B181" s="4">
        <v>40551</v>
      </c>
      <c r="C181" s="5">
        <v>0.75</v>
      </c>
      <c r="D181" t="s">
        <v>8</v>
      </c>
      <c r="E181" t="s">
        <v>9</v>
      </c>
      <c r="F181" t="s">
        <v>11</v>
      </c>
      <c r="G181" t="s">
        <v>18</v>
      </c>
      <c r="H181">
        <v>0.14000000000000001</v>
      </c>
      <c r="I181" s="3">
        <v>0.1212</v>
      </c>
      <c r="J181">
        <v>0.39</v>
      </c>
      <c r="K181">
        <v>0.29849999999999999</v>
      </c>
      <c r="L181">
        <v>3</v>
      </c>
      <c r="M181">
        <v>52</v>
      </c>
      <c r="N181">
        <v>55</v>
      </c>
    </row>
    <row r="182" spans="1:14" x14ac:dyDescent="0.3">
      <c r="A182">
        <v>181</v>
      </c>
      <c r="B182" s="4">
        <v>40551</v>
      </c>
      <c r="C182" s="5">
        <v>0.79166666666666674</v>
      </c>
      <c r="D182" t="s">
        <v>8</v>
      </c>
      <c r="E182" t="s">
        <v>9</v>
      </c>
      <c r="F182" t="s">
        <v>11</v>
      </c>
      <c r="G182" t="s">
        <v>18</v>
      </c>
      <c r="H182">
        <v>0.14000000000000001</v>
      </c>
      <c r="I182" s="3">
        <v>0.1212</v>
      </c>
      <c r="J182">
        <v>0.36</v>
      </c>
      <c r="K182">
        <v>0.25369999999999998</v>
      </c>
      <c r="L182">
        <v>4</v>
      </c>
      <c r="M182">
        <v>26</v>
      </c>
      <c r="N182">
        <v>30</v>
      </c>
    </row>
    <row r="183" spans="1:14" x14ac:dyDescent="0.3">
      <c r="A183">
        <v>182</v>
      </c>
      <c r="B183" s="4">
        <v>40551</v>
      </c>
      <c r="C183" s="5">
        <v>0.83333333333333326</v>
      </c>
      <c r="D183" t="s">
        <v>8</v>
      </c>
      <c r="E183" t="s">
        <v>9</v>
      </c>
      <c r="F183" t="s">
        <v>11</v>
      </c>
      <c r="G183" t="s">
        <v>18</v>
      </c>
      <c r="H183">
        <v>0.12</v>
      </c>
      <c r="I183" s="3">
        <v>0.1212</v>
      </c>
      <c r="J183">
        <v>0.36</v>
      </c>
      <c r="K183">
        <v>0.25369999999999998</v>
      </c>
      <c r="L183">
        <v>0</v>
      </c>
      <c r="M183">
        <v>28</v>
      </c>
      <c r="N183">
        <v>28</v>
      </c>
    </row>
    <row r="184" spans="1:14" x14ac:dyDescent="0.3">
      <c r="A184">
        <v>183</v>
      </c>
      <c r="B184" s="4">
        <v>40551</v>
      </c>
      <c r="C184" s="5">
        <v>0.875</v>
      </c>
      <c r="D184" t="s">
        <v>8</v>
      </c>
      <c r="E184" t="s">
        <v>9</v>
      </c>
      <c r="F184" t="s">
        <v>11</v>
      </c>
      <c r="G184" t="s">
        <v>18</v>
      </c>
      <c r="H184">
        <v>0.12</v>
      </c>
      <c r="I184" s="3">
        <v>0.1061</v>
      </c>
      <c r="J184">
        <v>0.39</v>
      </c>
      <c r="K184">
        <v>0.35820000000000002</v>
      </c>
      <c r="L184">
        <v>2</v>
      </c>
      <c r="M184">
        <v>35</v>
      </c>
      <c r="N184">
        <v>37</v>
      </c>
    </row>
    <row r="185" spans="1:14" x14ac:dyDescent="0.3">
      <c r="A185">
        <v>184</v>
      </c>
      <c r="B185" s="4">
        <v>40551</v>
      </c>
      <c r="C185" s="5">
        <v>0.91666666666666674</v>
      </c>
      <c r="D185" t="s">
        <v>8</v>
      </c>
      <c r="E185" t="s">
        <v>9</v>
      </c>
      <c r="F185" t="s">
        <v>11</v>
      </c>
      <c r="G185" t="s">
        <v>18</v>
      </c>
      <c r="H185">
        <v>0.12</v>
      </c>
      <c r="I185" s="3">
        <v>0.1061</v>
      </c>
      <c r="J185">
        <v>0.36</v>
      </c>
      <c r="K185">
        <v>0.3881</v>
      </c>
      <c r="L185">
        <v>1</v>
      </c>
      <c r="M185">
        <v>33</v>
      </c>
      <c r="N185">
        <v>34</v>
      </c>
    </row>
    <row r="186" spans="1:14" x14ac:dyDescent="0.3">
      <c r="A186">
        <v>185</v>
      </c>
      <c r="B186" s="4">
        <v>40551</v>
      </c>
      <c r="C186" s="5">
        <v>0.95833333333333326</v>
      </c>
      <c r="D186" t="s">
        <v>8</v>
      </c>
      <c r="E186" t="s">
        <v>9</v>
      </c>
      <c r="F186" t="s">
        <v>11</v>
      </c>
      <c r="G186" t="s">
        <v>18</v>
      </c>
      <c r="H186">
        <v>0.1</v>
      </c>
      <c r="I186" s="3">
        <v>6.0600000000000001E-2</v>
      </c>
      <c r="J186">
        <v>0.39</v>
      </c>
      <c r="K186">
        <v>0.44779999999999998</v>
      </c>
      <c r="L186">
        <v>0</v>
      </c>
      <c r="M186">
        <v>22</v>
      </c>
      <c r="N186">
        <v>22</v>
      </c>
    </row>
    <row r="187" spans="1:14" x14ac:dyDescent="0.3">
      <c r="A187">
        <v>186</v>
      </c>
      <c r="B187" s="4">
        <v>40552</v>
      </c>
      <c r="C187" s="5">
        <v>0</v>
      </c>
      <c r="D187" t="s">
        <v>8</v>
      </c>
      <c r="E187" t="s">
        <v>9</v>
      </c>
      <c r="F187" t="s">
        <v>12</v>
      </c>
      <c r="G187" t="s">
        <v>18</v>
      </c>
      <c r="H187">
        <v>0.1</v>
      </c>
      <c r="I187" s="3">
        <v>7.5800000000000006E-2</v>
      </c>
      <c r="J187">
        <v>0.42</v>
      </c>
      <c r="K187">
        <v>0.3881</v>
      </c>
      <c r="L187">
        <v>1</v>
      </c>
      <c r="M187">
        <v>24</v>
      </c>
      <c r="N187">
        <v>25</v>
      </c>
    </row>
    <row r="188" spans="1:14" x14ac:dyDescent="0.3">
      <c r="A188">
        <v>187</v>
      </c>
      <c r="B188" s="4">
        <v>40552</v>
      </c>
      <c r="C188" s="5">
        <v>4.1666666666666741E-2</v>
      </c>
      <c r="D188" t="s">
        <v>8</v>
      </c>
      <c r="E188" t="s">
        <v>9</v>
      </c>
      <c r="F188" t="s">
        <v>12</v>
      </c>
      <c r="G188" t="s">
        <v>18</v>
      </c>
      <c r="H188">
        <v>0.1</v>
      </c>
      <c r="I188" s="3">
        <v>6.0600000000000001E-2</v>
      </c>
      <c r="J188">
        <v>0.42</v>
      </c>
      <c r="K188">
        <v>0.4627</v>
      </c>
      <c r="L188">
        <v>0</v>
      </c>
      <c r="M188">
        <v>12</v>
      </c>
      <c r="N188">
        <v>12</v>
      </c>
    </row>
    <row r="189" spans="1:14" x14ac:dyDescent="0.3">
      <c r="A189">
        <v>188</v>
      </c>
      <c r="B189" s="4">
        <v>40552</v>
      </c>
      <c r="C189" s="5">
        <v>8.3333333333333259E-2</v>
      </c>
      <c r="D189" t="s">
        <v>8</v>
      </c>
      <c r="E189" t="s">
        <v>9</v>
      </c>
      <c r="F189" t="s">
        <v>12</v>
      </c>
      <c r="G189" t="s">
        <v>18</v>
      </c>
      <c r="H189">
        <v>0.1</v>
      </c>
      <c r="I189" s="3">
        <v>6.0600000000000001E-2</v>
      </c>
      <c r="J189">
        <v>0.46</v>
      </c>
      <c r="K189">
        <v>0.4627</v>
      </c>
      <c r="L189">
        <v>0</v>
      </c>
      <c r="M189">
        <v>11</v>
      </c>
      <c r="N189">
        <v>11</v>
      </c>
    </row>
    <row r="190" spans="1:14" x14ac:dyDescent="0.3">
      <c r="A190">
        <v>189</v>
      </c>
      <c r="B190" s="4">
        <v>40552</v>
      </c>
      <c r="C190" s="5">
        <v>0.125</v>
      </c>
      <c r="D190" t="s">
        <v>8</v>
      </c>
      <c r="E190" t="s">
        <v>9</v>
      </c>
      <c r="F190" t="s">
        <v>12</v>
      </c>
      <c r="G190" t="s">
        <v>18</v>
      </c>
      <c r="H190">
        <v>0.1</v>
      </c>
      <c r="I190" s="3">
        <v>7.5800000000000006E-2</v>
      </c>
      <c r="J190">
        <v>0.46</v>
      </c>
      <c r="K190">
        <v>0.41789999999999999</v>
      </c>
      <c r="L190">
        <v>0</v>
      </c>
      <c r="M190">
        <v>4</v>
      </c>
      <c r="N190">
        <v>4</v>
      </c>
    </row>
    <row r="191" spans="1:14" x14ac:dyDescent="0.3">
      <c r="A191">
        <v>190</v>
      </c>
      <c r="B191" s="4">
        <v>40552</v>
      </c>
      <c r="C191" s="5">
        <v>0.16666666666666674</v>
      </c>
      <c r="D191" t="s">
        <v>8</v>
      </c>
      <c r="E191" t="s">
        <v>9</v>
      </c>
      <c r="F191" t="s">
        <v>12</v>
      </c>
      <c r="G191" t="s">
        <v>18</v>
      </c>
      <c r="H191">
        <v>0.08</v>
      </c>
      <c r="I191" s="3">
        <v>9.0899999999999995E-2</v>
      </c>
      <c r="J191">
        <v>0.53</v>
      </c>
      <c r="K191">
        <v>0.19400000000000001</v>
      </c>
      <c r="L191">
        <v>0</v>
      </c>
      <c r="M191">
        <v>1</v>
      </c>
      <c r="N191">
        <v>1</v>
      </c>
    </row>
    <row r="192" spans="1:14" x14ac:dyDescent="0.3">
      <c r="A192">
        <v>191</v>
      </c>
      <c r="B192" s="4">
        <v>40552</v>
      </c>
      <c r="C192" s="5">
        <v>0.20833333333333326</v>
      </c>
      <c r="D192" t="s">
        <v>8</v>
      </c>
      <c r="E192" t="s">
        <v>9</v>
      </c>
      <c r="F192" t="s">
        <v>12</v>
      </c>
      <c r="G192" t="s">
        <v>18</v>
      </c>
      <c r="H192">
        <v>0.08</v>
      </c>
      <c r="I192" s="3">
        <v>9.0899999999999995E-2</v>
      </c>
      <c r="J192">
        <v>0.53</v>
      </c>
      <c r="K192">
        <v>0.19400000000000001</v>
      </c>
      <c r="L192">
        <v>0</v>
      </c>
      <c r="M192">
        <v>1</v>
      </c>
      <c r="N192">
        <v>1</v>
      </c>
    </row>
    <row r="193" spans="1:14" x14ac:dyDescent="0.3">
      <c r="A193">
        <v>192</v>
      </c>
      <c r="B193" s="4">
        <v>40552</v>
      </c>
      <c r="C193" s="5">
        <v>0.25</v>
      </c>
      <c r="D193" t="s">
        <v>8</v>
      </c>
      <c r="E193" t="s">
        <v>9</v>
      </c>
      <c r="F193" t="s">
        <v>12</v>
      </c>
      <c r="G193" t="s">
        <v>18</v>
      </c>
      <c r="H193">
        <v>0.1</v>
      </c>
      <c r="I193" s="3">
        <v>9.0899999999999995E-2</v>
      </c>
      <c r="J193">
        <v>0.49</v>
      </c>
      <c r="K193">
        <v>0.28360000000000002</v>
      </c>
      <c r="L193">
        <v>0</v>
      </c>
      <c r="M193">
        <v>1</v>
      </c>
      <c r="N193">
        <v>1</v>
      </c>
    </row>
    <row r="194" spans="1:14" x14ac:dyDescent="0.3">
      <c r="A194">
        <v>193</v>
      </c>
      <c r="B194" s="4">
        <v>40552</v>
      </c>
      <c r="C194" s="5">
        <v>0.29166666666666674</v>
      </c>
      <c r="D194" t="s">
        <v>8</v>
      </c>
      <c r="E194" t="s">
        <v>9</v>
      </c>
      <c r="F194" t="s">
        <v>12</v>
      </c>
      <c r="G194" t="s">
        <v>18</v>
      </c>
      <c r="H194">
        <v>0.08</v>
      </c>
      <c r="I194" s="3">
        <v>9.0899999999999995E-2</v>
      </c>
      <c r="J194">
        <v>0.53</v>
      </c>
      <c r="K194">
        <v>0.19400000000000001</v>
      </c>
      <c r="L194">
        <v>1</v>
      </c>
      <c r="M194">
        <v>5</v>
      </c>
      <c r="N194">
        <v>6</v>
      </c>
    </row>
    <row r="195" spans="1:14" x14ac:dyDescent="0.3">
      <c r="A195">
        <v>194</v>
      </c>
      <c r="B195" s="4">
        <v>40552</v>
      </c>
      <c r="C195" s="5">
        <v>0.33333333333333326</v>
      </c>
      <c r="D195" t="s">
        <v>8</v>
      </c>
      <c r="E195" t="s">
        <v>9</v>
      </c>
      <c r="F195" t="s">
        <v>12</v>
      </c>
      <c r="G195" t="s">
        <v>18</v>
      </c>
      <c r="H195">
        <v>0.1</v>
      </c>
      <c r="I195" s="3">
        <v>9.0899999999999995E-2</v>
      </c>
      <c r="J195">
        <v>0.49</v>
      </c>
      <c r="K195">
        <v>0.28360000000000002</v>
      </c>
      <c r="L195">
        <v>0</v>
      </c>
      <c r="M195">
        <v>10</v>
      </c>
      <c r="N195">
        <v>10</v>
      </c>
    </row>
    <row r="196" spans="1:14" x14ac:dyDescent="0.3">
      <c r="A196">
        <v>195</v>
      </c>
      <c r="B196" s="4">
        <v>40552</v>
      </c>
      <c r="C196" s="5">
        <v>0.375</v>
      </c>
      <c r="D196" t="s">
        <v>8</v>
      </c>
      <c r="E196" t="s">
        <v>9</v>
      </c>
      <c r="F196" t="s">
        <v>12</v>
      </c>
      <c r="G196" t="s">
        <v>18</v>
      </c>
      <c r="H196">
        <v>0.12</v>
      </c>
      <c r="I196" s="3">
        <v>7.5800000000000006E-2</v>
      </c>
      <c r="J196">
        <v>0.46</v>
      </c>
      <c r="K196">
        <v>0.52239999999999998</v>
      </c>
      <c r="L196">
        <v>0</v>
      </c>
      <c r="M196">
        <v>19</v>
      </c>
      <c r="N196">
        <v>19</v>
      </c>
    </row>
    <row r="197" spans="1:14" x14ac:dyDescent="0.3">
      <c r="A197">
        <v>196</v>
      </c>
      <c r="B197" s="4">
        <v>40552</v>
      </c>
      <c r="C197" s="5">
        <v>0.41666666666666674</v>
      </c>
      <c r="D197" t="s">
        <v>8</v>
      </c>
      <c r="E197" t="s">
        <v>9</v>
      </c>
      <c r="F197" t="s">
        <v>12</v>
      </c>
      <c r="G197" t="s">
        <v>18</v>
      </c>
      <c r="H197">
        <v>0.14000000000000001</v>
      </c>
      <c r="I197" s="3">
        <v>0.1061</v>
      </c>
      <c r="J197">
        <v>0.43</v>
      </c>
      <c r="K197">
        <v>0.3881</v>
      </c>
      <c r="L197">
        <v>0</v>
      </c>
      <c r="M197">
        <v>49</v>
      </c>
      <c r="N197">
        <v>49</v>
      </c>
    </row>
    <row r="198" spans="1:14" x14ac:dyDescent="0.3">
      <c r="A198">
        <v>197</v>
      </c>
      <c r="B198" s="4">
        <v>40552</v>
      </c>
      <c r="C198" s="5">
        <v>0.45833333333333326</v>
      </c>
      <c r="D198" t="s">
        <v>8</v>
      </c>
      <c r="E198" t="s">
        <v>9</v>
      </c>
      <c r="F198" t="s">
        <v>12</v>
      </c>
      <c r="G198" t="s">
        <v>18</v>
      </c>
      <c r="H198">
        <v>0.16</v>
      </c>
      <c r="I198" s="3">
        <v>0.1212</v>
      </c>
      <c r="J198">
        <v>0.4</v>
      </c>
      <c r="K198">
        <v>0.52239999999999998</v>
      </c>
      <c r="L198">
        <v>2</v>
      </c>
      <c r="M198">
        <v>47</v>
      </c>
      <c r="N198">
        <v>49</v>
      </c>
    </row>
    <row r="199" spans="1:14" x14ac:dyDescent="0.3">
      <c r="A199">
        <v>198</v>
      </c>
      <c r="B199" s="4">
        <v>40552</v>
      </c>
      <c r="C199" s="5">
        <v>0.5</v>
      </c>
      <c r="D199" t="s">
        <v>8</v>
      </c>
      <c r="E199" t="s">
        <v>9</v>
      </c>
      <c r="F199" t="s">
        <v>12</v>
      </c>
      <c r="G199" t="s">
        <v>18</v>
      </c>
      <c r="H199">
        <v>0.18</v>
      </c>
      <c r="I199" s="3">
        <v>0.13639999999999999</v>
      </c>
      <c r="J199">
        <v>0.37</v>
      </c>
      <c r="K199">
        <v>0.44779999999999998</v>
      </c>
      <c r="L199">
        <v>4</v>
      </c>
      <c r="M199">
        <v>79</v>
      </c>
      <c r="N199">
        <v>83</v>
      </c>
    </row>
    <row r="200" spans="1:14" x14ac:dyDescent="0.3">
      <c r="A200">
        <v>199</v>
      </c>
      <c r="B200" s="4">
        <v>40552</v>
      </c>
      <c r="C200" s="5">
        <v>0.54166666666666674</v>
      </c>
      <c r="D200" t="s">
        <v>8</v>
      </c>
      <c r="E200" t="s">
        <v>9</v>
      </c>
      <c r="F200" t="s">
        <v>12</v>
      </c>
      <c r="G200" t="s">
        <v>18</v>
      </c>
      <c r="H200">
        <v>0.2</v>
      </c>
      <c r="I200" s="3">
        <v>0.16669999999999999</v>
      </c>
      <c r="J200">
        <v>0.34</v>
      </c>
      <c r="K200">
        <v>0.44779999999999998</v>
      </c>
      <c r="L200">
        <v>6</v>
      </c>
      <c r="M200">
        <v>69</v>
      </c>
      <c r="N200">
        <v>75</v>
      </c>
    </row>
    <row r="201" spans="1:14" x14ac:dyDescent="0.3">
      <c r="A201">
        <v>200</v>
      </c>
      <c r="B201" s="4">
        <v>40552</v>
      </c>
      <c r="C201" s="5">
        <v>0.58333333333333326</v>
      </c>
      <c r="D201" t="s">
        <v>8</v>
      </c>
      <c r="E201" t="s">
        <v>9</v>
      </c>
      <c r="F201" t="s">
        <v>12</v>
      </c>
      <c r="G201" t="s">
        <v>18</v>
      </c>
      <c r="H201">
        <v>0.22</v>
      </c>
      <c r="I201" s="3">
        <v>0.18179999999999999</v>
      </c>
      <c r="J201">
        <v>0.32</v>
      </c>
      <c r="K201">
        <v>0.4627</v>
      </c>
      <c r="L201">
        <v>8</v>
      </c>
      <c r="M201">
        <v>64</v>
      </c>
      <c r="N201">
        <v>72</v>
      </c>
    </row>
    <row r="202" spans="1:14" x14ac:dyDescent="0.3">
      <c r="A202">
        <v>201</v>
      </c>
      <c r="B202" s="4">
        <v>40552</v>
      </c>
      <c r="C202" s="5">
        <v>0.625</v>
      </c>
      <c r="D202" t="s">
        <v>8</v>
      </c>
      <c r="E202" t="s">
        <v>9</v>
      </c>
      <c r="F202" t="s">
        <v>12</v>
      </c>
      <c r="G202" t="s">
        <v>18</v>
      </c>
      <c r="H202">
        <v>0.22</v>
      </c>
      <c r="I202" s="3">
        <v>0.19700000000000001</v>
      </c>
      <c r="J202">
        <v>0.35</v>
      </c>
      <c r="K202">
        <v>0.35820000000000002</v>
      </c>
      <c r="L202">
        <v>5</v>
      </c>
      <c r="M202">
        <v>77</v>
      </c>
      <c r="N202">
        <v>82</v>
      </c>
    </row>
    <row r="203" spans="1:14" x14ac:dyDescent="0.3">
      <c r="A203">
        <v>202</v>
      </c>
      <c r="B203" s="4">
        <v>40552</v>
      </c>
      <c r="C203" s="5">
        <v>0.66666666666666674</v>
      </c>
      <c r="D203" t="s">
        <v>8</v>
      </c>
      <c r="E203" t="s">
        <v>9</v>
      </c>
      <c r="F203" t="s">
        <v>12</v>
      </c>
      <c r="G203" t="s">
        <v>18</v>
      </c>
      <c r="H203">
        <v>0.2</v>
      </c>
      <c r="I203" s="3">
        <v>0.16669999999999999</v>
      </c>
      <c r="J203">
        <v>0.34</v>
      </c>
      <c r="K203">
        <v>0.44779999999999998</v>
      </c>
      <c r="L203">
        <v>13</v>
      </c>
      <c r="M203">
        <v>79</v>
      </c>
      <c r="N203">
        <v>92</v>
      </c>
    </row>
    <row r="204" spans="1:14" x14ac:dyDescent="0.3">
      <c r="A204">
        <v>203</v>
      </c>
      <c r="B204" s="4">
        <v>40552</v>
      </c>
      <c r="C204" s="5">
        <v>0.70833333333333326</v>
      </c>
      <c r="D204" t="s">
        <v>8</v>
      </c>
      <c r="E204" t="s">
        <v>9</v>
      </c>
      <c r="F204" t="s">
        <v>12</v>
      </c>
      <c r="G204" t="s">
        <v>18</v>
      </c>
      <c r="H204">
        <v>0.18</v>
      </c>
      <c r="I204" s="3">
        <v>0.1515</v>
      </c>
      <c r="J204">
        <v>0.37</v>
      </c>
      <c r="K204">
        <v>0.3881</v>
      </c>
      <c r="L204">
        <v>3</v>
      </c>
      <c r="M204">
        <v>59</v>
      </c>
      <c r="N204">
        <v>62</v>
      </c>
    </row>
    <row r="205" spans="1:14" x14ac:dyDescent="0.3">
      <c r="A205">
        <v>204</v>
      </c>
      <c r="B205" s="4">
        <v>40552</v>
      </c>
      <c r="C205" s="5">
        <v>0.75</v>
      </c>
      <c r="D205" t="s">
        <v>8</v>
      </c>
      <c r="E205" t="s">
        <v>9</v>
      </c>
      <c r="F205" t="s">
        <v>12</v>
      </c>
      <c r="G205" t="s">
        <v>18</v>
      </c>
      <c r="H205">
        <v>0.16</v>
      </c>
      <c r="I205" s="3">
        <v>0.13639999999999999</v>
      </c>
      <c r="J205">
        <v>0.4</v>
      </c>
      <c r="K205">
        <v>0.32840000000000003</v>
      </c>
      <c r="L205">
        <v>4</v>
      </c>
      <c r="M205">
        <v>44</v>
      </c>
      <c r="N205">
        <v>48</v>
      </c>
    </row>
    <row r="206" spans="1:14" x14ac:dyDescent="0.3">
      <c r="A206">
        <v>205</v>
      </c>
      <c r="B206" s="4">
        <v>40552</v>
      </c>
      <c r="C206" s="5">
        <v>0.79166666666666674</v>
      </c>
      <c r="D206" t="s">
        <v>8</v>
      </c>
      <c r="E206" t="s">
        <v>9</v>
      </c>
      <c r="F206" t="s">
        <v>12</v>
      </c>
      <c r="G206" t="s">
        <v>18</v>
      </c>
      <c r="H206">
        <v>0.16</v>
      </c>
      <c r="I206" s="3">
        <v>0.13639999999999999</v>
      </c>
      <c r="J206">
        <v>0.43</v>
      </c>
      <c r="K206">
        <v>0.32840000000000003</v>
      </c>
      <c r="L206">
        <v>1</v>
      </c>
      <c r="M206">
        <v>40</v>
      </c>
      <c r="N206">
        <v>41</v>
      </c>
    </row>
    <row r="207" spans="1:14" x14ac:dyDescent="0.3">
      <c r="A207">
        <v>206</v>
      </c>
      <c r="B207" s="4">
        <v>40552</v>
      </c>
      <c r="C207" s="5">
        <v>0.83333333333333326</v>
      </c>
      <c r="D207" t="s">
        <v>8</v>
      </c>
      <c r="E207" t="s">
        <v>9</v>
      </c>
      <c r="F207" t="s">
        <v>12</v>
      </c>
      <c r="G207" t="s">
        <v>18</v>
      </c>
      <c r="H207">
        <v>0.14000000000000001</v>
      </c>
      <c r="I207" s="3">
        <v>0.1212</v>
      </c>
      <c r="J207">
        <v>0.46</v>
      </c>
      <c r="K207">
        <v>0.25369999999999998</v>
      </c>
      <c r="L207">
        <v>0</v>
      </c>
      <c r="M207">
        <v>38</v>
      </c>
      <c r="N207">
        <v>38</v>
      </c>
    </row>
    <row r="208" spans="1:14" x14ac:dyDescent="0.3">
      <c r="A208">
        <v>207</v>
      </c>
      <c r="B208" s="4">
        <v>40552</v>
      </c>
      <c r="C208" s="5">
        <v>0.875</v>
      </c>
      <c r="D208" t="s">
        <v>8</v>
      </c>
      <c r="E208" t="s">
        <v>9</v>
      </c>
      <c r="F208" t="s">
        <v>12</v>
      </c>
      <c r="G208" t="s">
        <v>18</v>
      </c>
      <c r="H208">
        <v>0.14000000000000001</v>
      </c>
      <c r="I208" s="3">
        <v>0.1061</v>
      </c>
      <c r="J208">
        <v>0.46</v>
      </c>
      <c r="K208">
        <v>0.41789999999999999</v>
      </c>
      <c r="L208">
        <v>1</v>
      </c>
      <c r="M208">
        <v>19</v>
      </c>
      <c r="N208">
        <v>20</v>
      </c>
    </row>
    <row r="209" spans="1:14" x14ac:dyDescent="0.3">
      <c r="A209">
        <v>208</v>
      </c>
      <c r="B209" s="4">
        <v>40552</v>
      </c>
      <c r="C209" s="5">
        <v>0.91666666666666674</v>
      </c>
      <c r="D209" t="s">
        <v>8</v>
      </c>
      <c r="E209" t="s">
        <v>9</v>
      </c>
      <c r="F209" t="s">
        <v>12</v>
      </c>
      <c r="G209" t="s">
        <v>18</v>
      </c>
      <c r="H209">
        <v>0.14000000000000001</v>
      </c>
      <c r="I209" s="3">
        <v>0.1212</v>
      </c>
      <c r="J209">
        <v>0.46</v>
      </c>
      <c r="K209">
        <v>0.29849999999999999</v>
      </c>
      <c r="L209">
        <v>5</v>
      </c>
      <c r="M209">
        <v>10</v>
      </c>
      <c r="N209">
        <v>15</v>
      </c>
    </row>
    <row r="210" spans="1:14" x14ac:dyDescent="0.3">
      <c r="A210">
        <v>209</v>
      </c>
      <c r="B210" s="4">
        <v>40552</v>
      </c>
      <c r="C210" s="5">
        <v>0.95833333333333326</v>
      </c>
      <c r="D210" t="s">
        <v>8</v>
      </c>
      <c r="E210" t="s">
        <v>9</v>
      </c>
      <c r="F210" t="s">
        <v>12</v>
      </c>
      <c r="G210" t="s">
        <v>18</v>
      </c>
      <c r="H210">
        <v>0.12</v>
      </c>
      <c r="I210" s="3">
        <v>0.13639999999999999</v>
      </c>
      <c r="J210">
        <v>0.5</v>
      </c>
      <c r="K210">
        <v>0.19400000000000001</v>
      </c>
      <c r="L210">
        <v>0</v>
      </c>
      <c r="M210">
        <v>6</v>
      </c>
      <c r="N210">
        <v>6</v>
      </c>
    </row>
    <row r="211" spans="1:14" x14ac:dyDescent="0.3">
      <c r="A211">
        <v>210</v>
      </c>
      <c r="B211" s="4">
        <v>40553</v>
      </c>
      <c r="C211" s="5">
        <v>0</v>
      </c>
      <c r="D211" t="s">
        <v>8</v>
      </c>
      <c r="E211" t="s">
        <v>9</v>
      </c>
      <c r="F211" t="s">
        <v>13</v>
      </c>
      <c r="G211" t="s">
        <v>18</v>
      </c>
      <c r="H211">
        <v>0.12</v>
      </c>
      <c r="I211" s="3">
        <v>0.1212</v>
      </c>
      <c r="J211">
        <v>0.5</v>
      </c>
      <c r="K211">
        <v>0.28360000000000002</v>
      </c>
      <c r="L211">
        <v>2</v>
      </c>
      <c r="M211">
        <v>3</v>
      </c>
      <c r="N211">
        <v>5</v>
      </c>
    </row>
    <row r="212" spans="1:14" x14ac:dyDescent="0.3">
      <c r="A212">
        <v>211</v>
      </c>
      <c r="B212" s="4">
        <v>40553</v>
      </c>
      <c r="C212" s="5">
        <v>4.1666666666666741E-2</v>
      </c>
      <c r="D212" t="s">
        <v>8</v>
      </c>
      <c r="E212" t="s">
        <v>9</v>
      </c>
      <c r="F212" t="s">
        <v>13</v>
      </c>
      <c r="G212" t="s">
        <v>18</v>
      </c>
      <c r="H212">
        <v>0.12</v>
      </c>
      <c r="I212" s="3">
        <v>0.1212</v>
      </c>
      <c r="J212">
        <v>0.5</v>
      </c>
      <c r="K212">
        <v>0.28360000000000002</v>
      </c>
      <c r="L212">
        <v>1</v>
      </c>
      <c r="M212">
        <v>0</v>
      </c>
      <c r="N212">
        <v>1</v>
      </c>
    </row>
    <row r="213" spans="1:14" x14ac:dyDescent="0.3">
      <c r="A213">
        <v>212</v>
      </c>
      <c r="B213" s="4">
        <v>40553</v>
      </c>
      <c r="C213" s="5">
        <v>8.3333333333333259E-2</v>
      </c>
      <c r="D213" t="s">
        <v>8</v>
      </c>
      <c r="E213" t="s">
        <v>9</v>
      </c>
      <c r="F213" t="s">
        <v>13</v>
      </c>
      <c r="G213" t="s">
        <v>18</v>
      </c>
      <c r="H213">
        <v>0.12</v>
      </c>
      <c r="I213" s="3">
        <v>0.1212</v>
      </c>
      <c r="J213">
        <v>0.5</v>
      </c>
      <c r="K213">
        <v>0.22389999999999999</v>
      </c>
      <c r="L213">
        <v>0</v>
      </c>
      <c r="M213">
        <v>3</v>
      </c>
      <c r="N213">
        <v>3</v>
      </c>
    </row>
    <row r="214" spans="1:14" x14ac:dyDescent="0.3">
      <c r="A214">
        <v>213</v>
      </c>
      <c r="B214" s="4">
        <v>40553</v>
      </c>
      <c r="C214" s="5">
        <v>0.125</v>
      </c>
      <c r="D214" t="s">
        <v>8</v>
      </c>
      <c r="E214" t="s">
        <v>9</v>
      </c>
      <c r="F214" t="s">
        <v>13</v>
      </c>
      <c r="G214" t="s">
        <v>18</v>
      </c>
      <c r="H214">
        <v>0.12</v>
      </c>
      <c r="I214" s="3">
        <v>0.1212</v>
      </c>
      <c r="J214">
        <v>0.5</v>
      </c>
      <c r="K214">
        <v>0.22389999999999999</v>
      </c>
      <c r="L214">
        <v>0</v>
      </c>
      <c r="M214">
        <v>1</v>
      </c>
      <c r="N214">
        <v>1</v>
      </c>
    </row>
    <row r="215" spans="1:14" x14ac:dyDescent="0.3">
      <c r="A215">
        <v>214</v>
      </c>
      <c r="B215" s="4">
        <v>40553</v>
      </c>
      <c r="C215" s="5">
        <v>0.16666666666666674</v>
      </c>
      <c r="D215" t="s">
        <v>8</v>
      </c>
      <c r="E215" t="s">
        <v>9</v>
      </c>
      <c r="F215" t="s">
        <v>13</v>
      </c>
      <c r="G215" t="s">
        <v>18</v>
      </c>
      <c r="H215">
        <v>0.1</v>
      </c>
      <c r="I215" s="3">
        <v>0.1212</v>
      </c>
      <c r="J215">
        <v>0.54</v>
      </c>
      <c r="K215">
        <v>0.1343</v>
      </c>
      <c r="L215">
        <v>1</v>
      </c>
      <c r="M215">
        <v>2</v>
      </c>
      <c r="N215">
        <v>3</v>
      </c>
    </row>
    <row r="216" spans="1:14" x14ac:dyDescent="0.3">
      <c r="A216">
        <v>215</v>
      </c>
      <c r="B216" s="4">
        <v>40553</v>
      </c>
      <c r="C216" s="5">
        <v>0.20833333333333326</v>
      </c>
      <c r="D216" t="s">
        <v>8</v>
      </c>
      <c r="E216" t="s">
        <v>9</v>
      </c>
      <c r="F216" t="s">
        <v>13</v>
      </c>
      <c r="G216" t="s">
        <v>18</v>
      </c>
      <c r="H216">
        <v>0.1</v>
      </c>
      <c r="I216" s="3">
        <v>0.1061</v>
      </c>
      <c r="J216">
        <v>0.54</v>
      </c>
      <c r="K216">
        <v>0.25369999999999998</v>
      </c>
      <c r="L216">
        <v>0</v>
      </c>
      <c r="M216">
        <v>3</v>
      </c>
      <c r="N216">
        <v>3</v>
      </c>
    </row>
    <row r="217" spans="1:14" x14ac:dyDescent="0.3">
      <c r="A217">
        <v>216</v>
      </c>
      <c r="B217" s="4">
        <v>40553</v>
      </c>
      <c r="C217" s="5">
        <v>0.25</v>
      </c>
      <c r="D217" t="s">
        <v>8</v>
      </c>
      <c r="E217" t="s">
        <v>9</v>
      </c>
      <c r="F217" t="s">
        <v>13</v>
      </c>
      <c r="G217" t="s">
        <v>18</v>
      </c>
      <c r="H217">
        <v>0.12</v>
      </c>
      <c r="I217" s="3">
        <v>0.1212</v>
      </c>
      <c r="J217">
        <v>0.5</v>
      </c>
      <c r="K217">
        <v>0.28360000000000002</v>
      </c>
      <c r="L217">
        <v>0</v>
      </c>
      <c r="M217">
        <v>31</v>
      </c>
      <c r="N217">
        <v>31</v>
      </c>
    </row>
    <row r="218" spans="1:14" x14ac:dyDescent="0.3">
      <c r="A218">
        <v>217</v>
      </c>
      <c r="B218" s="4">
        <v>40553</v>
      </c>
      <c r="C218" s="5">
        <v>0.29166666666666674</v>
      </c>
      <c r="D218" t="s">
        <v>8</v>
      </c>
      <c r="E218" t="s">
        <v>9</v>
      </c>
      <c r="F218" t="s">
        <v>13</v>
      </c>
      <c r="G218" t="s">
        <v>18</v>
      </c>
      <c r="H218">
        <v>0.12</v>
      </c>
      <c r="I218" s="3">
        <v>0.1212</v>
      </c>
      <c r="J218">
        <v>0.5</v>
      </c>
      <c r="K218">
        <v>0.22389999999999999</v>
      </c>
      <c r="L218">
        <v>2</v>
      </c>
      <c r="M218">
        <v>75</v>
      </c>
      <c r="N218">
        <v>77</v>
      </c>
    </row>
    <row r="219" spans="1:14" x14ac:dyDescent="0.3">
      <c r="A219">
        <v>218</v>
      </c>
      <c r="B219" s="4">
        <v>40553</v>
      </c>
      <c r="C219" s="5">
        <v>0.33333333333333326</v>
      </c>
      <c r="D219" t="s">
        <v>8</v>
      </c>
      <c r="E219" t="s">
        <v>9</v>
      </c>
      <c r="F219" t="s">
        <v>13</v>
      </c>
      <c r="G219" t="s">
        <v>19</v>
      </c>
      <c r="H219">
        <v>0.12</v>
      </c>
      <c r="I219" s="3">
        <v>0.1212</v>
      </c>
      <c r="J219">
        <v>0.5</v>
      </c>
      <c r="K219">
        <v>0.28360000000000002</v>
      </c>
      <c r="L219">
        <v>4</v>
      </c>
      <c r="M219">
        <v>184</v>
      </c>
      <c r="N219">
        <v>188</v>
      </c>
    </row>
    <row r="220" spans="1:14" x14ac:dyDescent="0.3">
      <c r="A220">
        <v>219</v>
      </c>
      <c r="B220" s="4">
        <v>40553</v>
      </c>
      <c r="C220" s="5">
        <v>0.375</v>
      </c>
      <c r="D220" t="s">
        <v>8</v>
      </c>
      <c r="E220" t="s">
        <v>9</v>
      </c>
      <c r="F220" t="s">
        <v>13</v>
      </c>
      <c r="G220" t="s">
        <v>19</v>
      </c>
      <c r="H220">
        <v>0.14000000000000001</v>
      </c>
      <c r="I220" s="3">
        <v>0.1212</v>
      </c>
      <c r="J220">
        <v>0.5</v>
      </c>
      <c r="K220">
        <v>0.25369999999999998</v>
      </c>
      <c r="L220">
        <v>2</v>
      </c>
      <c r="M220">
        <v>92</v>
      </c>
      <c r="N220">
        <v>94</v>
      </c>
    </row>
    <row r="221" spans="1:14" x14ac:dyDescent="0.3">
      <c r="A221">
        <v>220</v>
      </c>
      <c r="B221" s="4">
        <v>40553</v>
      </c>
      <c r="C221" s="5">
        <v>0.41666666666666674</v>
      </c>
      <c r="D221" t="s">
        <v>8</v>
      </c>
      <c r="E221" t="s">
        <v>9</v>
      </c>
      <c r="F221" t="s">
        <v>13</v>
      </c>
      <c r="G221" t="s">
        <v>19</v>
      </c>
      <c r="H221">
        <v>0.14000000000000001</v>
      </c>
      <c r="I221" s="3">
        <v>0.1212</v>
      </c>
      <c r="J221">
        <v>0.5</v>
      </c>
      <c r="K221">
        <v>0.29849999999999999</v>
      </c>
      <c r="L221">
        <v>0</v>
      </c>
      <c r="M221">
        <v>31</v>
      </c>
      <c r="N221">
        <v>31</v>
      </c>
    </row>
    <row r="222" spans="1:14" x14ac:dyDescent="0.3">
      <c r="A222">
        <v>221</v>
      </c>
      <c r="B222" s="4">
        <v>40553</v>
      </c>
      <c r="C222" s="5">
        <v>0.45833333333333326</v>
      </c>
      <c r="D222" t="s">
        <v>8</v>
      </c>
      <c r="E222" t="s">
        <v>9</v>
      </c>
      <c r="F222" t="s">
        <v>13</v>
      </c>
      <c r="G222" t="s">
        <v>19</v>
      </c>
      <c r="H222">
        <v>0.16</v>
      </c>
      <c r="I222" s="3">
        <v>0.13639999999999999</v>
      </c>
      <c r="J222">
        <v>0.47</v>
      </c>
      <c r="K222">
        <v>0.28360000000000002</v>
      </c>
      <c r="L222">
        <v>2</v>
      </c>
      <c r="M222">
        <v>28</v>
      </c>
      <c r="N222">
        <v>30</v>
      </c>
    </row>
    <row r="223" spans="1:14" x14ac:dyDescent="0.3">
      <c r="A223">
        <v>222</v>
      </c>
      <c r="B223" s="4">
        <v>40553</v>
      </c>
      <c r="C223" s="5">
        <v>0.5</v>
      </c>
      <c r="D223" t="s">
        <v>8</v>
      </c>
      <c r="E223" t="s">
        <v>9</v>
      </c>
      <c r="F223" t="s">
        <v>13</v>
      </c>
      <c r="G223" t="s">
        <v>19</v>
      </c>
      <c r="H223">
        <v>0.2</v>
      </c>
      <c r="I223" s="3">
        <v>0.18179999999999999</v>
      </c>
      <c r="J223">
        <v>0.4</v>
      </c>
      <c r="K223">
        <v>0.28360000000000002</v>
      </c>
      <c r="L223">
        <v>5</v>
      </c>
      <c r="M223">
        <v>47</v>
      </c>
      <c r="N223">
        <v>52</v>
      </c>
    </row>
    <row r="224" spans="1:14" x14ac:dyDescent="0.3">
      <c r="A224">
        <v>223</v>
      </c>
      <c r="B224" s="4">
        <v>40553</v>
      </c>
      <c r="C224" s="5">
        <v>0.54166666666666674</v>
      </c>
      <c r="D224" t="s">
        <v>8</v>
      </c>
      <c r="E224" t="s">
        <v>9</v>
      </c>
      <c r="F224" t="s">
        <v>13</v>
      </c>
      <c r="G224" t="s">
        <v>19</v>
      </c>
      <c r="H224">
        <v>0.2</v>
      </c>
      <c r="I224" s="3">
        <v>0.18179999999999999</v>
      </c>
      <c r="J224">
        <v>0.4</v>
      </c>
      <c r="K224">
        <v>0.28360000000000002</v>
      </c>
      <c r="L224">
        <v>4</v>
      </c>
      <c r="M224">
        <v>50</v>
      </c>
      <c r="N224">
        <v>54</v>
      </c>
    </row>
    <row r="225" spans="1:14" x14ac:dyDescent="0.3">
      <c r="A225">
        <v>224</v>
      </c>
      <c r="B225" s="4">
        <v>40553</v>
      </c>
      <c r="C225" s="5">
        <v>0.58333333333333326</v>
      </c>
      <c r="D225" t="s">
        <v>8</v>
      </c>
      <c r="E225" t="s">
        <v>9</v>
      </c>
      <c r="F225" t="s">
        <v>13</v>
      </c>
      <c r="G225" t="s">
        <v>19</v>
      </c>
      <c r="H225">
        <v>0.2</v>
      </c>
      <c r="I225" s="3">
        <v>0.19700000000000001</v>
      </c>
      <c r="J225">
        <v>0.4</v>
      </c>
      <c r="K225">
        <v>0.22389999999999999</v>
      </c>
      <c r="L225">
        <v>0</v>
      </c>
      <c r="M225">
        <v>47</v>
      </c>
      <c r="N225">
        <v>47</v>
      </c>
    </row>
    <row r="226" spans="1:14" x14ac:dyDescent="0.3">
      <c r="A226">
        <v>225</v>
      </c>
      <c r="B226" s="4">
        <v>40553</v>
      </c>
      <c r="C226" s="5">
        <v>0.625</v>
      </c>
      <c r="D226" t="s">
        <v>8</v>
      </c>
      <c r="E226" t="s">
        <v>9</v>
      </c>
      <c r="F226" t="s">
        <v>13</v>
      </c>
      <c r="G226" t="s">
        <v>19</v>
      </c>
      <c r="H226">
        <v>0.2</v>
      </c>
      <c r="I226" s="3">
        <v>0.19700000000000001</v>
      </c>
      <c r="J226">
        <v>0.4</v>
      </c>
      <c r="K226">
        <v>0.22389999999999999</v>
      </c>
      <c r="L226">
        <v>2</v>
      </c>
      <c r="M226">
        <v>43</v>
      </c>
      <c r="N226">
        <v>45</v>
      </c>
    </row>
    <row r="227" spans="1:14" x14ac:dyDescent="0.3">
      <c r="A227">
        <v>226</v>
      </c>
      <c r="B227" s="4">
        <v>40553</v>
      </c>
      <c r="C227" s="5">
        <v>0.66666666666666674</v>
      </c>
      <c r="D227" t="s">
        <v>8</v>
      </c>
      <c r="E227" t="s">
        <v>9</v>
      </c>
      <c r="F227" t="s">
        <v>13</v>
      </c>
      <c r="G227" t="s">
        <v>18</v>
      </c>
      <c r="H227">
        <v>0.2</v>
      </c>
      <c r="I227" s="3">
        <v>0.21210000000000001</v>
      </c>
      <c r="J227">
        <v>0.4</v>
      </c>
      <c r="K227">
        <v>0.1343</v>
      </c>
      <c r="L227">
        <v>4</v>
      </c>
      <c r="M227">
        <v>70</v>
      </c>
      <c r="N227">
        <v>74</v>
      </c>
    </row>
    <row r="228" spans="1:14" x14ac:dyDescent="0.3">
      <c r="A228">
        <v>227</v>
      </c>
      <c r="B228" s="4">
        <v>40553</v>
      </c>
      <c r="C228" s="5">
        <v>0.70833333333333326</v>
      </c>
      <c r="D228" t="s">
        <v>8</v>
      </c>
      <c r="E228" t="s">
        <v>9</v>
      </c>
      <c r="F228" t="s">
        <v>13</v>
      </c>
      <c r="G228" t="s">
        <v>18</v>
      </c>
      <c r="H228">
        <v>0.2</v>
      </c>
      <c r="I228" s="3">
        <v>0.2273</v>
      </c>
      <c r="J228">
        <v>0.4</v>
      </c>
      <c r="K228">
        <v>0.1045</v>
      </c>
      <c r="L228">
        <v>4</v>
      </c>
      <c r="M228">
        <v>174</v>
      </c>
      <c r="N228">
        <v>178</v>
      </c>
    </row>
    <row r="229" spans="1:14" x14ac:dyDescent="0.3">
      <c r="A229">
        <v>228</v>
      </c>
      <c r="B229" s="4">
        <v>40553</v>
      </c>
      <c r="C229" s="5">
        <v>0.75</v>
      </c>
      <c r="D229" t="s">
        <v>8</v>
      </c>
      <c r="E229" t="s">
        <v>9</v>
      </c>
      <c r="F229" t="s">
        <v>13</v>
      </c>
      <c r="G229" t="s">
        <v>18</v>
      </c>
      <c r="H229">
        <v>0.2</v>
      </c>
      <c r="I229" s="3">
        <v>0.19700000000000001</v>
      </c>
      <c r="J229">
        <v>0.4</v>
      </c>
      <c r="K229">
        <v>0.22389999999999999</v>
      </c>
      <c r="L229">
        <v>1</v>
      </c>
      <c r="M229">
        <v>154</v>
      </c>
      <c r="N229">
        <v>155</v>
      </c>
    </row>
    <row r="230" spans="1:14" x14ac:dyDescent="0.3">
      <c r="A230">
        <v>229</v>
      </c>
      <c r="B230" s="4">
        <v>40553</v>
      </c>
      <c r="C230" s="5">
        <v>0.79166666666666674</v>
      </c>
      <c r="D230" t="s">
        <v>8</v>
      </c>
      <c r="E230" t="s">
        <v>9</v>
      </c>
      <c r="F230" t="s">
        <v>13</v>
      </c>
      <c r="G230" t="s">
        <v>18</v>
      </c>
      <c r="H230">
        <v>0.16</v>
      </c>
      <c r="I230" s="3">
        <v>0.16669999999999999</v>
      </c>
      <c r="J230">
        <v>0.47</v>
      </c>
      <c r="K230">
        <v>0.16420000000000001</v>
      </c>
      <c r="L230">
        <v>3</v>
      </c>
      <c r="M230">
        <v>92</v>
      </c>
      <c r="N230">
        <v>95</v>
      </c>
    </row>
    <row r="231" spans="1:14" x14ac:dyDescent="0.3">
      <c r="A231">
        <v>230</v>
      </c>
      <c r="B231" s="4">
        <v>40553</v>
      </c>
      <c r="C231" s="5">
        <v>0.83333333333333326</v>
      </c>
      <c r="D231" t="s">
        <v>8</v>
      </c>
      <c r="E231" t="s">
        <v>9</v>
      </c>
      <c r="F231" t="s">
        <v>13</v>
      </c>
      <c r="G231" t="s">
        <v>18</v>
      </c>
      <c r="H231">
        <v>0.16</v>
      </c>
      <c r="I231" s="3">
        <v>0.16669999999999999</v>
      </c>
      <c r="J231">
        <v>0.5</v>
      </c>
      <c r="K231">
        <v>0.16420000000000001</v>
      </c>
      <c r="L231">
        <v>1</v>
      </c>
      <c r="M231">
        <v>73</v>
      </c>
      <c r="N231">
        <v>74</v>
      </c>
    </row>
    <row r="232" spans="1:14" x14ac:dyDescent="0.3">
      <c r="A232">
        <v>231</v>
      </c>
      <c r="B232" s="4">
        <v>40553</v>
      </c>
      <c r="C232" s="5">
        <v>0.875</v>
      </c>
      <c r="D232" t="s">
        <v>8</v>
      </c>
      <c r="E232" t="s">
        <v>9</v>
      </c>
      <c r="F232" t="s">
        <v>13</v>
      </c>
      <c r="G232" t="s">
        <v>18</v>
      </c>
      <c r="H232">
        <v>0.14000000000000001</v>
      </c>
      <c r="I232" s="3">
        <v>0.13639999999999999</v>
      </c>
      <c r="J232">
        <v>0.59</v>
      </c>
      <c r="K232">
        <v>0.19400000000000001</v>
      </c>
      <c r="L232">
        <v>1</v>
      </c>
      <c r="M232">
        <v>37</v>
      </c>
      <c r="N232">
        <v>38</v>
      </c>
    </row>
    <row r="233" spans="1:14" x14ac:dyDescent="0.3">
      <c r="A233">
        <v>232</v>
      </c>
      <c r="B233" s="4">
        <v>40553</v>
      </c>
      <c r="C233" s="5">
        <v>0.91666666666666674</v>
      </c>
      <c r="D233" t="s">
        <v>8</v>
      </c>
      <c r="E233" t="s">
        <v>9</v>
      </c>
      <c r="F233" t="s">
        <v>13</v>
      </c>
      <c r="G233" t="s">
        <v>18</v>
      </c>
      <c r="H233">
        <v>0.14000000000000001</v>
      </c>
      <c r="I233" s="3">
        <v>0.1515</v>
      </c>
      <c r="J233">
        <v>0.59</v>
      </c>
      <c r="K233">
        <v>0.16420000000000001</v>
      </c>
      <c r="L233">
        <v>2</v>
      </c>
      <c r="M233">
        <v>22</v>
      </c>
      <c r="N233">
        <v>24</v>
      </c>
    </row>
    <row r="234" spans="1:14" x14ac:dyDescent="0.3">
      <c r="A234">
        <v>233</v>
      </c>
      <c r="B234" s="4">
        <v>40553</v>
      </c>
      <c r="C234" s="5">
        <v>0.95833333333333326</v>
      </c>
      <c r="D234" t="s">
        <v>8</v>
      </c>
      <c r="E234" t="s">
        <v>9</v>
      </c>
      <c r="F234" t="s">
        <v>13</v>
      </c>
      <c r="G234" t="s">
        <v>18</v>
      </c>
      <c r="H234">
        <v>0.14000000000000001</v>
      </c>
      <c r="I234" s="3">
        <v>0.1515</v>
      </c>
      <c r="J234">
        <v>0.59</v>
      </c>
      <c r="K234">
        <v>0.16420000000000001</v>
      </c>
      <c r="L234">
        <v>0</v>
      </c>
      <c r="M234">
        <v>18</v>
      </c>
      <c r="N234">
        <v>18</v>
      </c>
    </row>
    <row r="235" spans="1:14" x14ac:dyDescent="0.3">
      <c r="A235">
        <v>234</v>
      </c>
      <c r="B235" s="4">
        <v>40554</v>
      </c>
      <c r="C235" s="5">
        <v>0</v>
      </c>
      <c r="D235" t="s">
        <v>8</v>
      </c>
      <c r="E235" t="s">
        <v>9</v>
      </c>
      <c r="F235" t="s">
        <v>14</v>
      </c>
      <c r="G235" t="s">
        <v>18</v>
      </c>
      <c r="H235">
        <v>0.14000000000000001</v>
      </c>
      <c r="I235" s="3">
        <v>0.16669999999999999</v>
      </c>
      <c r="J235">
        <v>0.59</v>
      </c>
      <c r="K235">
        <v>0.1045</v>
      </c>
      <c r="L235">
        <v>2</v>
      </c>
      <c r="M235">
        <v>10</v>
      </c>
      <c r="N235">
        <v>12</v>
      </c>
    </row>
    <row r="236" spans="1:14" x14ac:dyDescent="0.3">
      <c r="A236">
        <v>235</v>
      </c>
      <c r="B236" s="4">
        <v>40554</v>
      </c>
      <c r="C236" s="5">
        <v>4.1666666666666741E-2</v>
      </c>
      <c r="D236" t="s">
        <v>8</v>
      </c>
      <c r="E236" t="s">
        <v>9</v>
      </c>
      <c r="F236" t="s">
        <v>14</v>
      </c>
      <c r="G236" t="s">
        <v>18</v>
      </c>
      <c r="H236">
        <v>0.14000000000000001</v>
      </c>
      <c r="I236" s="3">
        <v>0.1515</v>
      </c>
      <c r="J236">
        <v>0.59</v>
      </c>
      <c r="K236">
        <v>0.16420000000000001</v>
      </c>
      <c r="L236">
        <v>0</v>
      </c>
      <c r="M236">
        <v>3</v>
      </c>
      <c r="N236">
        <v>3</v>
      </c>
    </row>
    <row r="237" spans="1:14" x14ac:dyDescent="0.3">
      <c r="A237">
        <v>236</v>
      </c>
      <c r="B237" s="4">
        <v>40554</v>
      </c>
      <c r="C237" s="5">
        <v>8.3333333333333259E-2</v>
      </c>
      <c r="D237" t="s">
        <v>8</v>
      </c>
      <c r="E237" t="s">
        <v>9</v>
      </c>
      <c r="F237" t="s">
        <v>14</v>
      </c>
      <c r="G237" t="s">
        <v>19</v>
      </c>
      <c r="H237">
        <v>0.16</v>
      </c>
      <c r="I237" s="3">
        <v>0.1515</v>
      </c>
      <c r="J237">
        <v>0.55000000000000004</v>
      </c>
      <c r="K237">
        <v>0.19400000000000001</v>
      </c>
      <c r="L237">
        <v>0</v>
      </c>
      <c r="M237">
        <v>3</v>
      </c>
      <c r="N237">
        <v>3</v>
      </c>
    </row>
    <row r="238" spans="1:14" x14ac:dyDescent="0.3">
      <c r="A238">
        <v>237</v>
      </c>
      <c r="B238" s="4">
        <v>40554</v>
      </c>
      <c r="C238" s="5">
        <v>0.20833333333333326</v>
      </c>
      <c r="D238" t="s">
        <v>8</v>
      </c>
      <c r="E238" t="s">
        <v>9</v>
      </c>
      <c r="F238" t="s">
        <v>14</v>
      </c>
      <c r="G238" t="s">
        <v>19</v>
      </c>
      <c r="H238">
        <v>0.16</v>
      </c>
      <c r="I238" s="3">
        <v>0.18179999999999999</v>
      </c>
      <c r="J238">
        <v>0.55000000000000004</v>
      </c>
      <c r="K238">
        <v>0.1343</v>
      </c>
      <c r="L238">
        <v>0</v>
      </c>
      <c r="M238">
        <v>6</v>
      </c>
      <c r="N238">
        <v>6</v>
      </c>
    </row>
    <row r="239" spans="1:14" x14ac:dyDescent="0.3">
      <c r="A239">
        <v>238</v>
      </c>
      <c r="B239" s="4">
        <v>40554</v>
      </c>
      <c r="C239" s="5">
        <v>0.25</v>
      </c>
      <c r="D239" t="s">
        <v>8</v>
      </c>
      <c r="E239" t="s">
        <v>9</v>
      </c>
      <c r="F239" t="s">
        <v>14</v>
      </c>
      <c r="G239" t="s">
        <v>19</v>
      </c>
      <c r="H239">
        <v>0.16</v>
      </c>
      <c r="I239" s="3">
        <v>0.18179999999999999</v>
      </c>
      <c r="J239">
        <v>0.55000000000000004</v>
      </c>
      <c r="K239">
        <v>0.1343</v>
      </c>
      <c r="L239">
        <v>0</v>
      </c>
      <c r="M239">
        <v>27</v>
      </c>
      <c r="N239">
        <v>27</v>
      </c>
    </row>
    <row r="240" spans="1:14" x14ac:dyDescent="0.3">
      <c r="A240">
        <v>239</v>
      </c>
      <c r="B240" s="4">
        <v>40554</v>
      </c>
      <c r="C240" s="5">
        <v>0.29166666666666674</v>
      </c>
      <c r="D240" t="s">
        <v>8</v>
      </c>
      <c r="E240" t="s">
        <v>9</v>
      </c>
      <c r="F240" t="s">
        <v>14</v>
      </c>
      <c r="G240" t="s">
        <v>19</v>
      </c>
      <c r="H240">
        <v>0.16</v>
      </c>
      <c r="I240" s="3">
        <v>0.2273</v>
      </c>
      <c r="J240">
        <v>0.55000000000000004</v>
      </c>
      <c r="K240">
        <v>0</v>
      </c>
      <c r="L240">
        <v>2</v>
      </c>
      <c r="M240">
        <v>97</v>
      </c>
      <c r="N240">
        <v>99</v>
      </c>
    </row>
    <row r="241" spans="1:14" x14ac:dyDescent="0.3">
      <c r="A241">
        <v>240</v>
      </c>
      <c r="B241" s="4">
        <v>40554</v>
      </c>
      <c r="C241" s="5">
        <v>0.33333333333333326</v>
      </c>
      <c r="D241" t="s">
        <v>8</v>
      </c>
      <c r="E241" t="s">
        <v>9</v>
      </c>
      <c r="F241" t="s">
        <v>14</v>
      </c>
      <c r="G241" t="s">
        <v>19</v>
      </c>
      <c r="H241">
        <v>0.18</v>
      </c>
      <c r="I241" s="3">
        <v>0.21210000000000001</v>
      </c>
      <c r="J241">
        <v>0.51</v>
      </c>
      <c r="K241">
        <v>8.9599999999999999E-2</v>
      </c>
      <c r="L241">
        <v>3</v>
      </c>
      <c r="M241">
        <v>214</v>
      </c>
      <c r="N241">
        <v>217</v>
      </c>
    </row>
    <row r="242" spans="1:14" x14ac:dyDescent="0.3">
      <c r="A242">
        <v>241</v>
      </c>
      <c r="B242" s="4">
        <v>40554</v>
      </c>
      <c r="C242" s="5">
        <v>0.375</v>
      </c>
      <c r="D242" t="s">
        <v>8</v>
      </c>
      <c r="E242" t="s">
        <v>9</v>
      </c>
      <c r="F242" t="s">
        <v>14</v>
      </c>
      <c r="G242" t="s">
        <v>19</v>
      </c>
      <c r="H242">
        <v>0.18</v>
      </c>
      <c r="I242" s="3">
        <v>0.19700000000000001</v>
      </c>
      <c r="J242">
        <v>0.51</v>
      </c>
      <c r="K242">
        <v>0.16420000000000001</v>
      </c>
      <c r="L242">
        <v>3</v>
      </c>
      <c r="M242">
        <v>127</v>
      </c>
      <c r="N242">
        <v>130</v>
      </c>
    </row>
    <row r="243" spans="1:14" x14ac:dyDescent="0.3">
      <c r="A243">
        <v>242</v>
      </c>
      <c r="B243" s="4">
        <v>40554</v>
      </c>
      <c r="C243" s="5">
        <v>0.41666666666666674</v>
      </c>
      <c r="D243" t="s">
        <v>8</v>
      </c>
      <c r="E243" t="s">
        <v>9</v>
      </c>
      <c r="F243" t="s">
        <v>14</v>
      </c>
      <c r="G243" t="s">
        <v>19</v>
      </c>
      <c r="H243">
        <v>0.2</v>
      </c>
      <c r="I243" s="3">
        <v>0.21210000000000001</v>
      </c>
      <c r="J243">
        <v>0.51</v>
      </c>
      <c r="K243">
        <v>0.16420000000000001</v>
      </c>
      <c r="L243">
        <v>3</v>
      </c>
      <c r="M243">
        <v>51</v>
      </c>
      <c r="N243">
        <v>54</v>
      </c>
    </row>
    <row r="244" spans="1:14" x14ac:dyDescent="0.3">
      <c r="A244">
        <v>243</v>
      </c>
      <c r="B244" s="4">
        <v>40554</v>
      </c>
      <c r="C244" s="5">
        <v>0.45833333333333326</v>
      </c>
      <c r="D244" t="s">
        <v>8</v>
      </c>
      <c r="E244" t="s">
        <v>9</v>
      </c>
      <c r="F244" t="s">
        <v>14</v>
      </c>
      <c r="G244" t="s">
        <v>19</v>
      </c>
      <c r="H244">
        <v>0.2</v>
      </c>
      <c r="I244" s="3">
        <v>0.21210000000000001</v>
      </c>
      <c r="J244">
        <v>0.47</v>
      </c>
      <c r="K244">
        <v>0.1343</v>
      </c>
      <c r="L244">
        <v>4</v>
      </c>
      <c r="M244">
        <v>31</v>
      </c>
      <c r="N244">
        <v>35</v>
      </c>
    </row>
    <row r="245" spans="1:14" x14ac:dyDescent="0.3">
      <c r="A245">
        <v>244</v>
      </c>
      <c r="B245" s="4">
        <v>40554</v>
      </c>
      <c r="C245" s="5">
        <v>0.5</v>
      </c>
      <c r="D245" t="s">
        <v>8</v>
      </c>
      <c r="E245" t="s">
        <v>9</v>
      </c>
      <c r="F245" t="s">
        <v>14</v>
      </c>
      <c r="G245" t="s">
        <v>19</v>
      </c>
      <c r="H245">
        <v>0.2</v>
      </c>
      <c r="I245" s="3">
        <v>0.2273</v>
      </c>
      <c r="J245">
        <v>0.51</v>
      </c>
      <c r="K245">
        <v>0.1045</v>
      </c>
      <c r="L245">
        <v>2</v>
      </c>
      <c r="M245">
        <v>55</v>
      </c>
      <c r="N245">
        <v>57</v>
      </c>
    </row>
    <row r="246" spans="1:14" x14ac:dyDescent="0.3">
      <c r="A246">
        <v>245</v>
      </c>
      <c r="B246" s="4">
        <v>40554</v>
      </c>
      <c r="C246" s="5">
        <v>0.54166666666666674</v>
      </c>
      <c r="D246" t="s">
        <v>8</v>
      </c>
      <c r="E246" t="s">
        <v>9</v>
      </c>
      <c r="F246" t="s">
        <v>14</v>
      </c>
      <c r="G246" t="s">
        <v>19</v>
      </c>
      <c r="H246">
        <v>0.2</v>
      </c>
      <c r="I246" s="3">
        <v>0.2273</v>
      </c>
      <c r="J246">
        <v>0.59</v>
      </c>
      <c r="K246">
        <v>8.9599999999999999E-2</v>
      </c>
      <c r="L246">
        <v>6</v>
      </c>
      <c r="M246">
        <v>46</v>
      </c>
      <c r="N246">
        <v>52</v>
      </c>
    </row>
    <row r="247" spans="1:14" x14ac:dyDescent="0.3">
      <c r="A247">
        <v>246</v>
      </c>
      <c r="B247" s="4">
        <v>40554</v>
      </c>
      <c r="C247" s="5">
        <v>0.58333333333333326</v>
      </c>
      <c r="D247" t="s">
        <v>8</v>
      </c>
      <c r="E247" t="s">
        <v>9</v>
      </c>
      <c r="F247" t="s">
        <v>14</v>
      </c>
      <c r="G247" t="s">
        <v>19</v>
      </c>
      <c r="H247">
        <v>0.2</v>
      </c>
      <c r="I247" s="3">
        <v>0.2273</v>
      </c>
      <c r="J247">
        <v>0.59</v>
      </c>
      <c r="K247">
        <v>8.9599999999999999E-2</v>
      </c>
      <c r="L247">
        <v>3</v>
      </c>
      <c r="M247">
        <v>60</v>
      </c>
      <c r="N247">
        <v>63</v>
      </c>
    </row>
    <row r="248" spans="1:14" x14ac:dyDescent="0.3">
      <c r="A248">
        <v>247</v>
      </c>
      <c r="B248" s="4">
        <v>40554</v>
      </c>
      <c r="C248" s="5">
        <v>0.625</v>
      </c>
      <c r="D248" t="s">
        <v>8</v>
      </c>
      <c r="E248" t="s">
        <v>9</v>
      </c>
      <c r="F248" t="s">
        <v>14</v>
      </c>
      <c r="G248" t="s">
        <v>19</v>
      </c>
      <c r="H248">
        <v>0.16</v>
      </c>
      <c r="I248" s="3">
        <v>0.19700000000000001</v>
      </c>
      <c r="J248">
        <v>0.8</v>
      </c>
      <c r="K248">
        <v>8.9599999999999999E-2</v>
      </c>
      <c r="L248">
        <v>2</v>
      </c>
      <c r="M248">
        <v>45</v>
      </c>
      <c r="N248">
        <v>47</v>
      </c>
    </row>
    <row r="249" spans="1:14" x14ac:dyDescent="0.3">
      <c r="A249">
        <v>248</v>
      </c>
      <c r="B249" s="4">
        <v>40554</v>
      </c>
      <c r="C249" s="5">
        <v>0.66666666666666674</v>
      </c>
      <c r="D249" t="s">
        <v>8</v>
      </c>
      <c r="E249" t="s">
        <v>9</v>
      </c>
      <c r="F249" t="s">
        <v>14</v>
      </c>
      <c r="G249" t="s">
        <v>19</v>
      </c>
      <c r="H249">
        <v>0.16</v>
      </c>
      <c r="I249" s="3">
        <v>0.1515</v>
      </c>
      <c r="J249">
        <v>0.86</v>
      </c>
      <c r="K249">
        <v>0.22389999999999999</v>
      </c>
      <c r="L249">
        <v>4</v>
      </c>
      <c r="M249">
        <v>72</v>
      </c>
      <c r="N249">
        <v>76</v>
      </c>
    </row>
    <row r="250" spans="1:14" x14ac:dyDescent="0.3">
      <c r="A250">
        <v>249</v>
      </c>
      <c r="B250" s="4">
        <v>40554</v>
      </c>
      <c r="C250" s="5">
        <v>0.70833333333333326</v>
      </c>
      <c r="D250" t="s">
        <v>8</v>
      </c>
      <c r="E250" t="s">
        <v>9</v>
      </c>
      <c r="F250" t="s">
        <v>14</v>
      </c>
      <c r="G250" t="s">
        <v>19</v>
      </c>
      <c r="H250">
        <v>0.16</v>
      </c>
      <c r="I250" s="3">
        <v>0.1515</v>
      </c>
      <c r="J250">
        <v>0.86</v>
      </c>
      <c r="K250">
        <v>0.22389999999999999</v>
      </c>
      <c r="L250">
        <v>6</v>
      </c>
      <c r="M250">
        <v>130</v>
      </c>
      <c r="N250">
        <v>136</v>
      </c>
    </row>
    <row r="251" spans="1:14" x14ac:dyDescent="0.3">
      <c r="A251">
        <v>250</v>
      </c>
      <c r="B251" s="4">
        <v>40554</v>
      </c>
      <c r="C251" s="5">
        <v>0.75</v>
      </c>
      <c r="D251" t="s">
        <v>8</v>
      </c>
      <c r="E251" t="s">
        <v>9</v>
      </c>
      <c r="F251" t="s">
        <v>14</v>
      </c>
      <c r="G251" t="s">
        <v>20</v>
      </c>
      <c r="H251">
        <v>0.16</v>
      </c>
      <c r="I251" s="3">
        <v>0.18179999999999999</v>
      </c>
      <c r="J251">
        <v>0.93</v>
      </c>
      <c r="K251">
        <v>0.1045</v>
      </c>
      <c r="L251">
        <v>1</v>
      </c>
      <c r="M251">
        <v>94</v>
      </c>
      <c r="N251">
        <v>95</v>
      </c>
    </row>
    <row r="252" spans="1:14" x14ac:dyDescent="0.3">
      <c r="A252">
        <v>251</v>
      </c>
      <c r="B252" s="4">
        <v>40554</v>
      </c>
      <c r="C252" s="5">
        <v>0.79166666666666674</v>
      </c>
      <c r="D252" t="s">
        <v>8</v>
      </c>
      <c r="E252" t="s">
        <v>9</v>
      </c>
      <c r="F252" t="s">
        <v>14</v>
      </c>
      <c r="G252" t="s">
        <v>20</v>
      </c>
      <c r="H252">
        <v>0.16</v>
      </c>
      <c r="I252" s="3">
        <v>0.2273</v>
      </c>
      <c r="J252">
        <v>0.93</v>
      </c>
      <c r="K252">
        <v>0</v>
      </c>
      <c r="L252">
        <v>0</v>
      </c>
      <c r="M252">
        <v>51</v>
      </c>
      <c r="N252">
        <v>51</v>
      </c>
    </row>
    <row r="253" spans="1:14" x14ac:dyDescent="0.3">
      <c r="A253">
        <v>252</v>
      </c>
      <c r="B253" s="4">
        <v>40554</v>
      </c>
      <c r="C253" s="5">
        <v>0.83333333333333326</v>
      </c>
      <c r="D253" t="s">
        <v>8</v>
      </c>
      <c r="E253" t="s">
        <v>9</v>
      </c>
      <c r="F253" t="s">
        <v>14</v>
      </c>
      <c r="G253" t="s">
        <v>20</v>
      </c>
      <c r="H253">
        <v>0.16</v>
      </c>
      <c r="I253" s="3">
        <v>0.1515</v>
      </c>
      <c r="J253">
        <v>0.93</v>
      </c>
      <c r="K253">
        <v>0.19400000000000001</v>
      </c>
      <c r="L253">
        <v>0</v>
      </c>
      <c r="M253">
        <v>32</v>
      </c>
      <c r="N253">
        <v>32</v>
      </c>
    </row>
    <row r="254" spans="1:14" x14ac:dyDescent="0.3">
      <c r="A254">
        <v>253</v>
      </c>
      <c r="B254" s="4">
        <v>40554</v>
      </c>
      <c r="C254" s="5">
        <v>0.875</v>
      </c>
      <c r="D254" t="s">
        <v>8</v>
      </c>
      <c r="E254" t="s">
        <v>9</v>
      </c>
      <c r="F254" t="s">
        <v>14</v>
      </c>
      <c r="G254" t="s">
        <v>20</v>
      </c>
      <c r="H254">
        <v>0.16</v>
      </c>
      <c r="I254" s="3">
        <v>0.19700000000000001</v>
      </c>
      <c r="J254">
        <v>0.86</v>
      </c>
      <c r="K254">
        <v>8.9599999999999999E-2</v>
      </c>
      <c r="L254">
        <v>0</v>
      </c>
      <c r="M254">
        <v>20</v>
      </c>
      <c r="N254">
        <v>20</v>
      </c>
    </row>
    <row r="255" spans="1:14" x14ac:dyDescent="0.3">
      <c r="A255">
        <v>254</v>
      </c>
      <c r="B255" s="4">
        <v>40554</v>
      </c>
      <c r="C255" s="5">
        <v>0.91666666666666674</v>
      </c>
      <c r="D255" t="s">
        <v>8</v>
      </c>
      <c r="E255" t="s">
        <v>9</v>
      </c>
      <c r="F255" t="s">
        <v>14</v>
      </c>
      <c r="G255" t="s">
        <v>20</v>
      </c>
      <c r="H255">
        <v>0.16</v>
      </c>
      <c r="I255" s="3">
        <v>0.18179999999999999</v>
      </c>
      <c r="J255">
        <v>0.93</v>
      </c>
      <c r="K255">
        <v>0.1045</v>
      </c>
      <c r="L255">
        <v>1</v>
      </c>
      <c r="M255">
        <v>28</v>
      </c>
      <c r="N255">
        <v>29</v>
      </c>
    </row>
    <row r="256" spans="1:14" x14ac:dyDescent="0.3">
      <c r="A256">
        <v>255</v>
      </c>
      <c r="B256" s="4">
        <v>40554</v>
      </c>
      <c r="C256" s="5">
        <v>0.95833333333333326</v>
      </c>
      <c r="D256" t="s">
        <v>8</v>
      </c>
      <c r="E256" t="s">
        <v>9</v>
      </c>
      <c r="F256" t="s">
        <v>14</v>
      </c>
      <c r="G256" t="s">
        <v>20</v>
      </c>
      <c r="H256">
        <v>0.16</v>
      </c>
      <c r="I256" s="3">
        <v>0.19700000000000001</v>
      </c>
      <c r="J256">
        <v>0.93</v>
      </c>
      <c r="K256">
        <v>8.9599999999999999E-2</v>
      </c>
      <c r="L256">
        <v>1</v>
      </c>
      <c r="M256">
        <v>18</v>
      </c>
      <c r="N256">
        <v>19</v>
      </c>
    </row>
    <row r="257" spans="1:14" x14ac:dyDescent="0.3">
      <c r="A257">
        <v>256</v>
      </c>
      <c r="B257" s="4">
        <v>40555</v>
      </c>
      <c r="C257" s="5">
        <v>0</v>
      </c>
      <c r="D257" t="s">
        <v>8</v>
      </c>
      <c r="E257" t="s">
        <v>9</v>
      </c>
      <c r="F257" t="s">
        <v>15</v>
      </c>
      <c r="G257" t="s">
        <v>19</v>
      </c>
      <c r="H257">
        <v>0.16</v>
      </c>
      <c r="I257" s="3">
        <v>0.19700000000000001</v>
      </c>
      <c r="J257">
        <v>0.86</v>
      </c>
      <c r="K257">
        <v>8.9599999999999999E-2</v>
      </c>
      <c r="L257">
        <v>0</v>
      </c>
      <c r="M257">
        <v>7</v>
      </c>
      <c r="N257">
        <v>7</v>
      </c>
    </row>
    <row r="258" spans="1:14" x14ac:dyDescent="0.3">
      <c r="A258">
        <v>257</v>
      </c>
      <c r="B258" s="4">
        <v>40555</v>
      </c>
      <c r="C258" s="5">
        <v>4.1666666666666741E-2</v>
      </c>
      <c r="D258" t="s">
        <v>8</v>
      </c>
      <c r="E258" t="s">
        <v>9</v>
      </c>
      <c r="F258" t="s">
        <v>15</v>
      </c>
      <c r="G258" t="s">
        <v>19</v>
      </c>
      <c r="H258">
        <v>0.16</v>
      </c>
      <c r="I258" s="3">
        <v>0.18179999999999999</v>
      </c>
      <c r="J258">
        <v>0.86</v>
      </c>
      <c r="K258">
        <v>0.1045</v>
      </c>
      <c r="L258">
        <v>0</v>
      </c>
      <c r="M258">
        <v>6</v>
      </c>
      <c r="N258">
        <v>6</v>
      </c>
    </row>
    <row r="259" spans="1:14" x14ac:dyDescent="0.3">
      <c r="A259">
        <v>258</v>
      </c>
      <c r="B259" s="4">
        <v>40555</v>
      </c>
      <c r="C259" s="5">
        <v>8.3333333333333259E-2</v>
      </c>
      <c r="D259" t="s">
        <v>8</v>
      </c>
      <c r="E259" t="s">
        <v>9</v>
      </c>
      <c r="F259" t="s">
        <v>15</v>
      </c>
      <c r="G259" t="s">
        <v>18</v>
      </c>
      <c r="H259">
        <v>0.14000000000000001</v>
      </c>
      <c r="I259" s="3">
        <v>0.1515</v>
      </c>
      <c r="J259">
        <v>0.86</v>
      </c>
      <c r="K259">
        <v>0.1343</v>
      </c>
      <c r="L259">
        <v>0</v>
      </c>
      <c r="M259">
        <v>1</v>
      </c>
      <c r="N259">
        <v>1</v>
      </c>
    </row>
    <row r="260" spans="1:14" x14ac:dyDescent="0.3">
      <c r="A260">
        <v>259</v>
      </c>
      <c r="B260" s="4">
        <v>40555</v>
      </c>
      <c r="C260" s="5">
        <v>0.20833333333333326</v>
      </c>
      <c r="D260" t="s">
        <v>8</v>
      </c>
      <c r="E260" t="s">
        <v>9</v>
      </c>
      <c r="F260" t="s">
        <v>15</v>
      </c>
      <c r="G260" t="s">
        <v>18</v>
      </c>
      <c r="H260">
        <v>0.14000000000000001</v>
      </c>
      <c r="I260" s="3">
        <v>0.1515</v>
      </c>
      <c r="J260">
        <v>0.86</v>
      </c>
      <c r="K260">
        <v>0.16420000000000001</v>
      </c>
      <c r="L260">
        <v>0</v>
      </c>
      <c r="M260">
        <v>5</v>
      </c>
      <c r="N260">
        <v>5</v>
      </c>
    </row>
    <row r="261" spans="1:14" x14ac:dyDescent="0.3">
      <c r="A261">
        <v>260</v>
      </c>
      <c r="B261" s="4">
        <v>40555</v>
      </c>
      <c r="C261" s="5">
        <v>0.25</v>
      </c>
      <c r="D261" t="s">
        <v>8</v>
      </c>
      <c r="E261" t="s">
        <v>9</v>
      </c>
      <c r="F261" t="s">
        <v>15</v>
      </c>
      <c r="G261" t="s">
        <v>18</v>
      </c>
      <c r="H261">
        <v>0.12</v>
      </c>
      <c r="I261" s="3">
        <v>0.1515</v>
      </c>
      <c r="J261">
        <v>0.93</v>
      </c>
      <c r="K261">
        <v>0.1343</v>
      </c>
      <c r="L261">
        <v>0</v>
      </c>
      <c r="M261">
        <v>16</v>
      </c>
      <c r="N261">
        <v>16</v>
      </c>
    </row>
    <row r="262" spans="1:14" x14ac:dyDescent="0.3">
      <c r="A262">
        <v>261</v>
      </c>
      <c r="B262" s="4">
        <v>40555</v>
      </c>
      <c r="C262" s="5">
        <v>0.29166666666666674</v>
      </c>
      <c r="D262" t="s">
        <v>8</v>
      </c>
      <c r="E262" t="s">
        <v>9</v>
      </c>
      <c r="F262" t="s">
        <v>15</v>
      </c>
      <c r="G262" t="s">
        <v>18</v>
      </c>
      <c r="H262">
        <v>0.14000000000000001</v>
      </c>
      <c r="I262" s="3">
        <v>0.1515</v>
      </c>
      <c r="J262">
        <v>0.69</v>
      </c>
      <c r="K262">
        <v>0.1343</v>
      </c>
      <c r="L262">
        <v>0</v>
      </c>
      <c r="M262">
        <v>54</v>
      </c>
      <c r="N262">
        <v>54</v>
      </c>
    </row>
    <row r="263" spans="1:14" x14ac:dyDescent="0.3">
      <c r="A263">
        <v>262</v>
      </c>
      <c r="B263" s="4">
        <v>40555</v>
      </c>
      <c r="C263" s="5">
        <v>0.33333333333333326</v>
      </c>
      <c r="D263" t="s">
        <v>8</v>
      </c>
      <c r="E263" t="s">
        <v>9</v>
      </c>
      <c r="F263" t="s">
        <v>15</v>
      </c>
      <c r="G263" t="s">
        <v>18</v>
      </c>
      <c r="H263">
        <v>0.16</v>
      </c>
      <c r="I263" s="3">
        <v>0.16669999999999999</v>
      </c>
      <c r="J263">
        <v>0.59</v>
      </c>
      <c r="K263">
        <v>0.16420000000000001</v>
      </c>
      <c r="L263">
        <v>3</v>
      </c>
      <c r="M263">
        <v>125</v>
      </c>
      <c r="N263">
        <v>128</v>
      </c>
    </row>
    <row r="264" spans="1:14" x14ac:dyDescent="0.3">
      <c r="A264">
        <v>263</v>
      </c>
      <c r="B264" s="4">
        <v>40555</v>
      </c>
      <c r="C264" s="5">
        <v>0.375</v>
      </c>
      <c r="D264" t="s">
        <v>8</v>
      </c>
      <c r="E264" t="s">
        <v>9</v>
      </c>
      <c r="F264" t="s">
        <v>15</v>
      </c>
      <c r="G264" t="s">
        <v>18</v>
      </c>
      <c r="H264">
        <v>0.16</v>
      </c>
      <c r="I264" s="3">
        <v>0.13639999999999999</v>
      </c>
      <c r="J264">
        <v>0.59</v>
      </c>
      <c r="K264">
        <v>0.32840000000000003</v>
      </c>
      <c r="L264">
        <v>3</v>
      </c>
      <c r="M264">
        <v>78</v>
      </c>
      <c r="N264">
        <v>81</v>
      </c>
    </row>
    <row r="265" spans="1:14" x14ac:dyDescent="0.3">
      <c r="A265">
        <v>264</v>
      </c>
      <c r="B265" s="4">
        <v>40555</v>
      </c>
      <c r="C265" s="5">
        <v>0.41666666666666674</v>
      </c>
      <c r="D265" t="s">
        <v>8</v>
      </c>
      <c r="E265" t="s">
        <v>9</v>
      </c>
      <c r="F265" t="s">
        <v>15</v>
      </c>
      <c r="G265" t="s">
        <v>18</v>
      </c>
      <c r="H265">
        <v>0.18</v>
      </c>
      <c r="I265" s="3">
        <v>0.18179999999999999</v>
      </c>
      <c r="J265">
        <v>0.55000000000000004</v>
      </c>
      <c r="K265">
        <v>0.22389999999999999</v>
      </c>
      <c r="L265">
        <v>0</v>
      </c>
      <c r="M265">
        <v>39</v>
      </c>
      <c r="N265">
        <v>39</v>
      </c>
    </row>
    <row r="266" spans="1:14" x14ac:dyDescent="0.3">
      <c r="A266">
        <v>265</v>
      </c>
      <c r="B266" s="4">
        <v>40555</v>
      </c>
      <c r="C266" s="5">
        <v>0.45833333333333326</v>
      </c>
      <c r="D266" t="s">
        <v>8</v>
      </c>
      <c r="E266" t="s">
        <v>9</v>
      </c>
      <c r="F266" t="s">
        <v>15</v>
      </c>
      <c r="G266" t="s">
        <v>18</v>
      </c>
      <c r="H266">
        <v>0.2</v>
      </c>
      <c r="I266" s="3">
        <v>0.18179999999999999</v>
      </c>
      <c r="J266">
        <v>0.51</v>
      </c>
      <c r="K266">
        <v>0.3881</v>
      </c>
      <c r="L266">
        <v>3</v>
      </c>
      <c r="M266">
        <v>32</v>
      </c>
      <c r="N266">
        <v>35</v>
      </c>
    </row>
    <row r="267" spans="1:14" x14ac:dyDescent="0.3">
      <c r="A267">
        <v>266</v>
      </c>
      <c r="B267" s="4">
        <v>40555</v>
      </c>
      <c r="C267" s="5">
        <v>0.5</v>
      </c>
      <c r="D267" t="s">
        <v>8</v>
      </c>
      <c r="E267" t="s">
        <v>9</v>
      </c>
      <c r="F267" t="s">
        <v>15</v>
      </c>
      <c r="G267" t="s">
        <v>18</v>
      </c>
      <c r="H267">
        <v>0.2</v>
      </c>
      <c r="I267" s="3">
        <v>0.1515</v>
      </c>
      <c r="J267">
        <v>0.47</v>
      </c>
      <c r="K267">
        <v>0.58209999999999995</v>
      </c>
      <c r="L267">
        <v>3</v>
      </c>
      <c r="M267">
        <v>52</v>
      </c>
      <c r="N267">
        <v>55</v>
      </c>
    </row>
    <row r="268" spans="1:14" x14ac:dyDescent="0.3">
      <c r="A268">
        <v>267</v>
      </c>
      <c r="B268" s="4">
        <v>40555</v>
      </c>
      <c r="C268" s="5">
        <v>0.54166666666666674</v>
      </c>
      <c r="D268" t="s">
        <v>8</v>
      </c>
      <c r="E268" t="s">
        <v>9</v>
      </c>
      <c r="F268" t="s">
        <v>15</v>
      </c>
      <c r="G268" t="s">
        <v>18</v>
      </c>
      <c r="H268">
        <v>0.22</v>
      </c>
      <c r="I268" s="3">
        <v>0.19700000000000001</v>
      </c>
      <c r="J268">
        <v>0.44</v>
      </c>
      <c r="K268">
        <v>0.35820000000000002</v>
      </c>
      <c r="L268">
        <v>0</v>
      </c>
      <c r="M268">
        <v>49</v>
      </c>
      <c r="N268">
        <v>49</v>
      </c>
    </row>
    <row r="269" spans="1:14" x14ac:dyDescent="0.3">
      <c r="A269">
        <v>268</v>
      </c>
      <c r="B269" s="4">
        <v>40555</v>
      </c>
      <c r="C269" s="5">
        <v>0.58333333333333326</v>
      </c>
      <c r="D269" t="s">
        <v>8</v>
      </c>
      <c r="E269" t="s">
        <v>9</v>
      </c>
      <c r="F269" t="s">
        <v>15</v>
      </c>
      <c r="G269" t="s">
        <v>18</v>
      </c>
      <c r="H269">
        <v>0.2</v>
      </c>
      <c r="I269" s="3">
        <v>0.18179999999999999</v>
      </c>
      <c r="J269">
        <v>0.47</v>
      </c>
      <c r="K269">
        <v>0.32840000000000003</v>
      </c>
      <c r="L269">
        <v>0</v>
      </c>
      <c r="M269">
        <v>44</v>
      </c>
      <c r="N269">
        <v>44</v>
      </c>
    </row>
    <row r="270" spans="1:14" x14ac:dyDescent="0.3">
      <c r="A270">
        <v>269</v>
      </c>
      <c r="B270" s="4">
        <v>40555</v>
      </c>
      <c r="C270" s="5">
        <v>0.625</v>
      </c>
      <c r="D270" t="s">
        <v>8</v>
      </c>
      <c r="E270" t="s">
        <v>9</v>
      </c>
      <c r="F270" t="s">
        <v>15</v>
      </c>
      <c r="G270" t="s">
        <v>18</v>
      </c>
      <c r="H270">
        <v>0.2</v>
      </c>
      <c r="I270" s="3">
        <v>0.16669999999999999</v>
      </c>
      <c r="J270">
        <v>0.47</v>
      </c>
      <c r="K270">
        <v>0.41789999999999999</v>
      </c>
      <c r="L270">
        <v>1</v>
      </c>
      <c r="M270">
        <v>48</v>
      </c>
      <c r="N270">
        <v>49</v>
      </c>
    </row>
    <row r="271" spans="1:14" x14ac:dyDescent="0.3">
      <c r="A271">
        <v>270</v>
      </c>
      <c r="B271" s="4">
        <v>40555</v>
      </c>
      <c r="C271" s="5">
        <v>0.66666666666666674</v>
      </c>
      <c r="D271" t="s">
        <v>8</v>
      </c>
      <c r="E271" t="s">
        <v>9</v>
      </c>
      <c r="F271" t="s">
        <v>15</v>
      </c>
      <c r="G271" t="s">
        <v>18</v>
      </c>
      <c r="H271">
        <v>0.22</v>
      </c>
      <c r="I271" s="3">
        <v>0.19700000000000001</v>
      </c>
      <c r="J271">
        <v>0.44</v>
      </c>
      <c r="K271">
        <v>0.32840000000000003</v>
      </c>
      <c r="L271">
        <v>5</v>
      </c>
      <c r="M271">
        <v>63</v>
      </c>
      <c r="N271">
        <v>68</v>
      </c>
    </row>
    <row r="272" spans="1:14" x14ac:dyDescent="0.3">
      <c r="A272">
        <v>271</v>
      </c>
      <c r="B272" s="4">
        <v>40555</v>
      </c>
      <c r="C272" s="5">
        <v>0.70833333333333326</v>
      </c>
      <c r="D272" t="s">
        <v>8</v>
      </c>
      <c r="E272" t="s">
        <v>9</v>
      </c>
      <c r="F272" t="s">
        <v>15</v>
      </c>
      <c r="G272" t="s">
        <v>18</v>
      </c>
      <c r="H272">
        <v>0.2</v>
      </c>
      <c r="I272" s="3">
        <v>0.18179999999999999</v>
      </c>
      <c r="J272">
        <v>0.47</v>
      </c>
      <c r="K272">
        <v>0.35820000000000002</v>
      </c>
      <c r="L272">
        <v>0</v>
      </c>
      <c r="M272">
        <v>139</v>
      </c>
      <c r="N272">
        <v>139</v>
      </c>
    </row>
    <row r="273" spans="1:14" x14ac:dyDescent="0.3">
      <c r="A273">
        <v>272</v>
      </c>
      <c r="B273" s="4">
        <v>40555</v>
      </c>
      <c r="C273" s="5">
        <v>0.75</v>
      </c>
      <c r="D273" t="s">
        <v>8</v>
      </c>
      <c r="E273" t="s">
        <v>9</v>
      </c>
      <c r="F273" t="s">
        <v>15</v>
      </c>
      <c r="G273" t="s">
        <v>18</v>
      </c>
      <c r="H273">
        <v>0.2</v>
      </c>
      <c r="I273" s="3">
        <v>0.1515</v>
      </c>
      <c r="J273">
        <v>0.47</v>
      </c>
      <c r="K273">
        <v>0.52239999999999998</v>
      </c>
      <c r="L273">
        <v>2</v>
      </c>
      <c r="M273">
        <v>135</v>
      </c>
      <c r="N273">
        <v>137</v>
      </c>
    </row>
    <row r="274" spans="1:14" x14ac:dyDescent="0.3">
      <c r="A274">
        <v>273</v>
      </c>
      <c r="B274" s="4">
        <v>40555</v>
      </c>
      <c r="C274" s="5">
        <v>0.79166666666666674</v>
      </c>
      <c r="D274" t="s">
        <v>8</v>
      </c>
      <c r="E274" t="s">
        <v>9</v>
      </c>
      <c r="F274" t="s">
        <v>15</v>
      </c>
      <c r="G274" t="s">
        <v>18</v>
      </c>
      <c r="H274">
        <v>0.18</v>
      </c>
      <c r="I274" s="3">
        <v>0.1515</v>
      </c>
      <c r="J274">
        <v>0.47</v>
      </c>
      <c r="K274">
        <v>0.41789999999999999</v>
      </c>
      <c r="L274">
        <v>1</v>
      </c>
      <c r="M274">
        <v>82</v>
      </c>
      <c r="N274">
        <v>83</v>
      </c>
    </row>
    <row r="275" spans="1:14" x14ac:dyDescent="0.3">
      <c r="A275">
        <v>274</v>
      </c>
      <c r="B275" s="4">
        <v>40555</v>
      </c>
      <c r="C275" s="5">
        <v>0.83333333333333326</v>
      </c>
      <c r="D275" t="s">
        <v>8</v>
      </c>
      <c r="E275" t="s">
        <v>9</v>
      </c>
      <c r="F275" t="s">
        <v>15</v>
      </c>
      <c r="G275" t="s">
        <v>18</v>
      </c>
      <c r="H275">
        <v>0.16</v>
      </c>
      <c r="I275" s="3">
        <v>0.13639999999999999</v>
      </c>
      <c r="J275">
        <v>0.5</v>
      </c>
      <c r="K275">
        <v>0.32840000000000003</v>
      </c>
      <c r="L275">
        <v>2</v>
      </c>
      <c r="M275">
        <v>54</v>
      </c>
      <c r="N275">
        <v>56</v>
      </c>
    </row>
    <row r="276" spans="1:14" x14ac:dyDescent="0.3">
      <c r="A276">
        <v>275</v>
      </c>
      <c r="B276" s="4">
        <v>40555</v>
      </c>
      <c r="C276" s="5">
        <v>0.875</v>
      </c>
      <c r="D276" t="s">
        <v>8</v>
      </c>
      <c r="E276" t="s">
        <v>9</v>
      </c>
      <c r="F276" t="s">
        <v>15</v>
      </c>
      <c r="G276" t="s">
        <v>18</v>
      </c>
      <c r="H276">
        <v>0.16</v>
      </c>
      <c r="I276" s="3">
        <v>0.13639999999999999</v>
      </c>
      <c r="J276">
        <v>0.55000000000000004</v>
      </c>
      <c r="K276">
        <v>0.32840000000000003</v>
      </c>
      <c r="L276">
        <v>0</v>
      </c>
      <c r="M276">
        <v>57</v>
      </c>
      <c r="N276">
        <v>57</v>
      </c>
    </row>
    <row r="277" spans="1:14" x14ac:dyDescent="0.3">
      <c r="A277">
        <v>276</v>
      </c>
      <c r="B277" s="4">
        <v>40555</v>
      </c>
      <c r="C277" s="5">
        <v>0.91666666666666674</v>
      </c>
      <c r="D277" t="s">
        <v>8</v>
      </c>
      <c r="E277" t="s">
        <v>9</v>
      </c>
      <c r="F277" t="s">
        <v>15</v>
      </c>
      <c r="G277" t="s">
        <v>18</v>
      </c>
      <c r="H277">
        <v>0.16</v>
      </c>
      <c r="I277" s="3">
        <v>0.1212</v>
      </c>
      <c r="J277">
        <v>0.55000000000000004</v>
      </c>
      <c r="K277">
        <v>0.44779999999999998</v>
      </c>
      <c r="L277">
        <v>1</v>
      </c>
      <c r="M277">
        <v>32</v>
      </c>
      <c r="N277">
        <v>33</v>
      </c>
    </row>
    <row r="278" spans="1:14" x14ac:dyDescent="0.3">
      <c r="A278">
        <v>277</v>
      </c>
      <c r="B278" s="4">
        <v>40555</v>
      </c>
      <c r="C278" s="5">
        <v>0.95833333333333326</v>
      </c>
      <c r="D278" t="s">
        <v>8</v>
      </c>
      <c r="E278" t="s">
        <v>9</v>
      </c>
      <c r="F278" t="s">
        <v>15</v>
      </c>
      <c r="G278" t="s">
        <v>18</v>
      </c>
      <c r="H278">
        <v>0.14000000000000001</v>
      </c>
      <c r="I278" s="3">
        <v>0.1061</v>
      </c>
      <c r="J278">
        <v>0.59</v>
      </c>
      <c r="K278">
        <v>0.41789999999999999</v>
      </c>
      <c r="L278">
        <v>1</v>
      </c>
      <c r="M278">
        <v>19</v>
      </c>
      <c r="N278">
        <v>20</v>
      </c>
    </row>
    <row r="279" spans="1:14" x14ac:dyDescent="0.3">
      <c r="A279">
        <v>278</v>
      </c>
      <c r="B279" s="4">
        <v>40556</v>
      </c>
      <c r="C279" s="5">
        <v>0</v>
      </c>
      <c r="D279" t="s">
        <v>8</v>
      </c>
      <c r="E279" t="s">
        <v>9</v>
      </c>
      <c r="F279" t="s">
        <v>16</v>
      </c>
      <c r="G279" t="s">
        <v>18</v>
      </c>
      <c r="H279">
        <v>0.14000000000000001</v>
      </c>
      <c r="I279" s="3">
        <v>0.1212</v>
      </c>
      <c r="J279">
        <v>0.59</v>
      </c>
      <c r="K279">
        <v>0.28360000000000002</v>
      </c>
      <c r="L279">
        <v>1</v>
      </c>
      <c r="M279">
        <v>6</v>
      </c>
      <c r="N279">
        <v>7</v>
      </c>
    </row>
    <row r="280" spans="1:14" x14ac:dyDescent="0.3">
      <c r="A280">
        <v>279</v>
      </c>
      <c r="B280" s="4">
        <v>40556</v>
      </c>
      <c r="C280" s="5">
        <v>4.1666666666666741E-2</v>
      </c>
      <c r="D280" t="s">
        <v>8</v>
      </c>
      <c r="E280" t="s">
        <v>9</v>
      </c>
      <c r="F280" t="s">
        <v>16</v>
      </c>
      <c r="G280" t="s">
        <v>18</v>
      </c>
      <c r="H280">
        <v>0.14000000000000001</v>
      </c>
      <c r="I280" s="3">
        <v>0.1212</v>
      </c>
      <c r="J280">
        <v>0.5</v>
      </c>
      <c r="K280">
        <v>0.28360000000000002</v>
      </c>
      <c r="L280">
        <v>0</v>
      </c>
      <c r="M280">
        <v>2</v>
      </c>
      <c r="N280">
        <v>2</v>
      </c>
    </row>
    <row r="281" spans="1:14" x14ac:dyDescent="0.3">
      <c r="A281">
        <v>280</v>
      </c>
      <c r="B281" s="4">
        <v>40556</v>
      </c>
      <c r="C281" s="5">
        <v>8.3333333333333259E-2</v>
      </c>
      <c r="D281" t="s">
        <v>8</v>
      </c>
      <c r="E281" t="s">
        <v>9</v>
      </c>
      <c r="F281" t="s">
        <v>16</v>
      </c>
      <c r="G281" t="s">
        <v>18</v>
      </c>
      <c r="H281">
        <v>0.14000000000000001</v>
      </c>
      <c r="I281" s="3">
        <v>0.1212</v>
      </c>
      <c r="J281">
        <v>0.5</v>
      </c>
      <c r="K281">
        <v>0.35820000000000002</v>
      </c>
      <c r="L281">
        <v>0</v>
      </c>
      <c r="M281">
        <v>2</v>
      </c>
      <c r="N281">
        <v>2</v>
      </c>
    </row>
    <row r="282" spans="1:14" x14ac:dyDescent="0.3">
      <c r="A282">
        <v>281</v>
      </c>
      <c r="B282" s="4">
        <v>40556</v>
      </c>
      <c r="C282" s="5">
        <v>0.125</v>
      </c>
      <c r="D282" t="s">
        <v>8</v>
      </c>
      <c r="E282" t="s">
        <v>9</v>
      </c>
      <c r="F282" t="s">
        <v>16</v>
      </c>
      <c r="G282" t="s">
        <v>18</v>
      </c>
      <c r="H282">
        <v>0.14000000000000001</v>
      </c>
      <c r="I282" s="3">
        <v>0.1212</v>
      </c>
      <c r="J282">
        <v>0.5</v>
      </c>
      <c r="K282">
        <v>0.32840000000000003</v>
      </c>
      <c r="L282">
        <v>0</v>
      </c>
      <c r="M282">
        <v>3</v>
      </c>
      <c r="N282">
        <v>3</v>
      </c>
    </row>
    <row r="283" spans="1:14" x14ac:dyDescent="0.3">
      <c r="A283">
        <v>282</v>
      </c>
      <c r="B283" s="4">
        <v>40556</v>
      </c>
      <c r="C283" s="5">
        <v>0.16666666666666674</v>
      </c>
      <c r="D283" t="s">
        <v>8</v>
      </c>
      <c r="E283" t="s">
        <v>9</v>
      </c>
      <c r="F283" t="s">
        <v>16</v>
      </c>
      <c r="G283" t="s">
        <v>18</v>
      </c>
      <c r="H283">
        <v>0.14000000000000001</v>
      </c>
      <c r="I283" s="3">
        <v>0.1212</v>
      </c>
      <c r="J283">
        <v>0.5</v>
      </c>
      <c r="K283">
        <v>0.25369999999999998</v>
      </c>
      <c r="L283">
        <v>0</v>
      </c>
      <c r="M283">
        <v>4</v>
      </c>
      <c r="N283">
        <v>4</v>
      </c>
    </row>
    <row r="284" spans="1:14" x14ac:dyDescent="0.3">
      <c r="A284">
        <v>283</v>
      </c>
      <c r="B284" s="4">
        <v>40556</v>
      </c>
      <c r="C284" s="5">
        <v>0.20833333333333326</v>
      </c>
      <c r="D284" t="s">
        <v>8</v>
      </c>
      <c r="E284" t="s">
        <v>9</v>
      </c>
      <c r="F284" t="s">
        <v>16</v>
      </c>
      <c r="G284" t="s">
        <v>18</v>
      </c>
      <c r="H284">
        <v>0.14000000000000001</v>
      </c>
      <c r="I284" s="3">
        <v>0.1212</v>
      </c>
      <c r="J284">
        <v>0.5</v>
      </c>
      <c r="K284">
        <v>0.29849999999999999</v>
      </c>
      <c r="L284">
        <v>0</v>
      </c>
      <c r="M284">
        <v>3</v>
      </c>
      <c r="N284">
        <v>3</v>
      </c>
    </row>
    <row r="285" spans="1:14" x14ac:dyDescent="0.3">
      <c r="A285">
        <v>284</v>
      </c>
      <c r="B285" s="4">
        <v>40556</v>
      </c>
      <c r="C285" s="5">
        <v>0.25</v>
      </c>
      <c r="D285" t="s">
        <v>8</v>
      </c>
      <c r="E285" t="s">
        <v>9</v>
      </c>
      <c r="F285" t="s">
        <v>16</v>
      </c>
      <c r="G285" t="s">
        <v>18</v>
      </c>
      <c r="H285">
        <v>0.12</v>
      </c>
      <c r="I285" s="3">
        <v>0.1515</v>
      </c>
      <c r="J285">
        <v>0.54</v>
      </c>
      <c r="K285">
        <v>0.1343</v>
      </c>
      <c r="L285">
        <v>0</v>
      </c>
      <c r="M285">
        <v>28</v>
      </c>
      <c r="N285">
        <v>28</v>
      </c>
    </row>
    <row r="286" spans="1:14" x14ac:dyDescent="0.3">
      <c r="A286">
        <v>285</v>
      </c>
      <c r="B286" s="4">
        <v>40556</v>
      </c>
      <c r="C286" s="5">
        <v>0.29166666666666674</v>
      </c>
      <c r="D286" t="s">
        <v>8</v>
      </c>
      <c r="E286" t="s">
        <v>9</v>
      </c>
      <c r="F286" t="s">
        <v>16</v>
      </c>
      <c r="G286" t="s">
        <v>18</v>
      </c>
      <c r="H286">
        <v>0.12</v>
      </c>
      <c r="I286" s="3">
        <v>0.1515</v>
      </c>
      <c r="J286">
        <v>0.54</v>
      </c>
      <c r="K286">
        <v>0.1343</v>
      </c>
      <c r="L286">
        <v>0</v>
      </c>
      <c r="M286">
        <v>72</v>
      </c>
      <c r="N286">
        <v>72</v>
      </c>
    </row>
    <row r="287" spans="1:14" x14ac:dyDescent="0.3">
      <c r="A287">
        <v>286</v>
      </c>
      <c r="B287" s="4">
        <v>40556</v>
      </c>
      <c r="C287" s="5">
        <v>0.33333333333333326</v>
      </c>
      <c r="D287" t="s">
        <v>8</v>
      </c>
      <c r="E287" t="s">
        <v>9</v>
      </c>
      <c r="F287" t="s">
        <v>16</v>
      </c>
      <c r="G287" t="s">
        <v>18</v>
      </c>
      <c r="H287">
        <v>0.14000000000000001</v>
      </c>
      <c r="I287" s="3">
        <v>0.13639999999999999</v>
      </c>
      <c r="J287">
        <v>0.5</v>
      </c>
      <c r="K287">
        <v>0.19400000000000001</v>
      </c>
      <c r="L287">
        <v>5</v>
      </c>
      <c r="M287">
        <v>197</v>
      </c>
      <c r="N287">
        <v>202</v>
      </c>
    </row>
    <row r="288" spans="1:14" x14ac:dyDescent="0.3">
      <c r="A288">
        <v>287</v>
      </c>
      <c r="B288" s="4">
        <v>40556</v>
      </c>
      <c r="C288" s="5">
        <v>0.375</v>
      </c>
      <c r="D288" t="s">
        <v>8</v>
      </c>
      <c r="E288" t="s">
        <v>9</v>
      </c>
      <c r="F288" t="s">
        <v>16</v>
      </c>
      <c r="G288" t="s">
        <v>18</v>
      </c>
      <c r="H288">
        <v>0.14000000000000001</v>
      </c>
      <c r="I288" s="3">
        <v>0.1212</v>
      </c>
      <c r="J288">
        <v>0.5</v>
      </c>
      <c r="K288">
        <v>0.32840000000000003</v>
      </c>
      <c r="L288">
        <v>2</v>
      </c>
      <c r="M288">
        <v>137</v>
      </c>
      <c r="N288">
        <v>139</v>
      </c>
    </row>
    <row r="289" spans="1:14" x14ac:dyDescent="0.3">
      <c r="A289">
        <v>288</v>
      </c>
      <c r="B289" s="4">
        <v>40556</v>
      </c>
      <c r="C289" s="5">
        <v>0.41666666666666674</v>
      </c>
      <c r="D289" t="s">
        <v>8</v>
      </c>
      <c r="E289" t="s">
        <v>9</v>
      </c>
      <c r="F289" t="s">
        <v>16</v>
      </c>
      <c r="G289" t="s">
        <v>19</v>
      </c>
      <c r="H289">
        <v>0.16</v>
      </c>
      <c r="I289" s="3">
        <v>0.13639999999999999</v>
      </c>
      <c r="J289">
        <v>0.5</v>
      </c>
      <c r="K289">
        <v>0.35820000000000002</v>
      </c>
      <c r="L289">
        <v>2</v>
      </c>
      <c r="M289">
        <v>36</v>
      </c>
      <c r="N289">
        <v>38</v>
      </c>
    </row>
    <row r="290" spans="1:14" x14ac:dyDescent="0.3">
      <c r="A290">
        <v>289</v>
      </c>
      <c r="B290" s="4">
        <v>40556</v>
      </c>
      <c r="C290" s="5">
        <v>0.45833333333333326</v>
      </c>
      <c r="D290" t="s">
        <v>8</v>
      </c>
      <c r="E290" t="s">
        <v>9</v>
      </c>
      <c r="F290" t="s">
        <v>16</v>
      </c>
      <c r="G290" t="s">
        <v>19</v>
      </c>
      <c r="H290">
        <v>0.2</v>
      </c>
      <c r="I290" s="3">
        <v>0.16669999999999999</v>
      </c>
      <c r="J290">
        <v>0.44</v>
      </c>
      <c r="K290">
        <v>0.44779999999999998</v>
      </c>
      <c r="L290">
        <v>4</v>
      </c>
      <c r="M290">
        <v>33</v>
      </c>
      <c r="N290">
        <v>37</v>
      </c>
    </row>
    <row r="291" spans="1:14" x14ac:dyDescent="0.3">
      <c r="A291">
        <v>290</v>
      </c>
      <c r="B291" s="4">
        <v>40556</v>
      </c>
      <c r="C291" s="5">
        <v>0.5</v>
      </c>
      <c r="D291" t="s">
        <v>8</v>
      </c>
      <c r="E291" t="s">
        <v>9</v>
      </c>
      <c r="F291" t="s">
        <v>16</v>
      </c>
      <c r="G291" t="s">
        <v>18</v>
      </c>
      <c r="H291">
        <v>0.2</v>
      </c>
      <c r="I291" s="3">
        <v>0.16669999999999999</v>
      </c>
      <c r="J291">
        <v>0.44</v>
      </c>
      <c r="K291">
        <v>0.41789999999999999</v>
      </c>
      <c r="L291">
        <v>3</v>
      </c>
      <c r="M291">
        <v>49</v>
      </c>
      <c r="N291">
        <v>52</v>
      </c>
    </row>
    <row r="292" spans="1:14" x14ac:dyDescent="0.3">
      <c r="A292">
        <v>291</v>
      </c>
      <c r="B292" s="4">
        <v>40556</v>
      </c>
      <c r="C292" s="5">
        <v>0.54166666666666674</v>
      </c>
      <c r="D292" t="s">
        <v>8</v>
      </c>
      <c r="E292" t="s">
        <v>9</v>
      </c>
      <c r="F292" t="s">
        <v>16</v>
      </c>
      <c r="G292" t="s">
        <v>18</v>
      </c>
      <c r="H292">
        <v>0.22</v>
      </c>
      <c r="I292" s="3">
        <v>0.19700000000000001</v>
      </c>
      <c r="J292">
        <v>0.41</v>
      </c>
      <c r="K292">
        <v>0.44779999999999998</v>
      </c>
      <c r="L292">
        <v>2</v>
      </c>
      <c r="M292">
        <v>81</v>
      </c>
      <c r="N292">
        <v>83</v>
      </c>
    </row>
    <row r="293" spans="1:14" x14ac:dyDescent="0.3">
      <c r="A293">
        <v>292</v>
      </c>
      <c r="B293" s="4">
        <v>40556</v>
      </c>
      <c r="C293" s="5">
        <v>0.58333333333333326</v>
      </c>
      <c r="D293" t="s">
        <v>8</v>
      </c>
      <c r="E293" t="s">
        <v>9</v>
      </c>
      <c r="F293" t="s">
        <v>16</v>
      </c>
      <c r="G293" t="s">
        <v>18</v>
      </c>
      <c r="H293">
        <v>0.22</v>
      </c>
      <c r="I293" s="3">
        <v>0.19700000000000001</v>
      </c>
      <c r="J293">
        <v>0.41</v>
      </c>
      <c r="K293">
        <v>0.3881</v>
      </c>
      <c r="L293">
        <v>3</v>
      </c>
      <c r="M293">
        <v>39</v>
      </c>
      <c r="N293">
        <v>42</v>
      </c>
    </row>
    <row r="294" spans="1:14" x14ac:dyDescent="0.3">
      <c r="A294">
        <v>293</v>
      </c>
      <c r="B294" s="4">
        <v>40556</v>
      </c>
      <c r="C294" s="5">
        <v>0.625</v>
      </c>
      <c r="D294" t="s">
        <v>8</v>
      </c>
      <c r="E294" t="s">
        <v>9</v>
      </c>
      <c r="F294" t="s">
        <v>16</v>
      </c>
      <c r="G294" t="s">
        <v>18</v>
      </c>
      <c r="H294">
        <v>0.24</v>
      </c>
      <c r="I294" s="3">
        <v>0.21210000000000001</v>
      </c>
      <c r="J294">
        <v>0.38</v>
      </c>
      <c r="K294">
        <v>0.29849999999999999</v>
      </c>
      <c r="L294">
        <v>5</v>
      </c>
      <c r="M294">
        <v>55</v>
      </c>
      <c r="N294">
        <v>60</v>
      </c>
    </row>
    <row r="295" spans="1:14" x14ac:dyDescent="0.3">
      <c r="A295">
        <v>294</v>
      </c>
      <c r="B295" s="4">
        <v>40556</v>
      </c>
      <c r="C295" s="5">
        <v>0.66666666666666674</v>
      </c>
      <c r="D295" t="s">
        <v>8</v>
      </c>
      <c r="E295" t="s">
        <v>9</v>
      </c>
      <c r="F295" t="s">
        <v>16</v>
      </c>
      <c r="G295" t="s">
        <v>18</v>
      </c>
      <c r="H295">
        <v>0.24</v>
      </c>
      <c r="I295" s="3">
        <v>0.21210000000000001</v>
      </c>
      <c r="J295">
        <v>0.38</v>
      </c>
      <c r="K295">
        <v>0.35820000000000002</v>
      </c>
      <c r="L295">
        <v>2</v>
      </c>
      <c r="M295">
        <v>76</v>
      </c>
      <c r="N295">
        <v>78</v>
      </c>
    </row>
    <row r="296" spans="1:14" x14ac:dyDescent="0.3">
      <c r="A296">
        <v>295</v>
      </c>
      <c r="B296" s="4">
        <v>40556</v>
      </c>
      <c r="C296" s="5">
        <v>0.70833333333333326</v>
      </c>
      <c r="D296" t="s">
        <v>8</v>
      </c>
      <c r="E296" t="s">
        <v>9</v>
      </c>
      <c r="F296" t="s">
        <v>16</v>
      </c>
      <c r="G296" t="s">
        <v>18</v>
      </c>
      <c r="H296">
        <v>0.2</v>
      </c>
      <c r="I296" s="3">
        <v>0.18179999999999999</v>
      </c>
      <c r="J296">
        <v>0.4</v>
      </c>
      <c r="K296">
        <v>0.28360000000000002</v>
      </c>
      <c r="L296">
        <v>4</v>
      </c>
      <c r="M296">
        <v>158</v>
      </c>
      <c r="N296">
        <v>162</v>
      </c>
    </row>
    <row r="297" spans="1:14" x14ac:dyDescent="0.3">
      <c r="A297">
        <v>296</v>
      </c>
      <c r="B297" s="4">
        <v>40556</v>
      </c>
      <c r="C297" s="5">
        <v>0.75</v>
      </c>
      <c r="D297" t="s">
        <v>8</v>
      </c>
      <c r="E297" t="s">
        <v>9</v>
      </c>
      <c r="F297" t="s">
        <v>16</v>
      </c>
      <c r="G297" t="s">
        <v>18</v>
      </c>
      <c r="H297">
        <v>0.2</v>
      </c>
      <c r="I297" s="3">
        <v>0.18179999999999999</v>
      </c>
      <c r="J297">
        <v>0.4</v>
      </c>
      <c r="K297">
        <v>0.32840000000000003</v>
      </c>
      <c r="L297">
        <v>3</v>
      </c>
      <c r="M297">
        <v>141</v>
      </c>
      <c r="N297">
        <v>144</v>
      </c>
    </row>
    <row r="298" spans="1:14" x14ac:dyDescent="0.3">
      <c r="A298">
        <v>297</v>
      </c>
      <c r="B298" s="4">
        <v>40556</v>
      </c>
      <c r="C298" s="5">
        <v>0.79166666666666674</v>
      </c>
      <c r="D298" t="s">
        <v>8</v>
      </c>
      <c r="E298" t="s">
        <v>9</v>
      </c>
      <c r="F298" t="s">
        <v>16</v>
      </c>
      <c r="G298" t="s">
        <v>18</v>
      </c>
      <c r="H298">
        <v>0.16</v>
      </c>
      <c r="I298" s="3">
        <v>0.1515</v>
      </c>
      <c r="J298">
        <v>0.47</v>
      </c>
      <c r="K298">
        <v>0.25369999999999998</v>
      </c>
      <c r="L298">
        <v>1</v>
      </c>
      <c r="M298">
        <v>98</v>
      </c>
      <c r="N298">
        <v>99</v>
      </c>
    </row>
    <row r="299" spans="1:14" x14ac:dyDescent="0.3">
      <c r="A299">
        <v>298</v>
      </c>
      <c r="B299" s="4">
        <v>40556</v>
      </c>
      <c r="C299" s="5">
        <v>0.83333333333333326</v>
      </c>
      <c r="D299" t="s">
        <v>8</v>
      </c>
      <c r="E299" t="s">
        <v>9</v>
      </c>
      <c r="F299" t="s">
        <v>16</v>
      </c>
      <c r="G299" t="s">
        <v>18</v>
      </c>
      <c r="H299">
        <v>0.16</v>
      </c>
      <c r="I299" s="3">
        <v>0.1515</v>
      </c>
      <c r="J299">
        <v>0.47</v>
      </c>
      <c r="K299">
        <v>0.22389999999999999</v>
      </c>
      <c r="L299">
        <v>0</v>
      </c>
      <c r="M299">
        <v>64</v>
      </c>
      <c r="N299">
        <v>64</v>
      </c>
    </row>
    <row r="300" spans="1:14" x14ac:dyDescent="0.3">
      <c r="A300">
        <v>299</v>
      </c>
      <c r="B300" s="4">
        <v>40556</v>
      </c>
      <c r="C300" s="5">
        <v>0.875</v>
      </c>
      <c r="D300" t="s">
        <v>8</v>
      </c>
      <c r="E300" t="s">
        <v>9</v>
      </c>
      <c r="F300" t="s">
        <v>16</v>
      </c>
      <c r="G300" t="s">
        <v>18</v>
      </c>
      <c r="H300">
        <v>0.14000000000000001</v>
      </c>
      <c r="I300" s="3">
        <v>0.1212</v>
      </c>
      <c r="J300">
        <v>0.46</v>
      </c>
      <c r="K300">
        <v>0.29849999999999999</v>
      </c>
      <c r="L300">
        <v>0</v>
      </c>
      <c r="M300">
        <v>40</v>
      </c>
      <c r="N300">
        <v>40</v>
      </c>
    </row>
    <row r="301" spans="1:14" x14ac:dyDescent="0.3">
      <c r="A301">
        <v>300</v>
      </c>
      <c r="B301" s="4">
        <v>40556</v>
      </c>
      <c r="C301" s="5">
        <v>0.91666666666666674</v>
      </c>
      <c r="D301" t="s">
        <v>8</v>
      </c>
      <c r="E301" t="s">
        <v>9</v>
      </c>
      <c r="F301" t="s">
        <v>16</v>
      </c>
      <c r="G301" t="s">
        <v>18</v>
      </c>
      <c r="H301">
        <v>0.14000000000000001</v>
      </c>
      <c r="I301" s="3">
        <v>0.1212</v>
      </c>
      <c r="J301">
        <v>0.46</v>
      </c>
      <c r="K301">
        <v>0.32840000000000003</v>
      </c>
      <c r="L301">
        <v>0</v>
      </c>
      <c r="M301">
        <v>30</v>
      </c>
      <c r="N301">
        <v>30</v>
      </c>
    </row>
    <row r="302" spans="1:14" x14ac:dyDescent="0.3">
      <c r="A302">
        <v>301</v>
      </c>
      <c r="B302" s="4">
        <v>40556</v>
      </c>
      <c r="C302" s="5">
        <v>0.95833333333333326</v>
      </c>
      <c r="D302" t="s">
        <v>8</v>
      </c>
      <c r="E302" t="s">
        <v>9</v>
      </c>
      <c r="F302" t="s">
        <v>16</v>
      </c>
      <c r="G302" t="s">
        <v>18</v>
      </c>
      <c r="H302">
        <v>0.12</v>
      </c>
      <c r="I302" s="3">
        <v>0.13639999999999999</v>
      </c>
      <c r="J302">
        <v>0.5</v>
      </c>
      <c r="K302">
        <v>0.19400000000000001</v>
      </c>
      <c r="L302">
        <v>1</v>
      </c>
      <c r="M302">
        <v>14</v>
      </c>
      <c r="N302">
        <v>15</v>
      </c>
    </row>
    <row r="303" spans="1:14" x14ac:dyDescent="0.3">
      <c r="A303">
        <v>302</v>
      </c>
      <c r="B303" s="4">
        <v>40557</v>
      </c>
      <c r="C303" s="5">
        <v>0</v>
      </c>
      <c r="D303" t="s">
        <v>8</v>
      </c>
      <c r="E303" t="s">
        <v>9</v>
      </c>
      <c r="F303" t="s">
        <v>17</v>
      </c>
      <c r="G303" t="s">
        <v>18</v>
      </c>
      <c r="H303">
        <v>0.12</v>
      </c>
      <c r="I303" s="3">
        <v>0.13639999999999999</v>
      </c>
      <c r="J303">
        <v>0.5</v>
      </c>
      <c r="K303">
        <v>0.19400000000000001</v>
      </c>
      <c r="L303">
        <v>0</v>
      </c>
      <c r="M303">
        <v>14</v>
      </c>
      <c r="N303">
        <v>14</v>
      </c>
    </row>
    <row r="304" spans="1:14" x14ac:dyDescent="0.3">
      <c r="A304">
        <v>303</v>
      </c>
      <c r="B304" s="4">
        <v>40557</v>
      </c>
      <c r="C304" s="5">
        <v>4.1666666666666741E-2</v>
      </c>
      <c r="D304" t="s">
        <v>8</v>
      </c>
      <c r="E304" t="s">
        <v>9</v>
      </c>
      <c r="F304" t="s">
        <v>17</v>
      </c>
      <c r="G304" t="s">
        <v>18</v>
      </c>
      <c r="H304">
        <v>0.1</v>
      </c>
      <c r="I304" s="3">
        <v>0.1212</v>
      </c>
      <c r="J304">
        <v>0.54</v>
      </c>
      <c r="K304">
        <v>0.16420000000000001</v>
      </c>
      <c r="L304">
        <v>0</v>
      </c>
      <c r="M304">
        <v>5</v>
      </c>
      <c r="N304">
        <v>5</v>
      </c>
    </row>
    <row r="305" spans="1:14" x14ac:dyDescent="0.3">
      <c r="A305">
        <v>304</v>
      </c>
      <c r="B305" s="4">
        <v>40557</v>
      </c>
      <c r="C305" s="5">
        <v>8.3333333333333259E-2</v>
      </c>
      <c r="D305" t="s">
        <v>8</v>
      </c>
      <c r="E305" t="s">
        <v>9</v>
      </c>
      <c r="F305" t="s">
        <v>17</v>
      </c>
      <c r="G305" t="s">
        <v>18</v>
      </c>
      <c r="H305">
        <v>0.1</v>
      </c>
      <c r="I305" s="3">
        <v>0.1212</v>
      </c>
      <c r="J305">
        <v>0.54</v>
      </c>
      <c r="K305">
        <v>0.1343</v>
      </c>
      <c r="L305">
        <v>0</v>
      </c>
      <c r="M305">
        <v>1</v>
      </c>
      <c r="N305">
        <v>1</v>
      </c>
    </row>
    <row r="306" spans="1:14" x14ac:dyDescent="0.3">
      <c r="A306">
        <v>305</v>
      </c>
      <c r="B306" s="4">
        <v>40557</v>
      </c>
      <c r="C306" s="5">
        <v>0.125</v>
      </c>
      <c r="D306" t="s">
        <v>8</v>
      </c>
      <c r="E306" t="s">
        <v>9</v>
      </c>
      <c r="F306" t="s">
        <v>17</v>
      </c>
      <c r="G306" t="s">
        <v>18</v>
      </c>
      <c r="H306">
        <v>0.1</v>
      </c>
      <c r="I306" s="3">
        <v>0.13639999999999999</v>
      </c>
      <c r="J306">
        <v>0.54</v>
      </c>
      <c r="K306">
        <v>0.1045</v>
      </c>
      <c r="L306">
        <v>0</v>
      </c>
      <c r="M306">
        <v>1</v>
      </c>
      <c r="N306">
        <v>1</v>
      </c>
    </row>
    <row r="307" spans="1:14" x14ac:dyDescent="0.3">
      <c r="A307">
        <v>306</v>
      </c>
      <c r="B307" s="4">
        <v>40557</v>
      </c>
      <c r="C307" s="5">
        <v>0.20833333333333326</v>
      </c>
      <c r="D307" t="s">
        <v>8</v>
      </c>
      <c r="E307" t="s">
        <v>9</v>
      </c>
      <c r="F307" t="s">
        <v>17</v>
      </c>
      <c r="G307" t="s">
        <v>18</v>
      </c>
      <c r="H307">
        <v>0.1</v>
      </c>
      <c r="I307" s="3">
        <v>0.13639999999999999</v>
      </c>
      <c r="J307">
        <v>0.54</v>
      </c>
      <c r="K307">
        <v>8.9599999999999999E-2</v>
      </c>
      <c r="L307">
        <v>0</v>
      </c>
      <c r="M307">
        <v>8</v>
      </c>
      <c r="N307">
        <v>8</v>
      </c>
    </row>
    <row r="308" spans="1:14" x14ac:dyDescent="0.3">
      <c r="A308">
        <v>307</v>
      </c>
      <c r="B308" s="4">
        <v>40557</v>
      </c>
      <c r="C308" s="5">
        <v>0.25</v>
      </c>
      <c r="D308" t="s">
        <v>8</v>
      </c>
      <c r="E308" t="s">
        <v>9</v>
      </c>
      <c r="F308" t="s">
        <v>17</v>
      </c>
      <c r="G308" t="s">
        <v>18</v>
      </c>
      <c r="H308">
        <v>0.1</v>
      </c>
      <c r="I308" s="3">
        <v>0.18179999999999999</v>
      </c>
      <c r="J308">
        <v>0.54</v>
      </c>
      <c r="K308">
        <v>0</v>
      </c>
      <c r="L308">
        <v>0</v>
      </c>
      <c r="M308">
        <v>17</v>
      </c>
      <c r="N308">
        <v>17</v>
      </c>
    </row>
    <row r="309" spans="1:14" x14ac:dyDescent="0.3">
      <c r="A309">
        <v>308</v>
      </c>
      <c r="B309" s="4">
        <v>40557</v>
      </c>
      <c r="C309" s="5">
        <v>0.29166666666666674</v>
      </c>
      <c r="D309" t="s">
        <v>8</v>
      </c>
      <c r="E309" t="s">
        <v>9</v>
      </c>
      <c r="F309" t="s">
        <v>17</v>
      </c>
      <c r="G309" t="s">
        <v>18</v>
      </c>
      <c r="H309">
        <v>0.1</v>
      </c>
      <c r="I309" s="3">
        <v>0.1212</v>
      </c>
      <c r="J309">
        <v>0.74</v>
      </c>
      <c r="K309">
        <v>0.16420000000000001</v>
      </c>
      <c r="L309">
        <v>0</v>
      </c>
      <c r="M309">
        <v>70</v>
      </c>
      <c r="N309">
        <v>70</v>
      </c>
    </row>
    <row r="310" spans="1:14" x14ac:dyDescent="0.3">
      <c r="A310">
        <v>309</v>
      </c>
      <c r="B310" s="4">
        <v>40557</v>
      </c>
      <c r="C310" s="5">
        <v>0.33333333333333326</v>
      </c>
      <c r="D310" t="s">
        <v>8</v>
      </c>
      <c r="E310" t="s">
        <v>9</v>
      </c>
      <c r="F310" t="s">
        <v>17</v>
      </c>
      <c r="G310" t="s">
        <v>18</v>
      </c>
      <c r="H310">
        <v>0.12</v>
      </c>
      <c r="I310" s="3">
        <v>0.16669999999999999</v>
      </c>
      <c r="J310">
        <v>0.68</v>
      </c>
      <c r="K310">
        <v>0</v>
      </c>
      <c r="L310">
        <v>2</v>
      </c>
      <c r="M310">
        <v>156</v>
      </c>
      <c r="N310">
        <v>158</v>
      </c>
    </row>
    <row r="311" spans="1:14" x14ac:dyDescent="0.3">
      <c r="A311">
        <v>310</v>
      </c>
      <c r="B311" s="4">
        <v>40557</v>
      </c>
      <c r="C311" s="5">
        <v>0.375</v>
      </c>
      <c r="D311" t="s">
        <v>8</v>
      </c>
      <c r="E311" t="s">
        <v>9</v>
      </c>
      <c r="F311" t="s">
        <v>17</v>
      </c>
      <c r="G311" t="s">
        <v>18</v>
      </c>
      <c r="H311">
        <v>0.14000000000000001</v>
      </c>
      <c r="I311" s="3">
        <v>0.1515</v>
      </c>
      <c r="J311">
        <v>0.69</v>
      </c>
      <c r="K311">
        <v>0.1343</v>
      </c>
      <c r="L311">
        <v>0</v>
      </c>
      <c r="M311">
        <v>117</v>
      </c>
      <c r="N311">
        <v>117</v>
      </c>
    </row>
    <row r="312" spans="1:14" x14ac:dyDescent="0.3">
      <c r="A312">
        <v>311</v>
      </c>
      <c r="B312" s="4">
        <v>40557</v>
      </c>
      <c r="C312" s="5">
        <v>0.41666666666666674</v>
      </c>
      <c r="D312" t="s">
        <v>8</v>
      </c>
      <c r="E312" t="s">
        <v>9</v>
      </c>
      <c r="F312" t="s">
        <v>17</v>
      </c>
      <c r="G312" t="s">
        <v>18</v>
      </c>
      <c r="H312">
        <v>0.18</v>
      </c>
      <c r="I312" s="3">
        <v>0.18179999999999999</v>
      </c>
      <c r="J312">
        <v>0.55000000000000004</v>
      </c>
      <c r="K312">
        <v>0.19400000000000001</v>
      </c>
      <c r="L312">
        <v>4</v>
      </c>
      <c r="M312">
        <v>40</v>
      </c>
      <c r="N312">
        <v>44</v>
      </c>
    </row>
    <row r="313" spans="1:14" x14ac:dyDescent="0.3">
      <c r="A313">
        <v>312</v>
      </c>
      <c r="B313" s="4">
        <v>40557</v>
      </c>
      <c r="C313" s="5">
        <v>0.45833333333333326</v>
      </c>
      <c r="D313" t="s">
        <v>8</v>
      </c>
      <c r="E313" t="s">
        <v>9</v>
      </c>
      <c r="F313" t="s">
        <v>17</v>
      </c>
      <c r="G313" t="s">
        <v>18</v>
      </c>
      <c r="H313">
        <v>0.18</v>
      </c>
      <c r="I313" s="3">
        <v>0.16669999999999999</v>
      </c>
      <c r="J313">
        <v>0.51</v>
      </c>
      <c r="K313">
        <v>0.28360000000000002</v>
      </c>
      <c r="L313">
        <v>6</v>
      </c>
      <c r="M313">
        <v>47</v>
      </c>
      <c r="N313">
        <v>53</v>
      </c>
    </row>
    <row r="314" spans="1:14" x14ac:dyDescent="0.3">
      <c r="A314">
        <v>313</v>
      </c>
      <c r="B314" s="4">
        <v>40557</v>
      </c>
      <c r="C314" s="5">
        <v>0.5</v>
      </c>
      <c r="D314" t="s">
        <v>8</v>
      </c>
      <c r="E314" t="s">
        <v>9</v>
      </c>
      <c r="F314" t="s">
        <v>17</v>
      </c>
      <c r="G314" t="s">
        <v>18</v>
      </c>
      <c r="H314">
        <v>0.2</v>
      </c>
      <c r="I314" s="3">
        <v>0.19700000000000001</v>
      </c>
      <c r="J314">
        <v>0.44</v>
      </c>
      <c r="K314">
        <v>0.25369999999999998</v>
      </c>
      <c r="L314">
        <v>2</v>
      </c>
      <c r="M314">
        <v>59</v>
      </c>
      <c r="N314">
        <v>61</v>
      </c>
    </row>
    <row r="315" spans="1:14" x14ac:dyDescent="0.3">
      <c r="A315">
        <v>314</v>
      </c>
      <c r="B315" s="4">
        <v>40557</v>
      </c>
      <c r="C315" s="5">
        <v>0.54166666666666674</v>
      </c>
      <c r="D315" t="s">
        <v>8</v>
      </c>
      <c r="E315" t="s">
        <v>9</v>
      </c>
      <c r="F315" t="s">
        <v>17</v>
      </c>
      <c r="G315" t="s">
        <v>18</v>
      </c>
      <c r="H315">
        <v>0.22</v>
      </c>
      <c r="I315" s="3">
        <v>0.19700000000000001</v>
      </c>
      <c r="J315">
        <v>0.37</v>
      </c>
      <c r="K315">
        <v>0.3881</v>
      </c>
      <c r="L315">
        <v>4</v>
      </c>
      <c r="M315">
        <v>73</v>
      </c>
      <c r="N315">
        <v>77</v>
      </c>
    </row>
    <row r="316" spans="1:14" x14ac:dyDescent="0.3">
      <c r="A316">
        <v>315</v>
      </c>
      <c r="B316" s="4">
        <v>40557</v>
      </c>
      <c r="C316" s="5">
        <v>0.58333333333333326</v>
      </c>
      <c r="D316" t="s">
        <v>8</v>
      </c>
      <c r="E316" t="s">
        <v>9</v>
      </c>
      <c r="F316" t="s">
        <v>17</v>
      </c>
      <c r="G316" t="s">
        <v>18</v>
      </c>
      <c r="H316">
        <v>0.22</v>
      </c>
      <c r="I316" s="3">
        <v>0.21210000000000001</v>
      </c>
      <c r="J316">
        <v>0.41</v>
      </c>
      <c r="K316">
        <v>0.28360000000000002</v>
      </c>
      <c r="L316">
        <v>5</v>
      </c>
      <c r="M316">
        <v>59</v>
      </c>
      <c r="N316">
        <v>64</v>
      </c>
    </row>
    <row r="317" spans="1:14" x14ac:dyDescent="0.3">
      <c r="A317">
        <v>316</v>
      </c>
      <c r="B317" s="4">
        <v>40557</v>
      </c>
      <c r="C317" s="5">
        <v>0.625</v>
      </c>
      <c r="D317" t="s">
        <v>8</v>
      </c>
      <c r="E317" t="s">
        <v>9</v>
      </c>
      <c r="F317" t="s">
        <v>17</v>
      </c>
      <c r="G317" t="s">
        <v>18</v>
      </c>
      <c r="H317">
        <v>0.24</v>
      </c>
      <c r="I317" s="3">
        <v>0.2424</v>
      </c>
      <c r="J317">
        <v>0.38</v>
      </c>
      <c r="K317">
        <v>0.16420000000000001</v>
      </c>
      <c r="L317">
        <v>9</v>
      </c>
      <c r="M317">
        <v>59</v>
      </c>
      <c r="N317">
        <v>68</v>
      </c>
    </row>
    <row r="318" spans="1:14" x14ac:dyDescent="0.3">
      <c r="A318">
        <v>317</v>
      </c>
      <c r="B318" s="4">
        <v>40557</v>
      </c>
      <c r="C318" s="5">
        <v>0.66666666666666674</v>
      </c>
      <c r="D318" t="s">
        <v>8</v>
      </c>
      <c r="E318" t="s">
        <v>9</v>
      </c>
      <c r="F318" t="s">
        <v>17</v>
      </c>
      <c r="G318" t="s">
        <v>18</v>
      </c>
      <c r="H318">
        <v>0.22</v>
      </c>
      <c r="I318" s="3">
        <v>0.2424</v>
      </c>
      <c r="J318">
        <v>0.41</v>
      </c>
      <c r="K318">
        <v>0.1045</v>
      </c>
      <c r="L318">
        <v>3</v>
      </c>
      <c r="M318">
        <v>87</v>
      </c>
      <c r="N318">
        <v>90</v>
      </c>
    </row>
    <row r="319" spans="1:14" x14ac:dyDescent="0.3">
      <c r="A319">
        <v>318</v>
      </c>
      <c r="B319" s="4">
        <v>40557</v>
      </c>
      <c r="C319" s="5">
        <v>0.70833333333333326</v>
      </c>
      <c r="D319" t="s">
        <v>8</v>
      </c>
      <c r="E319" t="s">
        <v>9</v>
      </c>
      <c r="F319" t="s">
        <v>17</v>
      </c>
      <c r="G319" t="s">
        <v>18</v>
      </c>
      <c r="H319">
        <v>0.22</v>
      </c>
      <c r="I319" s="3">
        <v>0.2273</v>
      </c>
      <c r="J319">
        <v>0.41</v>
      </c>
      <c r="K319">
        <v>0.16420000000000001</v>
      </c>
      <c r="L319">
        <v>4</v>
      </c>
      <c r="M319">
        <v>155</v>
      </c>
      <c r="N319">
        <v>159</v>
      </c>
    </row>
    <row r="320" spans="1:14" x14ac:dyDescent="0.3">
      <c r="A320">
        <v>319</v>
      </c>
      <c r="B320" s="4">
        <v>40557</v>
      </c>
      <c r="C320" s="5">
        <v>0.75</v>
      </c>
      <c r="D320" t="s">
        <v>8</v>
      </c>
      <c r="E320" t="s">
        <v>9</v>
      </c>
      <c r="F320" t="s">
        <v>17</v>
      </c>
      <c r="G320" t="s">
        <v>18</v>
      </c>
      <c r="H320">
        <v>0.2</v>
      </c>
      <c r="I320" s="3">
        <v>0.2576</v>
      </c>
      <c r="J320">
        <v>0.47</v>
      </c>
      <c r="K320">
        <v>0</v>
      </c>
      <c r="L320">
        <v>5</v>
      </c>
      <c r="M320">
        <v>134</v>
      </c>
      <c r="N320">
        <v>139</v>
      </c>
    </row>
    <row r="321" spans="1:14" x14ac:dyDescent="0.3">
      <c r="A321">
        <v>320</v>
      </c>
      <c r="B321" s="4">
        <v>40557</v>
      </c>
      <c r="C321" s="5">
        <v>0.79166666666666674</v>
      </c>
      <c r="D321" t="s">
        <v>8</v>
      </c>
      <c r="E321" t="s">
        <v>9</v>
      </c>
      <c r="F321" t="s">
        <v>17</v>
      </c>
      <c r="G321" t="s">
        <v>18</v>
      </c>
      <c r="H321">
        <v>0.16</v>
      </c>
      <c r="I321" s="3">
        <v>0.19700000000000001</v>
      </c>
      <c r="J321">
        <v>0.59</v>
      </c>
      <c r="K321">
        <v>8.9599999999999999E-2</v>
      </c>
      <c r="L321">
        <v>3</v>
      </c>
      <c r="M321">
        <v>89</v>
      </c>
      <c r="N321">
        <v>92</v>
      </c>
    </row>
    <row r="322" spans="1:14" x14ac:dyDescent="0.3">
      <c r="A322">
        <v>321</v>
      </c>
      <c r="B322" s="4">
        <v>40557</v>
      </c>
      <c r="C322" s="5">
        <v>0.83333333333333326</v>
      </c>
      <c r="D322" t="s">
        <v>8</v>
      </c>
      <c r="E322" t="s">
        <v>9</v>
      </c>
      <c r="F322" t="s">
        <v>17</v>
      </c>
      <c r="G322" t="s">
        <v>18</v>
      </c>
      <c r="H322">
        <v>0.18</v>
      </c>
      <c r="I322" s="3">
        <v>0.2424</v>
      </c>
      <c r="J322">
        <v>0.59</v>
      </c>
      <c r="K322">
        <v>0</v>
      </c>
      <c r="L322">
        <v>0</v>
      </c>
      <c r="M322">
        <v>68</v>
      </c>
      <c r="N322">
        <v>68</v>
      </c>
    </row>
    <row r="323" spans="1:14" x14ac:dyDescent="0.3">
      <c r="A323">
        <v>322</v>
      </c>
      <c r="B323" s="4">
        <v>40557</v>
      </c>
      <c r="C323" s="5">
        <v>0.875</v>
      </c>
      <c r="D323" t="s">
        <v>8</v>
      </c>
      <c r="E323" t="s">
        <v>9</v>
      </c>
      <c r="F323" t="s">
        <v>17</v>
      </c>
      <c r="G323" t="s">
        <v>18</v>
      </c>
      <c r="H323">
        <v>0.16</v>
      </c>
      <c r="I323" s="3">
        <v>0.2273</v>
      </c>
      <c r="J323">
        <v>0.69</v>
      </c>
      <c r="K323">
        <v>0</v>
      </c>
      <c r="L323">
        <v>4</v>
      </c>
      <c r="M323">
        <v>48</v>
      </c>
      <c r="N323">
        <v>52</v>
      </c>
    </row>
    <row r="324" spans="1:14" x14ac:dyDescent="0.3">
      <c r="A324">
        <v>323</v>
      </c>
      <c r="B324" s="4">
        <v>40557</v>
      </c>
      <c r="C324" s="5">
        <v>0.91666666666666674</v>
      </c>
      <c r="D324" t="s">
        <v>8</v>
      </c>
      <c r="E324" t="s">
        <v>9</v>
      </c>
      <c r="F324" t="s">
        <v>17</v>
      </c>
      <c r="G324" t="s">
        <v>19</v>
      </c>
      <c r="H324">
        <v>0.16</v>
      </c>
      <c r="I324" s="3">
        <v>0.2273</v>
      </c>
      <c r="J324">
        <v>0.69</v>
      </c>
      <c r="K324">
        <v>0</v>
      </c>
      <c r="L324">
        <v>2</v>
      </c>
      <c r="M324">
        <v>34</v>
      </c>
      <c r="N324">
        <v>36</v>
      </c>
    </row>
    <row r="325" spans="1:14" x14ac:dyDescent="0.3">
      <c r="A325">
        <v>324</v>
      </c>
      <c r="B325" s="4">
        <v>40557</v>
      </c>
      <c r="C325" s="5">
        <v>0.95833333333333326</v>
      </c>
      <c r="D325" t="s">
        <v>8</v>
      </c>
      <c r="E325" t="s">
        <v>9</v>
      </c>
      <c r="F325" t="s">
        <v>17</v>
      </c>
      <c r="G325" t="s">
        <v>19</v>
      </c>
      <c r="H325">
        <v>0.18</v>
      </c>
      <c r="I325" s="3">
        <v>0.2424</v>
      </c>
      <c r="J325">
        <v>0.55000000000000004</v>
      </c>
      <c r="K325">
        <v>0</v>
      </c>
      <c r="L325">
        <v>1</v>
      </c>
      <c r="M325">
        <v>26</v>
      </c>
      <c r="N325">
        <v>27</v>
      </c>
    </row>
    <row r="326" spans="1:14" x14ac:dyDescent="0.3">
      <c r="A326">
        <v>325</v>
      </c>
      <c r="B326" s="4">
        <v>40558</v>
      </c>
      <c r="C326" s="5">
        <v>0</v>
      </c>
      <c r="D326" t="s">
        <v>8</v>
      </c>
      <c r="E326" t="s">
        <v>9</v>
      </c>
      <c r="F326" t="s">
        <v>11</v>
      </c>
      <c r="G326" t="s">
        <v>18</v>
      </c>
      <c r="H326">
        <v>0.18</v>
      </c>
      <c r="I326" s="3">
        <v>0.2424</v>
      </c>
      <c r="J326">
        <v>0.55000000000000004</v>
      </c>
      <c r="K326">
        <v>0</v>
      </c>
      <c r="L326">
        <v>3</v>
      </c>
      <c r="M326">
        <v>25</v>
      </c>
      <c r="N326">
        <v>28</v>
      </c>
    </row>
    <row r="327" spans="1:14" x14ac:dyDescent="0.3">
      <c r="A327">
        <v>326</v>
      </c>
      <c r="B327" s="4">
        <v>40558</v>
      </c>
      <c r="C327" s="5">
        <v>4.1666666666666741E-2</v>
      </c>
      <c r="D327" t="s">
        <v>8</v>
      </c>
      <c r="E327" t="s">
        <v>9</v>
      </c>
      <c r="F327" t="s">
        <v>11</v>
      </c>
      <c r="G327" t="s">
        <v>19</v>
      </c>
      <c r="H327">
        <v>0.16</v>
      </c>
      <c r="I327" s="3">
        <v>0.19700000000000001</v>
      </c>
      <c r="J327">
        <v>0.59</v>
      </c>
      <c r="K327">
        <v>8.9599999999999999E-2</v>
      </c>
      <c r="L327">
        <v>2</v>
      </c>
      <c r="M327">
        <v>18</v>
      </c>
      <c r="N327">
        <v>20</v>
      </c>
    </row>
    <row r="328" spans="1:14" x14ac:dyDescent="0.3">
      <c r="A328">
        <v>327</v>
      </c>
      <c r="B328" s="4">
        <v>40558</v>
      </c>
      <c r="C328" s="5">
        <v>8.3333333333333259E-2</v>
      </c>
      <c r="D328" t="s">
        <v>8</v>
      </c>
      <c r="E328" t="s">
        <v>9</v>
      </c>
      <c r="F328" t="s">
        <v>11</v>
      </c>
      <c r="G328" t="s">
        <v>19</v>
      </c>
      <c r="H328">
        <v>0.16</v>
      </c>
      <c r="I328" s="3">
        <v>0.19700000000000001</v>
      </c>
      <c r="J328">
        <v>0.59</v>
      </c>
      <c r="K328">
        <v>8.9599999999999999E-2</v>
      </c>
      <c r="L328">
        <v>0</v>
      </c>
      <c r="M328">
        <v>12</v>
      </c>
      <c r="N328">
        <v>12</v>
      </c>
    </row>
    <row r="329" spans="1:14" x14ac:dyDescent="0.3">
      <c r="A329">
        <v>328</v>
      </c>
      <c r="B329" s="4">
        <v>40558</v>
      </c>
      <c r="C329" s="5">
        <v>0.125</v>
      </c>
      <c r="D329" t="s">
        <v>8</v>
      </c>
      <c r="E329" t="s">
        <v>9</v>
      </c>
      <c r="F329" t="s">
        <v>11</v>
      </c>
      <c r="G329" t="s">
        <v>19</v>
      </c>
      <c r="H329">
        <v>0.16</v>
      </c>
      <c r="I329" s="3">
        <v>0.2273</v>
      </c>
      <c r="J329">
        <v>0.59</v>
      </c>
      <c r="K329">
        <v>0</v>
      </c>
      <c r="L329">
        <v>1</v>
      </c>
      <c r="M329">
        <v>7</v>
      </c>
      <c r="N329">
        <v>8</v>
      </c>
    </row>
    <row r="330" spans="1:14" x14ac:dyDescent="0.3">
      <c r="A330">
        <v>329</v>
      </c>
      <c r="B330" s="4">
        <v>40558</v>
      </c>
      <c r="C330" s="5">
        <v>0.16666666666666674</v>
      </c>
      <c r="D330" t="s">
        <v>8</v>
      </c>
      <c r="E330" t="s">
        <v>9</v>
      </c>
      <c r="F330" t="s">
        <v>11</v>
      </c>
      <c r="G330" t="s">
        <v>19</v>
      </c>
      <c r="H330">
        <v>0.16</v>
      </c>
      <c r="I330" s="3">
        <v>0.2273</v>
      </c>
      <c r="J330">
        <v>0.59</v>
      </c>
      <c r="K330">
        <v>0</v>
      </c>
      <c r="L330">
        <v>0</v>
      </c>
      <c r="M330">
        <v>5</v>
      </c>
      <c r="N330">
        <v>5</v>
      </c>
    </row>
    <row r="331" spans="1:14" x14ac:dyDescent="0.3">
      <c r="A331">
        <v>330</v>
      </c>
      <c r="B331" s="4">
        <v>40558</v>
      </c>
      <c r="C331" s="5">
        <v>0.20833333333333326</v>
      </c>
      <c r="D331" t="s">
        <v>8</v>
      </c>
      <c r="E331" t="s">
        <v>9</v>
      </c>
      <c r="F331" t="s">
        <v>11</v>
      </c>
      <c r="G331" t="s">
        <v>18</v>
      </c>
      <c r="H331">
        <v>0.16</v>
      </c>
      <c r="I331" s="3">
        <v>0.2273</v>
      </c>
      <c r="J331">
        <v>0.59</v>
      </c>
      <c r="K331">
        <v>0</v>
      </c>
      <c r="L331">
        <v>0</v>
      </c>
      <c r="M331">
        <v>1</v>
      </c>
      <c r="N331">
        <v>1</v>
      </c>
    </row>
    <row r="332" spans="1:14" x14ac:dyDescent="0.3">
      <c r="A332">
        <v>331</v>
      </c>
      <c r="B332" s="4">
        <v>40558</v>
      </c>
      <c r="C332" s="5">
        <v>0.25</v>
      </c>
      <c r="D332" t="s">
        <v>8</v>
      </c>
      <c r="E332" t="s">
        <v>9</v>
      </c>
      <c r="F332" t="s">
        <v>11</v>
      </c>
      <c r="G332" t="s">
        <v>18</v>
      </c>
      <c r="H332">
        <v>0.14000000000000001</v>
      </c>
      <c r="I332" s="3">
        <v>0.16669999999999999</v>
      </c>
      <c r="J332">
        <v>0.63</v>
      </c>
      <c r="K332">
        <v>0.1045</v>
      </c>
      <c r="L332">
        <v>1</v>
      </c>
      <c r="M332">
        <v>2</v>
      </c>
      <c r="N332">
        <v>3</v>
      </c>
    </row>
    <row r="333" spans="1:14" x14ac:dyDescent="0.3">
      <c r="A333">
        <v>332</v>
      </c>
      <c r="B333" s="4">
        <v>40558</v>
      </c>
      <c r="C333" s="5">
        <v>0.29166666666666674</v>
      </c>
      <c r="D333" t="s">
        <v>8</v>
      </c>
      <c r="E333" t="s">
        <v>9</v>
      </c>
      <c r="F333" t="s">
        <v>11</v>
      </c>
      <c r="G333" t="s">
        <v>18</v>
      </c>
      <c r="H333">
        <v>0.14000000000000001</v>
      </c>
      <c r="I333" s="3">
        <v>0.21210000000000001</v>
      </c>
      <c r="J333">
        <v>0.63</v>
      </c>
      <c r="K333">
        <v>0</v>
      </c>
      <c r="L333">
        <v>1</v>
      </c>
      <c r="M333">
        <v>9</v>
      </c>
      <c r="N333">
        <v>10</v>
      </c>
    </row>
    <row r="334" spans="1:14" x14ac:dyDescent="0.3">
      <c r="A334">
        <v>333</v>
      </c>
      <c r="B334" s="4">
        <v>40558</v>
      </c>
      <c r="C334" s="5">
        <v>0.33333333333333326</v>
      </c>
      <c r="D334" t="s">
        <v>8</v>
      </c>
      <c r="E334" t="s">
        <v>9</v>
      </c>
      <c r="F334" t="s">
        <v>11</v>
      </c>
      <c r="G334" t="s">
        <v>18</v>
      </c>
      <c r="H334">
        <v>0.14000000000000001</v>
      </c>
      <c r="I334" s="3">
        <v>0.1515</v>
      </c>
      <c r="J334">
        <v>0.63</v>
      </c>
      <c r="K334">
        <v>0.1343</v>
      </c>
      <c r="L334">
        <v>1</v>
      </c>
      <c r="M334">
        <v>22</v>
      </c>
      <c r="N334">
        <v>23</v>
      </c>
    </row>
    <row r="335" spans="1:14" x14ac:dyDescent="0.3">
      <c r="A335">
        <v>334</v>
      </c>
      <c r="B335" s="4">
        <v>40558</v>
      </c>
      <c r="C335" s="5">
        <v>0.375</v>
      </c>
      <c r="D335" t="s">
        <v>8</v>
      </c>
      <c r="E335" t="s">
        <v>9</v>
      </c>
      <c r="F335" t="s">
        <v>11</v>
      </c>
      <c r="G335" t="s">
        <v>18</v>
      </c>
      <c r="H335">
        <v>0.16</v>
      </c>
      <c r="I335" s="3">
        <v>0.18179999999999999</v>
      </c>
      <c r="J335">
        <v>0.64</v>
      </c>
      <c r="K335">
        <v>0.1343</v>
      </c>
      <c r="L335">
        <v>2</v>
      </c>
      <c r="M335">
        <v>31</v>
      </c>
      <c r="N335">
        <v>33</v>
      </c>
    </row>
    <row r="336" spans="1:14" x14ac:dyDescent="0.3">
      <c r="A336">
        <v>335</v>
      </c>
      <c r="B336" s="4">
        <v>40558</v>
      </c>
      <c r="C336" s="5">
        <v>0.41666666666666674</v>
      </c>
      <c r="D336" t="s">
        <v>8</v>
      </c>
      <c r="E336" t="s">
        <v>9</v>
      </c>
      <c r="F336" t="s">
        <v>11</v>
      </c>
      <c r="G336" t="s">
        <v>18</v>
      </c>
      <c r="H336">
        <v>0.18</v>
      </c>
      <c r="I336" s="3">
        <v>0.19700000000000001</v>
      </c>
      <c r="J336">
        <v>0.59</v>
      </c>
      <c r="K336">
        <v>0.16420000000000001</v>
      </c>
      <c r="L336">
        <v>2</v>
      </c>
      <c r="M336">
        <v>57</v>
      </c>
      <c r="N336">
        <v>59</v>
      </c>
    </row>
    <row r="337" spans="1:14" x14ac:dyDescent="0.3">
      <c r="A337">
        <v>336</v>
      </c>
      <c r="B337" s="4">
        <v>40558</v>
      </c>
      <c r="C337" s="5">
        <v>0.45833333333333326</v>
      </c>
      <c r="D337" t="s">
        <v>8</v>
      </c>
      <c r="E337" t="s">
        <v>9</v>
      </c>
      <c r="F337" t="s">
        <v>11</v>
      </c>
      <c r="G337" t="s">
        <v>18</v>
      </c>
      <c r="H337">
        <v>0.2</v>
      </c>
      <c r="I337" s="3">
        <v>0.19700000000000001</v>
      </c>
      <c r="J337">
        <v>0.55000000000000004</v>
      </c>
      <c r="K337">
        <v>0.22389999999999999</v>
      </c>
      <c r="L337">
        <v>18</v>
      </c>
      <c r="M337">
        <v>54</v>
      </c>
      <c r="N337">
        <v>72</v>
      </c>
    </row>
    <row r="338" spans="1:14" x14ac:dyDescent="0.3">
      <c r="A338">
        <v>337</v>
      </c>
      <c r="B338" s="4">
        <v>40558</v>
      </c>
      <c r="C338" s="5">
        <v>0.5</v>
      </c>
      <c r="D338" t="s">
        <v>8</v>
      </c>
      <c r="E338" t="s">
        <v>9</v>
      </c>
      <c r="F338" t="s">
        <v>11</v>
      </c>
      <c r="G338" t="s">
        <v>18</v>
      </c>
      <c r="H338">
        <v>0.24</v>
      </c>
      <c r="I338" s="3">
        <v>0.2273</v>
      </c>
      <c r="J338">
        <v>0.48</v>
      </c>
      <c r="K338">
        <v>0.22389999999999999</v>
      </c>
      <c r="L338">
        <v>15</v>
      </c>
      <c r="M338">
        <v>74</v>
      </c>
      <c r="N338">
        <v>89</v>
      </c>
    </row>
    <row r="339" spans="1:14" x14ac:dyDescent="0.3">
      <c r="A339">
        <v>338</v>
      </c>
      <c r="B339" s="4">
        <v>40558</v>
      </c>
      <c r="C339" s="5">
        <v>0.54166666666666674</v>
      </c>
      <c r="D339" t="s">
        <v>8</v>
      </c>
      <c r="E339" t="s">
        <v>9</v>
      </c>
      <c r="F339" t="s">
        <v>11</v>
      </c>
      <c r="G339" t="s">
        <v>18</v>
      </c>
      <c r="H339">
        <v>0.28000000000000003</v>
      </c>
      <c r="I339" s="3">
        <v>0.2576</v>
      </c>
      <c r="J339">
        <v>0.38</v>
      </c>
      <c r="K339">
        <v>0.29849999999999999</v>
      </c>
      <c r="L339">
        <v>21</v>
      </c>
      <c r="M339">
        <v>80</v>
      </c>
      <c r="N339">
        <v>101</v>
      </c>
    </row>
    <row r="340" spans="1:14" x14ac:dyDescent="0.3">
      <c r="A340">
        <v>339</v>
      </c>
      <c r="B340" s="4">
        <v>40558</v>
      </c>
      <c r="C340" s="5">
        <v>0.58333333333333326</v>
      </c>
      <c r="D340" t="s">
        <v>8</v>
      </c>
      <c r="E340" t="s">
        <v>9</v>
      </c>
      <c r="F340" t="s">
        <v>11</v>
      </c>
      <c r="G340" t="s">
        <v>18</v>
      </c>
      <c r="H340">
        <v>0.3</v>
      </c>
      <c r="I340" s="3">
        <v>0.28789999999999999</v>
      </c>
      <c r="J340">
        <v>0.39</v>
      </c>
      <c r="K340">
        <v>0.28360000000000002</v>
      </c>
      <c r="L340">
        <v>26</v>
      </c>
      <c r="M340">
        <v>92</v>
      </c>
      <c r="N340">
        <v>118</v>
      </c>
    </row>
    <row r="341" spans="1:14" x14ac:dyDescent="0.3">
      <c r="A341">
        <v>340</v>
      </c>
      <c r="B341" s="4">
        <v>40558</v>
      </c>
      <c r="C341" s="5">
        <v>0.625</v>
      </c>
      <c r="D341" t="s">
        <v>8</v>
      </c>
      <c r="E341" t="s">
        <v>9</v>
      </c>
      <c r="F341" t="s">
        <v>11</v>
      </c>
      <c r="G341" t="s">
        <v>19</v>
      </c>
      <c r="H341">
        <v>0.32</v>
      </c>
      <c r="I341" s="3">
        <v>0.31819999999999998</v>
      </c>
      <c r="J341">
        <v>0.36</v>
      </c>
      <c r="K341">
        <v>0.19400000000000001</v>
      </c>
      <c r="L341">
        <v>21</v>
      </c>
      <c r="M341">
        <v>108</v>
      </c>
      <c r="N341">
        <v>129</v>
      </c>
    </row>
    <row r="342" spans="1:14" x14ac:dyDescent="0.3">
      <c r="A342">
        <v>341</v>
      </c>
      <c r="B342" s="4">
        <v>40558</v>
      </c>
      <c r="C342" s="5">
        <v>0.66666666666666674</v>
      </c>
      <c r="D342" t="s">
        <v>8</v>
      </c>
      <c r="E342" t="s">
        <v>9</v>
      </c>
      <c r="F342" t="s">
        <v>11</v>
      </c>
      <c r="G342" t="s">
        <v>19</v>
      </c>
      <c r="H342">
        <v>0.34</v>
      </c>
      <c r="I342" s="3">
        <v>0.33329999999999999</v>
      </c>
      <c r="J342">
        <v>0.34</v>
      </c>
      <c r="K342">
        <v>0.19400000000000001</v>
      </c>
      <c r="L342">
        <v>33</v>
      </c>
      <c r="M342">
        <v>95</v>
      </c>
      <c r="N342">
        <v>128</v>
      </c>
    </row>
    <row r="343" spans="1:14" x14ac:dyDescent="0.3">
      <c r="A343">
        <v>342</v>
      </c>
      <c r="B343" s="4">
        <v>40558</v>
      </c>
      <c r="C343" s="5">
        <v>0.70833333333333326</v>
      </c>
      <c r="D343" t="s">
        <v>8</v>
      </c>
      <c r="E343" t="s">
        <v>9</v>
      </c>
      <c r="F343" t="s">
        <v>11</v>
      </c>
      <c r="G343" t="s">
        <v>19</v>
      </c>
      <c r="H343">
        <v>0.32</v>
      </c>
      <c r="I343" s="3">
        <v>0.30299999999999999</v>
      </c>
      <c r="J343">
        <v>0.36</v>
      </c>
      <c r="K343">
        <v>0.28360000000000002</v>
      </c>
      <c r="L343">
        <v>29</v>
      </c>
      <c r="M343">
        <v>54</v>
      </c>
      <c r="N343">
        <v>83</v>
      </c>
    </row>
    <row r="344" spans="1:14" x14ac:dyDescent="0.3">
      <c r="A344">
        <v>343</v>
      </c>
      <c r="B344" s="4">
        <v>40558</v>
      </c>
      <c r="C344" s="5">
        <v>0.75</v>
      </c>
      <c r="D344" t="s">
        <v>8</v>
      </c>
      <c r="E344" t="s">
        <v>9</v>
      </c>
      <c r="F344" t="s">
        <v>11</v>
      </c>
      <c r="G344" t="s">
        <v>19</v>
      </c>
      <c r="H344">
        <v>0.3</v>
      </c>
      <c r="I344" s="3">
        <v>0.28789999999999999</v>
      </c>
      <c r="J344">
        <v>0.45</v>
      </c>
      <c r="K344">
        <v>0.25369999999999998</v>
      </c>
      <c r="L344">
        <v>15</v>
      </c>
      <c r="M344">
        <v>69</v>
      </c>
      <c r="N344">
        <v>84</v>
      </c>
    </row>
    <row r="345" spans="1:14" x14ac:dyDescent="0.3">
      <c r="A345">
        <v>344</v>
      </c>
      <c r="B345" s="4">
        <v>40558</v>
      </c>
      <c r="C345" s="5">
        <v>0.79166666666666674</v>
      </c>
      <c r="D345" t="s">
        <v>8</v>
      </c>
      <c r="E345" t="s">
        <v>9</v>
      </c>
      <c r="F345" t="s">
        <v>11</v>
      </c>
      <c r="G345" t="s">
        <v>19</v>
      </c>
      <c r="H345">
        <v>0.32</v>
      </c>
      <c r="I345" s="3">
        <v>0.30299999999999999</v>
      </c>
      <c r="J345">
        <v>0.39</v>
      </c>
      <c r="K345">
        <v>0.25369999999999998</v>
      </c>
      <c r="L345">
        <v>14</v>
      </c>
      <c r="M345">
        <v>60</v>
      </c>
      <c r="N345">
        <v>74</v>
      </c>
    </row>
    <row r="346" spans="1:14" x14ac:dyDescent="0.3">
      <c r="A346">
        <v>345</v>
      </c>
      <c r="B346" s="4">
        <v>40558</v>
      </c>
      <c r="C346" s="5">
        <v>0.83333333333333326</v>
      </c>
      <c r="D346" t="s">
        <v>8</v>
      </c>
      <c r="E346" t="s">
        <v>9</v>
      </c>
      <c r="F346" t="s">
        <v>11</v>
      </c>
      <c r="G346" t="s">
        <v>19</v>
      </c>
      <c r="H346">
        <v>0.32</v>
      </c>
      <c r="I346" s="3">
        <v>0.30299999999999999</v>
      </c>
      <c r="J346">
        <v>0.39</v>
      </c>
      <c r="K346">
        <v>0.25369999999999998</v>
      </c>
      <c r="L346">
        <v>6</v>
      </c>
      <c r="M346">
        <v>35</v>
      </c>
      <c r="N346">
        <v>41</v>
      </c>
    </row>
    <row r="347" spans="1:14" x14ac:dyDescent="0.3">
      <c r="A347">
        <v>346</v>
      </c>
      <c r="B347" s="4">
        <v>40558</v>
      </c>
      <c r="C347" s="5">
        <v>0.875</v>
      </c>
      <c r="D347" t="s">
        <v>8</v>
      </c>
      <c r="E347" t="s">
        <v>9</v>
      </c>
      <c r="F347" t="s">
        <v>11</v>
      </c>
      <c r="G347" t="s">
        <v>19</v>
      </c>
      <c r="H347">
        <v>0.32</v>
      </c>
      <c r="I347" s="3">
        <v>0.30299999999999999</v>
      </c>
      <c r="J347">
        <v>0.39</v>
      </c>
      <c r="K347">
        <v>0.22389999999999999</v>
      </c>
      <c r="L347">
        <v>6</v>
      </c>
      <c r="M347">
        <v>51</v>
      </c>
      <c r="N347">
        <v>57</v>
      </c>
    </row>
    <row r="348" spans="1:14" x14ac:dyDescent="0.3">
      <c r="A348">
        <v>347</v>
      </c>
      <c r="B348" s="4">
        <v>40558</v>
      </c>
      <c r="C348" s="5">
        <v>0.91666666666666674</v>
      </c>
      <c r="D348" t="s">
        <v>8</v>
      </c>
      <c r="E348" t="s">
        <v>9</v>
      </c>
      <c r="F348" t="s">
        <v>11</v>
      </c>
      <c r="G348" t="s">
        <v>19</v>
      </c>
      <c r="H348">
        <v>0.3</v>
      </c>
      <c r="I348" s="3">
        <v>0.31819999999999998</v>
      </c>
      <c r="J348">
        <v>0.42</v>
      </c>
      <c r="K348">
        <v>0.1045</v>
      </c>
      <c r="L348">
        <v>0</v>
      </c>
      <c r="M348">
        <v>26</v>
      </c>
      <c r="N348">
        <v>26</v>
      </c>
    </row>
    <row r="349" spans="1:14" x14ac:dyDescent="0.3">
      <c r="A349">
        <v>348</v>
      </c>
      <c r="B349" s="4">
        <v>40558</v>
      </c>
      <c r="C349" s="5">
        <v>0.95833333333333326</v>
      </c>
      <c r="D349" t="s">
        <v>8</v>
      </c>
      <c r="E349" t="s">
        <v>9</v>
      </c>
      <c r="F349" t="s">
        <v>11</v>
      </c>
      <c r="G349" t="s">
        <v>18</v>
      </c>
      <c r="H349">
        <v>0.3</v>
      </c>
      <c r="I349" s="3">
        <v>0.28789999999999999</v>
      </c>
      <c r="J349">
        <v>0.45</v>
      </c>
      <c r="K349">
        <v>0.28360000000000002</v>
      </c>
      <c r="L349">
        <v>5</v>
      </c>
      <c r="M349">
        <v>39</v>
      </c>
      <c r="N349">
        <v>44</v>
      </c>
    </row>
    <row r="350" spans="1:14" x14ac:dyDescent="0.3">
      <c r="A350">
        <v>349</v>
      </c>
      <c r="B350" s="4">
        <v>40559</v>
      </c>
      <c r="C350" s="5">
        <v>0</v>
      </c>
      <c r="D350" t="s">
        <v>8</v>
      </c>
      <c r="E350" t="s">
        <v>9</v>
      </c>
      <c r="F350" t="s">
        <v>12</v>
      </c>
      <c r="G350" t="s">
        <v>18</v>
      </c>
      <c r="H350">
        <v>0.26</v>
      </c>
      <c r="I350" s="3">
        <v>0.30299999999999999</v>
      </c>
      <c r="J350">
        <v>0.56000000000000005</v>
      </c>
      <c r="K350">
        <v>0</v>
      </c>
      <c r="L350">
        <v>6</v>
      </c>
      <c r="M350">
        <v>33</v>
      </c>
      <c r="N350">
        <v>39</v>
      </c>
    </row>
    <row r="351" spans="1:14" x14ac:dyDescent="0.3">
      <c r="A351">
        <v>350</v>
      </c>
      <c r="B351" s="4">
        <v>40559</v>
      </c>
      <c r="C351" s="5">
        <v>4.1666666666666741E-2</v>
      </c>
      <c r="D351" t="s">
        <v>8</v>
      </c>
      <c r="E351" t="s">
        <v>9</v>
      </c>
      <c r="F351" t="s">
        <v>12</v>
      </c>
      <c r="G351" t="s">
        <v>18</v>
      </c>
      <c r="H351">
        <v>0.26</v>
      </c>
      <c r="I351" s="3">
        <v>0.2727</v>
      </c>
      <c r="J351">
        <v>0.56000000000000005</v>
      </c>
      <c r="K351">
        <v>0.1343</v>
      </c>
      <c r="L351">
        <v>4</v>
      </c>
      <c r="M351">
        <v>19</v>
      </c>
      <c r="N351">
        <v>23</v>
      </c>
    </row>
    <row r="352" spans="1:14" x14ac:dyDescent="0.3">
      <c r="A352">
        <v>351</v>
      </c>
      <c r="B352" s="4">
        <v>40559</v>
      </c>
      <c r="C352" s="5">
        <v>8.3333333333333259E-2</v>
      </c>
      <c r="D352" t="s">
        <v>8</v>
      </c>
      <c r="E352" t="s">
        <v>9</v>
      </c>
      <c r="F352" t="s">
        <v>12</v>
      </c>
      <c r="G352" t="s">
        <v>18</v>
      </c>
      <c r="H352">
        <v>0.26</v>
      </c>
      <c r="I352" s="3">
        <v>0.28789999999999999</v>
      </c>
      <c r="J352">
        <v>0.56000000000000005</v>
      </c>
      <c r="K352">
        <v>8.9599999999999999E-2</v>
      </c>
      <c r="L352">
        <v>3</v>
      </c>
      <c r="M352">
        <v>13</v>
      </c>
      <c r="N352">
        <v>16</v>
      </c>
    </row>
    <row r="353" spans="1:14" x14ac:dyDescent="0.3">
      <c r="A353">
        <v>352</v>
      </c>
      <c r="B353" s="4">
        <v>40559</v>
      </c>
      <c r="C353" s="5">
        <v>0.125</v>
      </c>
      <c r="D353" t="s">
        <v>8</v>
      </c>
      <c r="E353" t="s">
        <v>9</v>
      </c>
      <c r="F353" t="s">
        <v>12</v>
      </c>
      <c r="G353" t="s">
        <v>18</v>
      </c>
      <c r="H353">
        <v>0.22</v>
      </c>
      <c r="I353" s="3">
        <v>0.2727</v>
      </c>
      <c r="J353">
        <v>0.69</v>
      </c>
      <c r="K353">
        <v>0</v>
      </c>
      <c r="L353">
        <v>9</v>
      </c>
      <c r="M353">
        <v>6</v>
      </c>
      <c r="N353">
        <v>15</v>
      </c>
    </row>
    <row r="354" spans="1:14" x14ac:dyDescent="0.3">
      <c r="A354">
        <v>353</v>
      </c>
      <c r="B354" s="4">
        <v>40559</v>
      </c>
      <c r="C354" s="5">
        <v>0.16666666666666674</v>
      </c>
      <c r="D354" t="s">
        <v>8</v>
      </c>
      <c r="E354" t="s">
        <v>9</v>
      </c>
      <c r="F354" t="s">
        <v>12</v>
      </c>
      <c r="G354" t="s">
        <v>18</v>
      </c>
      <c r="H354">
        <v>0.26</v>
      </c>
      <c r="I354" s="3">
        <v>0.2576</v>
      </c>
      <c r="J354">
        <v>0.56000000000000005</v>
      </c>
      <c r="K354">
        <v>0.16420000000000001</v>
      </c>
      <c r="L354">
        <v>0</v>
      </c>
      <c r="M354">
        <v>1</v>
      </c>
      <c r="N354">
        <v>1</v>
      </c>
    </row>
    <row r="355" spans="1:14" x14ac:dyDescent="0.3">
      <c r="A355">
        <v>354</v>
      </c>
      <c r="B355" s="4">
        <v>40559</v>
      </c>
      <c r="C355" s="5">
        <v>0.20833333333333326</v>
      </c>
      <c r="D355" t="s">
        <v>8</v>
      </c>
      <c r="E355" t="s">
        <v>9</v>
      </c>
      <c r="F355" t="s">
        <v>12</v>
      </c>
      <c r="G355" t="s">
        <v>19</v>
      </c>
      <c r="H355">
        <v>0.26</v>
      </c>
      <c r="I355" s="3">
        <v>0.2576</v>
      </c>
      <c r="J355">
        <v>0.56000000000000005</v>
      </c>
      <c r="K355">
        <v>0.16420000000000001</v>
      </c>
      <c r="L355">
        <v>1</v>
      </c>
      <c r="M355">
        <v>1</v>
      </c>
      <c r="N355">
        <v>2</v>
      </c>
    </row>
    <row r="356" spans="1:14" x14ac:dyDescent="0.3">
      <c r="A356">
        <v>355</v>
      </c>
      <c r="B356" s="4">
        <v>40559</v>
      </c>
      <c r="C356" s="5">
        <v>0.25</v>
      </c>
      <c r="D356" t="s">
        <v>8</v>
      </c>
      <c r="E356" t="s">
        <v>9</v>
      </c>
      <c r="F356" t="s">
        <v>12</v>
      </c>
      <c r="G356" t="s">
        <v>19</v>
      </c>
      <c r="H356">
        <v>0.26</v>
      </c>
      <c r="I356" s="3">
        <v>0.2576</v>
      </c>
      <c r="J356">
        <v>0.56000000000000005</v>
      </c>
      <c r="K356">
        <v>0.16420000000000001</v>
      </c>
      <c r="L356">
        <v>0</v>
      </c>
      <c r="M356">
        <v>1</v>
      </c>
      <c r="N356">
        <v>1</v>
      </c>
    </row>
    <row r="357" spans="1:14" x14ac:dyDescent="0.3">
      <c r="A357">
        <v>356</v>
      </c>
      <c r="B357" s="4">
        <v>40559</v>
      </c>
      <c r="C357" s="5">
        <v>0.29166666666666674</v>
      </c>
      <c r="D357" t="s">
        <v>8</v>
      </c>
      <c r="E357" t="s">
        <v>9</v>
      </c>
      <c r="F357" t="s">
        <v>12</v>
      </c>
      <c r="G357" t="s">
        <v>19</v>
      </c>
      <c r="H357">
        <v>0.24</v>
      </c>
      <c r="I357" s="3">
        <v>0.21210000000000001</v>
      </c>
      <c r="J357">
        <v>0.56000000000000005</v>
      </c>
      <c r="K357">
        <v>0.29849999999999999</v>
      </c>
      <c r="L357">
        <v>0</v>
      </c>
      <c r="M357">
        <v>3</v>
      </c>
      <c r="N357">
        <v>3</v>
      </c>
    </row>
    <row r="358" spans="1:14" x14ac:dyDescent="0.3">
      <c r="A358">
        <v>357</v>
      </c>
      <c r="B358" s="4">
        <v>40559</v>
      </c>
      <c r="C358" s="5">
        <v>0.33333333333333326</v>
      </c>
      <c r="D358" t="s">
        <v>8</v>
      </c>
      <c r="E358" t="s">
        <v>9</v>
      </c>
      <c r="F358" t="s">
        <v>12</v>
      </c>
      <c r="G358" t="s">
        <v>18</v>
      </c>
      <c r="H358">
        <v>0.22</v>
      </c>
      <c r="I358" s="3">
        <v>0.21210000000000001</v>
      </c>
      <c r="J358">
        <v>0.55000000000000004</v>
      </c>
      <c r="K358">
        <v>0.28360000000000002</v>
      </c>
      <c r="L358">
        <v>0</v>
      </c>
      <c r="M358">
        <v>18</v>
      </c>
      <c r="N358">
        <v>18</v>
      </c>
    </row>
    <row r="359" spans="1:14" x14ac:dyDescent="0.3">
      <c r="A359">
        <v>358</v>
      </c>
      <c r="B359" s="4">
        <v>40559</v>
      </c>
      <c r="C359" s="5">
        <v>0.375</v>
      </c>
      <c r="D359" t="s">
        <v>8</v>
      </c>
      <c r="E359" t="s">
        <v>9</v>
      </c>
      <c r="F359" t="s">
        <v>12</v>
      </c>
      <c r="G359" t="s">
        <v>18</v>
      </c>
      <c r="H359">
        <v>0.22</v>
      </c>
      <c r="I359" s="3">
        <v>0.21210000000000001</v>
      </c>
      <c r="J359">
        <v>0.51</v>
      </c>
      <c r="K359">
        <v>0.25369999999999998</v>
      </c>
      <c r="L359">
        <v>3</v>
      </c>
      <c r="M359">
        <v>29</v>
      </c>
      <c r="N359">
        <v>32</v>
      </c>
    </row>
    <row r="360" spans="1:14" x14ac:dyDescent="0.3">
      <c r="A360">
        <v>359</v>
      </c>
      <c r="B360" s="4">
        <v>40559</v>
      </c>
      <c r="C360" s="5">
        <v>0.41666666666666674</v>
      </c>
      <c r="D360" t="s">
        <v>8</v>
      </c>
      <c r="E360" t="s">
        <v>9</v>
      </c>
      <c r="F360" t="s">
        <v>12</v>
      </c>
      <c r="G360" t="s">
        <v>18</v>
      </c>
      <c r="H360">
        <v>0.22</v>
      </c>
      <c r="I360" s="3">
        <v>0.21210000000000001</v>
      </c>
      <c r="J360">
        <v>0.51</v>
      </c>
      <c r="K360">
        <v>0.28360000000000002</v>
      </c>
      <c r="L360">
        <v>8</v>
      </c>
      <c r="M360">
        <v>71</v>
      </c>
      <c r="N360">
        <v>79</v>
      </c>
    </row>
    <row r="361" spans="1:14" x14ac:dyDescent="0.3">
      <c r="A361">
        <v>360</v>
      </c>
      <c r="B361" s="4">
        <v>40559</v>
      </c>
      <c r="C361" s="5">
        <v>0.45833333333333326</v>
      </c>
      <c r="D361" t="s">
        <v>8</v>
      </c>
      <c r="E361" t="s">
        <v>9</v>
      </c>
      <c r="F361" t="s">
        <v>12</v>
      </c>
      <c r="G361" t="s">
        <v>18</v>
      </c>
      <c r="H361">
        <v>0.24</v>
      </c>
      <c r="I361" s="3">
        <v>0.2273</v>
      </c>
      <c r="J361">
        <v>0.44</v>
      </c>
      <c r="K361">
        <v>0.25369999999999998</v>
      </c>
      <c r="L361">
        <v>23</v>
      </c>
      <c r="M361">
        <v>70</v>
      </c>
      <c r="N361">
        <v>93</v>
      </c>
    </row>
    <row r="362" spans="1:14" x14ac:dyDescent="0.3">
      <c r="A362">
        <v>361</v>
      </c>
      <c r="B362" s="4">
        <v>40559</v>
      </c>
      <c r="C362" s="5">
        <v>0.5</v>
      </c>
      <c r="D362" t="s">
        <v>8</v>
      </c>
      <c r="E362" t="s">
        <v>9</v>
      </c>
      <c r="F362" t="s">
        <v>12</v>
      </c>
      <c r="G362" t="s">
        <v>18</v>
      </c>
      <c r="H362">
        <v>0.24</v>
      </c>
      <c r="I362" s="3">
        <v>0.21210000000000001</v>
      </c>
      <c r="J362">
        <v>0.41</v>
      </c>
      <c r="K362">
        <v>0.28360000000000002</v>
      </c>
      <c r="L362">
        <v>29</v>
      </c>
      <c r="M362">
        <v>75</v>
      </c>
      <c r="N362">
        <v>104</v>
      </c>
    </row>
    <row r="363" spans="1:14" x14ac:dyDescent="0.3">
      <c r="A363">
        <v>362</v>
      </c>
      <c r="B363" s="4">
        <v>40559</v>
      </c>
      <c r="C363" s="5">
        <v>0.54166666666666674</v>
      </c>
      <c r="D363" t="s">
        <v>8</v>
      </c>
      <c r="E363" t="s">
        <v>9</v>
      </c>
      <c r="F363" t="s">
        <v>12</v>
      </c>
      <c r="G363" t="s">
        <v>18</v>
      </c>
      <c r="H363">
        <v>0.26</v>
      </c>
      <c r="I363" s="3">
        <v>0.2273</v>
      </c>
      <c r="J363">
        <v>0.35</v>
      </c>
      <c r="K363">
        <v>0.29849999999999999</v>
      </c>
      <c r="L363">
        <v>23</v>
      </c>
      <c r="M363">
        <v>95</v>
      </c>
      <c r="N363">
        <v>118</v>
      </c>
    </row>
    <row r="364" spans="1:14" x14ac:dyDescent="0.3">
      <c r="A364">
        <v>363</v>
      </c>
      <c r="B364" s="4">
        <v>40559</v>
      </c>
      <c r="C364" s="5">
        <v>0.58333333333333326</v>
      </c>
      <c r="D364" t="s">
        <v>8</v>
      </c>
      <c r="E364" t="s">
        <v>9</v>
      </c>
      <c r="F364" t="s">
        <v>12</v>
      </c>
      <c r="G364" t="s">
        <v>18</v>
      </c>
      <c r="H364">
        <v>0.28000000000000003</v>
      </c>
      <c r="I364" s="3">
        <v>0.2727</v>
      </c>
      <c r="J364">
        <v>0.36</v>
      </c>
      <c r="K364">
        <v>0.25369999999999998</v>
      </c>
      <c r="L364">
        <v>22</v>
      </c>
      <c r="M364">
        <v>69</v>
      </c>
      <c r="N364">
        <v>91</v>
      </c>
    </row>
    <row r="365" spans="1:14" x14ac:dyDescent="0.3">
      <c r="A365">
        <v>364</v>
      </c>
      <c r="B365" s="4">
        <v>40559</v>
      </c>
      <c r="C365" s="5">
        <v>0.625</v>
      </c>
      <c r="D365" t="s">
        <v>8</v>
      </c>
      <c r="E365" t="s">
        <v>9</v>
      </c>
      <c r="F365" t="s">
        <v>12</v>
      </c>
      <c r="G365" t="s">
        <v>18</v>
      </c>
      <c r="H365">
        <v>0.26</v>
      </c>
      <c r="I365" s="3">
        <v>0.2424</v>
      </c>
      <c r="J365">
        <v>0.38</v>
      </c>
      <c r="K365">
        <v>0.25369999999999998</v>
      </c>
      <c r="L365">
        <v>35</v>
      </c>
      <c r="M365">
        <v>78</v>
      </c>
      <c r="N365">
        <v>113</v>
      </c>
    </row>
    <row r="366" spans="1:14" x14ac:dyDescent="0.3">
      <c r="A366">
        <v>365</v>
      </c>
      <c r="B366" s="4">
        <v>40559</v>
      </c>
      <c r="C366" s="5">
        <v>0.66666666666666674</v>
      </c>
      <c r="D366" t="s">
        <v>8</v>
      </c>
      <c r="E366" t="s">
        <v>9</v>
      </c>
      <c r="F366" t="s">
        <v>12</v>
      </c>
      <c r="G366" t="s">
        <v>18</v>
      </c>
      <c r="H366">
        <v>0.24</v>
      </c>
      <c r="I366" s="3">
        <v>0.2273</v>
      </c>
      <c r="J366">
        <v>0.38</v>
      </c>
      <c r="K366">
        <v>0.22389999999999999</v>
      </c>
      <c r="L366">
        <v>22</v>
      </c>
      <c r="M366">
        <v>77</v>
      </c>
      <c r="N366">
        <v>99</v>
      </c>
    </row>
    <row r="367" spans="1:14" x14ac:dyDescent="0.3">
      <c r="A367">
        <v>366</v>
      </c>
      <c r="B367" s="4">
        <v>40559</v>
      </c>
      <c r="C367" s="5">
        <v>0.70833333333333326</v>
      </c>
      <c r="D367" t="s">
        <v>8</v>
      </c>
      <c r="E367" t="s">
        <v>9</v>
      </c>
      <c r="F367" t="s">
        <v>12</v>
      </c>
      <c r="G367" t="s">
        <v>18</v>
      </c>
      <c r="H367">
        <v>0.22</v>
      </c>
      <c r="I367" s="3">
        <v>0.21210000000000001</v>
      </c>
      <c r="J367">
        <v>0.37</v>
      </c>
      <c r="K367">
        <v>0.25369999999999998</v>
      </c>
      <c r="L367">
        <v>23</v>
      </c>
      <c r="M367">
        <v>82</v>
      </c>
      <c r="N367">
        <v>105</v>
      </c>
    </row>
    <row r="368" spans="1:14" x14ac:dyDescent="0.3">
      <c r="A368">
        <v>367</v>
      </c>
      <c r="B368" s="4">
        <v>40559</v>
      </c>
      <c r="C368" s="5">
        <v>0.75</v>
      </c>
      <c r="D368" t="s">
        <v>8</v>
      </c>
      <c r="E368" t="s">
        <v>9</v>
      </c>
      <c r="F368" t="s">
        <v>12</v>
      </c>
      <c r="G368" t="s">
        <v>18</v>
      </c>
      <c r="H368">
        <v>0.2</v>
      </c>
      <c r="I368" s="3">
        <v>0.21210000000000001</v>
      </c>
      <c r="J368">
        <v>0.4</v>
      </c>
      <c r="K368">
        <v>0.16420000000000001</v>
      </c>
      <c r="L368">
        <v>11</v>
      </c>
      <c r="M368">
        <v>56</v>
      </c>
      <c r="N368">
        <v>67</v>
      </c>
    </row>
    <row r="369" spans="1:14" x14ac:dyDescent="0.3">
      <c r="A369">
        <v>368</v>
      </c>
      <c r="B369" s="4">
        <v>40559</v>
      </c>
      <c r="C369" s="5">
        <v>0.79166666666666674</v>
      </c>
      <c r="D369" t="s">
        <v>8</v>
      </c>
      <c r="E369" t="s">
        <v>9</v>
      </c>
      <c r="F369" t="s">
        <v>12</v>
      </c>
      <c r="G369" t="s">
        <v>18</v>
      </c>
      <c r="H369">
        <v>0.18</v>
      </c>
      <c r="I369" s="3">
        <v>0.19700000000000001</v>
      </c>
      <c r="J369">
        <v>0.47</v>
      </c>
      <c r="K369">
        <v>0.1343</v>
      </c>
      <c r="L369">
        <v>14</v>
      </c>
      <c r="M369">
        <v>47</v>
      </c>
      <c r="N369">
        <v>61</v>
      </c>
    </row>
    <row r="370" spans="1:14" x14ac:dyDescent="0.3">
      <c r="A370">
        <v>369</v>
      </c>
      <c r="B370" s="4">
        <v>40559</v>
      </c>
      <c r="C370" s="5">
        <v>0.83333333333333326</v>
      </c>
      <c r="D370" t="s">
        <v>8</v>
      </c>
      <c r="E370" t="s">
        <v>9</v>
      </c>
      <c r="F370" t="s">
        <v>12</v>
      </c>
      <c r="G370" t="s">
        <v>18</v>
      </c>
      <c r="H370">
        <v>0.18</v>
      </c>
      <c r="I370" s="3">
        <v>0.19700000000000001</v>
      </c>
      <c r="J370">
        <v>0.47</v>
      </c>
      <c r="K370">
        <v>0.16420000000000001</v>
      </c>
      <c r="L370">
        <v>7</v>
      </c>
      <c r="M370">
        <v>50</v>
      </c>
      <c r="N370">
        <v>57</v>
      </c>
    </row>
    <row r="371" spans="1:14" x14ac:dyDescent="0.3">
      <c r="A371">
        <v>370</v>
      </c>
      <c r="B371" s="4">
        <v>40559</v>
      </c>
      <c r="C371" s="5">
        <v>0.875</v>
      </c>
      <c r="D371" t="s">
        <v>8</v>
      </c>
      <c r="E371" t="s">
        <v>9</v>
      </c>
      <c r="F371" t="s">
        <v>12</v>
      </c>
      <c r="G371" t="s">
        <v>18</v>
      </c>
      <c r="H371">
        <v>0.18</v>
      </c>
      <c r="I371" s="3">
        <v>0.19700000000000001</v>
      </c>
      <c r="J371">
        <v>0.51</v>
      </c>
      <c r="K371">
        <v>0.16420000000000001</v>
      </c>
      <c r="L371">
        <v>6</v>
      </c>
      <c r="M371">
        <v>22</v>
      </c>
      <c r="N371">
        <v>28</v>
      </c>
    </row>
    <row r="372" spans="1:14" x14ac:dyDescent="0.3">
      <c r="A372">
        <v>371</v>
      </c>
      <c r="B372" s="4">
        <v>40559</v>
      </c>
      <c r="C372" s="5">
        <v>0.91666666666666674</v>
      </c>
      <c r="D372" t="s">
        <v>8</v>
      </c>
      <c r="E372" t="s">
        <v>9</v>
      </c>
      <c r="F372" t="s">
        <v>12</v>
      </c>
      <c r="G372" t="s">
        <v>19</v>
      </c>
      <c r="H372">
        <v>0.2</v>
      </c>
      <c r="I372" s="3">
        <v>0.21210000000000001</v>
      </c>
      <c r="J372">
        <v>0.49</v>
      </c>
      <c r="K372">
        <v>0.1343</v>
      </c>
      <c r="L372">
        <v>2</v>
      </c>
      <c r="M372">
        <v>19</v>
      </c>
      <c r="N372">
        <v>21</v>
      </c>
    </row>
    <row r="373" spans="1:14" x14ac:dyDescent="0.3">
      <c r="A373">
        <v>372</v>
      </c>
      <c r="B373" s="4">
        <v>40559</v>
      </c>
      <c r="C373" s="5">
        <v>0.95833333333333326</v>
      </c>
      <c r="D373" t="s">
        <v>8</v>
      </c>
      <c r="E373" t="s">
        <v>9</v>
      </c>
      <c r="F373" t="s">
        <v>12</v>
      </c>
      <c r="G373" t="s">
        <v>19</v>
      </c>
      <c r="H373">
        <v>0.2</v>
      </c>
      <c r="I373" s="3">
        <v>0.2273</v>
      </c>
      <c r="J373">
        <v>0.4</v>
      </c>
      <c r="K373">
        <v>0.1045</v>
      </c>
      <c r="L373">
        <v>0</v>
      </c>
      <c r="M373">
        <v>18</v>
      </c>
      <c r="N373">
        <v>18</v>
      </c>
    </row>
    <row r="374" spans="1:14" x14ac:dyDescent="0.3">
      <c r="A374">
        <v>373</v>
      </c>
      <c r="B374" s="4">
        <v>40560</v>
      </c>
      <c r="C374" s="5">
        <v>0</v>
      </c>
      <c r="D374" t="s">
        <v>8</v>
      </c>
      <c r="E374" t="s">
        <v>10</v>
      </c>
      <c r="F374" t="s">
        <v>13</v>
      </c>
      <c r="G374" t="s">
        <v>19</v>
      </c>
      <c r="H374">
        <v>0.2</v>
      </c>
      <c r="I374" s="3">
        <v>0.19700000000000001</v>
      </c>
      <c r="J374">
        <v>0.47</v>
      </c>
      <c r="K374">
        <v>0.22389999999999999</v>
      </c>
      <c r="L374">
        <v>1</v>
      </c>
      <c r="M374">
        <v>16</v>
      </c>
      <c r="N374">
        <v>17</v>
      </c>
    </row>
    <row r="375" spans="1:14" x14ac:dyDescent="0.3">
      <c r="A375">
        <v>374</v>
      </c>
      <c r="B375" s="4">
        <v>40560</v>
      </c>
      <c r="C375" s="5">
        <v>4.1666666666666741E-2</v>
      </c>
      <c r="D375" t="s">
        <v>8</v>
      </c>
      <c r="E375" t="s">
        <v>10</v>
      </c>
      <c r="F375" t="s">
        <v>13</v>
      </c>
      <c r="G375" t="s">
        <v>19</v>
      </c>
      <c r="H375">
        <v>0.2</v>
      </c>
      <c r="I375" s="3">
        <v>0.19700000000000001</v>
      </c>
      <c r="J375">
        <v>0.44</v>
      </c>
      <c r="K375">
        <v>0.19400000000000001</v>
      </c>
      <c r="L375">
        <v>1</v>
      </c>
      <c r="M375">
        <v>15</v>
      </c>
      <c r="N375">
        <v>16</v>
      </c>
    </row>
    <row r="376" spans="1:14" x14ac:dyDescent="0.3">
      <c r="A376">
        <v>375</v>
      </c>
      <c r="B376" s="4">
        <v>40560</v>
      </c>
      <c r="C376" s="5">
        <v>8.3333333333333259E-2</v>
      </c>
      <c r="D376" t="s">
        <v>8</v>
      </c>
      <c r="E376" t="s">
        <v>10</v>
      </c>
      <c r="F376" t="s">
        <v>13</v>
      </c>
      <c r="G376" t="s">
        <v>19</v>
      </c>
      <c r="H376">
        <v>0.18</v>
      </c>
      <c r="I376" s="3">
        <v>0.16669999999999999</v>
      </c>
      <c r="J376">
        <v>0.43</v>
      </c>
      <c r="K376">
        <v>0.25369999999999998</v>
      </c>
      <c r="L376">
        <v>0</v>
      </c>
      <c r="M376">
        <v>8</v>
      </c>
      <c r="N376">
        <v>8</v>
      </c>
    </row>
    <row r="377" spans="1:14" x14ac:dyDescent="0.3">
      <c r="A377">
        <v>376</v>
      </c>
      <c r="B377" s="4">
        <v>40560</v>
      </c>
      <c r="C377" s="5">
        <v>0.125</v>
      </c>
      <c r="D377" t="s">
        <v>8</v>
      </c>
      <c r="E377" t="s">
        <v>10</v>
      </c>
      <c r="F377" t="s">
        <v>13</v>
      </c>
      <c r="G377" t="s">
        <v>19</v>
      </c>
      <c r="H377">
        <v>0.18</v>
      </c>
      <c r="I377" s="3">
        <v>0.18179999999999999</v>
      </c>
      <c r="J377">
        <v>0.43</v>
      </c>
      <c r="K377">
        <v>0.19400000000000001</v>
      </c>
      <c r="L377">
        <v>0</v>
      </c>
      <c r="M377">
        <v>2</v>
      </c>
      <c r="N377">
        <v>2</v>
      </c>
    </row>
    <row r="378" spans="1:14" x14ac:dyDescent="0.3">
      <c r="A378">
        <v>377</v>
      </c>
      <c r="B378" s="4">
        <v>40560</v>
      </c>
      <c r="C378" s="5">
        <v>0.16666666666666674</v>
      </c>
      <c r="D378" t="s">
        <v>8</v>
      </c>
      <c r="E378" t="s">
        <v>10</v>
      </c>
      <c r="F378" t="s">
        <v>13</v>
      </c>
      <c r="G378" t="s">
        <v>19</v>
      </c>
      <c r="H378">
        <v>0.18</v>
      </c>
      <c r="I378" s="3">
        <v>0.19700000000000001</v>
      </c>
      <c r="J378">
        <v>0.43</v>
      </c>
      <c r="K378">
        <v>0.1343</v>
      </c>
      <c r="L378">
        <v>1</v>
      </c>
      <c r="M378">
        <v>2</v>
      </c>
      <c r="N378">
        <v>3</v>
      </c>
    </row>
    <row r="379" spans="1:14" x14ac:dyDescent="0.3">
      <c r="A379">
        <v>378</v>
      </c>
      <c r="B379" s="4">
        <v>40560</v>
      </c>
      <c r="C379" s="5">
        <v>0.20833333333333326</v>
      </c>
      <c r="D379" t="s">
        <v>8</v>
      </c>
      <c r="E379" t="s">
        <v>10</v>
      </c>
      <c r="F379" t="s">
        <v>13</v>
      </c>
      <c r="G379" t="s">
        <v>19</v>
      </c>
      <c r="H379">
        <v>0.18</v>
      </c>
      <c r="I379" s="3">
        <v>0.19700000000000001</v>
      </c>
      <c r="J379">
        <v>0.43</v>
      </c>
      <c r="K379">
        <v>0.16420000000000001</v>
      </c>
      <c r="L379">
        <v>0</v>
      </c>
      <c r="M379">
        <v>1</v>
      </c>
      <c r="N379">
        <v>1</v>
      </c>
    </row>
    <row r="380" spans="1:14" x14ac:dyDescent="0.3">
      <c r="A380">
        <v>379</v>
      </c>
      <c r="B380" s="4">
        <v>40560</v>
      </c>
      <c r="C380" s="5">
        <v>0.25</v>
      </c>
      <c r="D380" t="s">
        <v>8</v>
      </c>
      <c r="E380" t="s">
        <v>10</v>
      </c>
      <c r="F380" t="s">
        <v>13</v>
      </c>
      <c r="G380" t="s">
        <v>19</v>
      </c>
      <c r="H380">
        <v>0.18</v>
      </c>
      <c r="I380" s="3">
        <v>0.18179999999999999</v>
      </c>
      <c r="J380">
        <v>0.43</v>
      </c>
      <c r="K380">
        <v>0.19400000000000001</v>
      </c>
      <c r="L380">
        <v>0</v>
      </c>
      <c r="M380">
        <v>5</v>
      </c>
      <c r="N380">
        <v>5</v>
      </c>
    </row>
    <row r="381" spans="1:14" x14ac:dyDescent="0.3">
      <c r="A381">
        <v>380</v>
      </c>
      <c r="B381" s="4">
        <v>40560</v>
      </c>
      <c r="C381" s="5">
        <v>0.29166666666666674</v>
      </c>
      <c r="D381" t="s">
        <v>8</v>
      </c>
      <c r="E381" t="s">
        <v>10</v>
      </c>
      <c r="F381" t="s">
        <v>13</v>
      </c>
      <c r="G381" t="s">
        <v>19</v>
      </c>
      <c r="H381">
        <v>0.16</v>
      </c>
      <c r="I381" s="3">
        <v>0.18179999999999999</v>
      </c>
      <c r="J381">
        <v>0.5</v>
      </c>
      <c r="K381">
        <v>0.1343</v>
      </c>
      <c r="L381">
        <v>4</v>
      </c>
      <c r="M381">
        <v>9</v>
      </c>
      <c r="N381">
        <v>13</v>
      </c>
    </row>
    <row r="382" spans="1:14" x14ac:dyDescent="0.3">
      <c r="A382">
        <v>381</v>
      </c>
      <c r="B382" s="4">
        <v>40560</v>
      </c>
      <c r="C382" s="5">
        <v>0.33333333333333326</v>
      </c>
      <c r="D382" t="s">
        <v>8</v>
      </c>
      <c r="E382" t="s">
        <v>10</v>
      </c>
      <c r="F382" t="s">
        <v>13</v>
      </c>
      <c r="G382" t="s">
        <v>19</v>
      </c>
      <c r="H382">
        <v>0.16</v>
      </c>
      <c r="I382" s="3">
        <v>0.1515</v>
      </c>
      <c r="J382">
        <v>0.47</v>
      </c>
      <c r="K382">
        <v>0.22389999999999999</v>
      </c>
      <c r="L382">
        <v>3</v>
      </c>
      <c r="M382">
        <v>30</v>
      </c>
      <c r="N382">
        <v>33</v>
      </c>
    </row>
    <row r="383" spans="1:14" x14ac:dyDescent="0.3">
      <c r="A383">
        <v>382</v>
      </c>
      <c r="B383" s="4">
        <v>40560</v>
      </c>
      <c r="C383" s="5">
        <v>0.375</v>
      </c>
      <c r="D383" t="s">
        <v>8</v>
      </c>
      <c r="E383" t="s">
        <v>10</v>
      </c>
      <c r="F383" t="s">
        <v>13</v>
      </c>
      <c r="G383" t="s">
        <v>19</v>
      </c>
      <c r="H383">
        <v>0.16</v>
      </c>
      <c r="I383" s="3">
        <v>0.1515</v>
      </c>
      <c r="J383">
        <v>0.47</v>
      </c>
      <c r="K383">
        <v>0.22389999999999999</v>
      </c>
      <c r="L383">
        <v>8</v>
      </c>
      <c r="M383">
        <v>39</v>
      </c>
      <c r="N383">
        <v>47</v>
      </c>
    </row>
    <row r="384" spans="1:14" x14ac:dyDescent="0.3">
      <c r="A384">
        <v>383</v>
      </c>
      <c r="B384" s="4">
        <v>40560</v>
      </c>
      <c r="C384" s="5">
        <v>0.41666666666666674</v>
      </c>
      <c r="D384" t="s">
        <v>8</v>
      </c>
      <c r="E384" t="s">
        <v>10</v>
      </c>
      <c r="F384" t="s">
        <v>13</v>
      </c>
      <c r="G384" t="s">
        <v>19</v>
      </c>
      <c r="H384">
        <v>0.16</v>
      </c>
      <c r="I384" s="3">
        <v>0.1515</v>
      </c>
      <c r="J384">
        <v>0.5</v>
      </c>
      <c r="K384">
        <v>0.25369999999999998</v>
      </c>
      <c r="L384">
        <v>7</v>
      </c>
      <c r="M384">
        <v>50</v>
      </c>
      <c r="N384">
        <v>57</v>
      </c>
    </row>
    <row r="385" spans="1:14" x14ac:dyDescent="0.3">
      <c r="A385">
        <v>384</v>
      </c>
      <c r="B385" s="4">
        <v>40560</v>
      </c>
      <c r="C385" s="5">
        <v>0.45833333333333326</v>
      </c>
      <c r="D385" t="s">
        <v>8</v>
      </c>
      <c r="E385" t="s">
        <v>10</v>
      </c>
      <c r="F385" t="s">
        <v>13</v>
      </c>
      <c r="G385" t="s">
        <v>19</v>
      </c>
      <c r="H385">
        <v>0.16</v>
      </c>
      <c r="I385" s="3">
        <v>0.1515</v>
      </c>
      <c r="J385">
        <v>0.55000000000000004</v>
      </c>
      <c r="K385">
        <v>0.19400000000000001</v>
      </c>
      <c r="L385">
        <v>9</v>
      </c>
      <c r="M385">
        <v>55</v>
      </c>
      <c r="N385">
        <v>64</v>
      </c>
    </row>
    <row r="386" spans="1:14" x14ac:dyDescent="0.3">
      <c r="A386">
        <v>385</v>
      </c>
      <c r="B386" s="4">
        <v>40560</v>
      </c>
      <c r="C386" s="5">
        <v>0.5</v>
      </c>
      <c r="D386" t="s">
        <v>8</v>
      </c>
      <c r="E386" t="s">
        <v>10</v>
      </c>
      <c r="F386" t="s">
        <v>13</v>
      </c>
      <c r="G386" t="s">
        <v>19</v>
      </c>
      <c r="H386">
        <v>0.18</v>
      </c>
      <c r="I386" s="3">
        <v>0.19700000000000001</v>
      </c>
      <c r="J386">
        <v>0.47</v>
      </c>
      <c r="K386">
        <v>0.1343</v>
      </c>
      <c r="L386">
        <v>10</v>
      </c>
      <c r="M386">
        <v>70</v>
      </c>
      <c r="N386">
        <v>80</v>
      </c>
    </row>
    <row r="387" spans="1:14" x14ac:dyDescent="0.3">
      <c r="A387">
        <v>386</v>
      </c>
      <c r="B387" s="4">
        <v>40560</v>
      </c>
      <c r="C387" s="5">
        <v>0.54166666666666674</v>
      </c>
      <c r="D387" t="s">
        <v>8</v>
      </c>
      <c r="E387" t="s">
        <v>10</v>
      </c>
      <c r="F387" t="s">
        <v>13</v>
      </c>
      <c r="G387" t="s">
        <v>19</v>
      </c>
      <c r="H387">
        <v>0.18</v>
      </c>
      <c r="I387" s="3">
        <v>0.19700000000000001</v>
      </c>
      <c r="J387">
        <v>0.47</v>
      </c>
      <c r="K387">
        <v>0.1343</v>
      </c>
      <c r="L387">
        <v>13</v>
      </c>
      <c r="M387">
        <v>80</v>
      </c>
      <c r="N387">
        <v>93</v>
      </c>
    </row>
    <row r="388" spans="1:14" x14ac:dyDescent="0.3">
      <c r="A388">
        <v>387</v>
      </c>
      <c r="B388" s="4">
        <v>40560</v>
      </c>
      <c r="C388" s="5">
        <v>0.58333333333333326</v>
      </c>
      <c r="D388" t="s">
        <v>8</v>
      </c>
      <c r="E388" t="s">
        <v>10</v>
      </c>
      <c r="F388" t="s">
        <v>13</v>
      </c>
      <c r="G388" t="s">
        <v>19</v>
      </c>
      <c r="H388">
        <v>0.18</v>
      </c>
      <c r="I388" s="3">
        <v>0.21210000000000001</v>
      </c>
      <c r="J388">
        <v>0.43</v>
      </c>
      <c r="K388">
        <v>0.1045</v>
      </c>
      <c r="L388">
        <v>12</v>
      </c>
      <c r="M388">
        <v>74</v>
      </c>
      <c r="N388">
        <v>86</v>
      </c>
    </row>
    <row r="389" spans="1:14" x14ac:dyDescent="0.3">
      <c r="A389">
        <v>388</v>
      </c>
      <c r="B389" s="4">
        <v>40560</v>
      </c>
      <c r="C389" s="5">
        <v>0.625</v>
      </c>
      <c r="D389" t="s">
        <v>8</v>
      </c>
      <c r="E389" t="s">
        <v>10</v>
      </c>
      <c r="F389" t="s">
        <v>13</v>
      </c>
      <c r="G389" t="s">
        <v>19</v>
      </c>
      <c r="H389">
        <v>0.2</v>
      </c>
      <c r="I389" s="3">
        <v>0.21210000000000001</v>
      </c>
      <c r="J389">
        <v>0.47</v>
      </c>
      <c r="K389">
        <v>0.16420000000000001</v>
      </c>
      <c r="L389">
        <v>21</v>
      </c>
      <c r="M389">
        <v>72</v>
      </c>
      <c r="N389">
        <v>93</v>
      </c>
    </row>
    <row r="390" spans="1:14" x14ac:dyDescent="0.3">
      <c r="A390">
        <v>389</v>
      </c>
      <c r="B390" s="4">
        <v>40560</v>
      </c>
      <c r="C390" s="5">
        <v>0.66666666666666674</v>
      </c>
      <c r="D390" t="s">
        <v>8</v>
      </c>
      <c r="E390" t="s">
        <v>10</v>
      </c>
      <c r="F390" t="s">
        <v>13</v>
      </c>
      <c r="G390" t="s">
        <v>19</v>
      </c>
      <c r="H390">
        <v>0.2</v>
      </c>
      <c r="I390" s="3">
        <v>0.21210000000000001</v>
      </c>
      <c r="J390">
        <v>0.47</v>
      </c>
      <c r="K390">
        <v>0.16420000000000001</v>
      </c>
      <c r="L390">
        <v>6</v>
      </c>
      <c r="M390">
        <v>76</v>
      </c>
      <c r="N390">
        <v>82</v>
      </c>
    </row>
    <row r="391" spans="1:14" x14ac:dyDescent="0.3">
      <c r="A391">
        <v>390</v>
      </c>
      <c r="B391" s="4">
        <v>40560</v>
      </c>
      <c r="C391" s="5">
        <v>0.70833333333333326</v>
      </c>
      <c r="D391" t="s">
        <v>8</v>
      </c>
      <c r="E391" t="s">
        <v>10</v>
      </c>
      <c r="F391" t="s">
        <v>13</v>
      </c>
      <c r="G391" t="s">
        <v>18</v>
      </c>
      <c r="H391">
        <v>0.2</v>
      </c>
      <c r="I391" s="3">
        <v>0.19700000000000001</v>
      </c>
      <c r="J391">
        <v>0.51</v>
      </c>
      <c r="K391">
        <v>0.19400000000000001</v>
      </c>
      <c r="L391">
        <v>4</v>
      </c>
      <c r="M391">
        <v>67</v>
      </c>
      <c r="N391">
        <v>71</v>
      </c>
    </row>
    <row r="392" spans="1:14" x14ac:dyDescent="0.3">
      <c r="A392">
        <v>391</v>
      </c>
      <c r="B392" s="4">
        <v>40560</v>
      </c>
      <c r="C392" s="5">
        <v>0.75</v>
      </c>
      <c r="D392" t="s">
        <v>8</v>
      </c>
      <c r="E392" t="s">
        <v>10</v>
      </c>
      <c r="F392" t="s">
        <v>13</v>
      </c>
      <c r="G392" t="s">
        <v>19</v>
      </c>
      <c r="H392">
        <v>0.18</v>
      </c>
      <c r="I392" s="3">
        <v>0.16669999999999999</v>
      </c>
      <c r="J392">
        <v>0.55000000000000004</v>
      </c>
      <c r="K392">
        <v>0.25369999999999998</v>
      </c>
      <c r="L392">
        <v>7</v>
      </c>
      <c r="M392">
        <v>85</v>
      </c>
      <c r="N392">
        <v>92</v>
      </c>
    </row>
    <row r="393" spans="1:14" x14ac:dyDescent="0.3">
      <c r="A393">
        <v>392</v>
      </c>
      <c r="B393" s="4">
        <v>40560</v>
      </c>
      <c r="C393" s="5">
        <v>0.79166666666666674</v>
      </c>
      <c r="D393" t="s">
        <v>8</v>
      </c>
      <c r="E393" t="s">
        <v>10</v>
      </c>
      <c r="F393" t="s">
        <v>13</v>
      </c>
      <c r="G393" t="s">
        <v>20</v>
      </c>
      <c r="H393">
        <v>0.18</v>
      </c>
      <c r="I393" s="3">
        <v>0.18179999999999999</v>
      </c>
      <c r="J393">
        <v>0.59</v>
      </c>
      <c r="K393">
        <v>0.19400000000000001</v>
      </c>
      <c r="L393">
        <v>2</v>
      </c>
      <c r="M393">
        <v>58</v>
      </c>
      <c r="N393">
        <v>60</v>
      </c>
    </row>
    <row r="394" spans="1:14" x14ac:dyDescent="0.3">
      <c r="A394">
        <v>393</v>
      </c>
      <c r="B394" s="4">
        <v>40560</v>
      </c>
      <c r="C394" s="5">
        <v>0.83333333333333326</v>
      </c>
      <c r="D394" t="s">
        <v>8</v>
      </c>
      <c r="E394" t="s">
        <v>10</v>
      </c>
      <c r="F394" t="s">
        <v>13</v>
      </c>
      <c r="G394" t="s">
        <v>20</v>
      </c>
      <c r="H394">
        <v>0.16</v>
      </c>
      <c r="I394" s="3">
        <v>0.1515</v>
      </c>
      <c r="J394">
        <v>0.8</v>
      </c>
      <c r="K394">
        <v>0.19400000000000001</v>
      </c>
      <c r="L394">
        <v>4</v>
      </c>
      <c r="M394">
        <v>29</v>
      </c>
      <c r="N394">
        <v>33</v>
      </c>
    </row>
    <row r="395" spans="1:14" x14ac:dyDescent="0.3">
      <c r="A395">
        <v>394</v>
      </c>
      <c r="B395" s="4">
        <v>40560</v>
      </c>
      <c r="C395" s="5">
        <v>0.875</v>
      </c>
      <c r="D395" t="s">
        <v>8</v>
      </c>
      <c r="E395" t="s">
        <v>10</v>
      </c>
      <c r="F395" t="s">
        <v>13</v>
      </c>
      <c r="G395" t="s">
        <v>20</v>
      </c>
      <c r="H395">
        <v>0.16</v>
      </c>
      <c r="I395" s="3">
        <v>0.1515</v>
      </c>
      <c r="J395">
        <v>0.8</v>
      </c>
      <c r="K395">
        <v>0.19400000000000001</v>
      </c>
      <c r="L395">
        <v>3</v>
      </c>
      <c r="M395">
        <v>24</v>
      </c>
      <c r="N395">
        <v>27</v>
      </c>
    </row>
    <row r="396" spans="1:14" x14ac:dyDescent="0.3">
      <c r="A396">
        <v>395</v>
      </c>
      <c r="B396" s="4">
        <v>40560</v>
      </c>
      <c r="C396" s="5">
        <v>0.91666666666666674</v>
      </c>
      <c r="D396" t="s">
        <v>8</v>
      </c>
      <c r="E396" t="s">
        <v>10</v>
      </c>
      <c r="F396" t="s">
        <v>13</v>
      </c>
      <c r="G396" t="s">
        <v>20</v>
      </c>
      <c r="H396">
        <v>0.14000000000000001</v>
      </c>
      <c r="I396" s="3">
        <v>0.1212</v>
      </c>
      <c r="J396">
        <v>0.93</v>
      </c>
      <c r="K396">
        <v>0.25369999999999998</v>
      </c>
      <c r="L396">
        <v>0</v>
      </c>
      <c r="M396">
        <v>13</v>
      </c>
      <c r="N396">
        <v>13</v>
      </c>
    </row>
    <row r="397" spans="1:14" x14ac:dyDescent="0.3">
      <c r="A397">
        <v>396</v>
      </c>
      <c r="B397" s="4">
        <v>40560</v>
      </c>
      <c r="C397" s="5">
        <v>0.95833333333333326</v>
      </c>
      <c r="D397" t="s">
        <v>8</v>
      </c>
      <c r="E397" t="s">
        <v>10</v>
      </c>
      <c r="F397" t="s">
        <v>13</v>
      </c>
      <c r="G397" t="s">
        <v>20</v>
      </c>
      <c r="H397">
        <v>0.16</v>
      </c>
      <c r="I397" s="3">
        <v>0.13639999999999999</v>
      </c>
      <c r="J397">
        <v>0.86</v>
      </c>
      <c r="K397">
        <v>0.28360000000000002</v>
      </c>
      <c r="L397">
        <v>1</v>
      </c>
      <c r="M397">
        <v>3</v>
      </c>
      <c r="N397">
        <v>4</v>
      </c>
    </row>
    <row r="398" spans="1:14" x14ac:dyDescent="0.3">
      <c r="A398">
        <v>397</v>
      </c>
      <c r="B398" s="4">
        <v>40561</v>
      </c>
      <c r="C398" s="5">
        <v>0.5</v>
      </c>
      <c r="D398" t="s">
        <v>8</v>
      </c>
      <c r="E398" t="s">
        <v>9</v>
      </c>
      <c r="F398" t="s">
        <v>14</v>
      </c>
      <c r="G398" t="s">
        <v>19</v>
      </c>
      <c r="H398">
        <v>0.2</v>
      </c>
      <c r="I398" s="3">
        <v>0.18179999999999999</v>
      </c>
      <c r="J398">
        <v>0.86</v>
      </c>
      <c r="K398">
        <v>0.32840000000000003</v>
      </c>
      <c r="L398">
        <v>0</v>
      </c>
      <c r="M398">
        <v>3</v>
      </c>
      <c r="N398">
        <v>3</v>
      </c>
    </row>
    <row r="399" spans="1:14" x14ac:dyDescent="0.3">
      <c r="A399">
        <v>398</v>
      </c>
      <c r="B399" s="4">
        <v>40561</v>
      </c>
      <c r="C399" s="5">
        <v>0.54166666666666674</v>
      </c>
      <c r="D399" t="s">
        <v>8</v>
      </c>
      <c r="E399" t="s">
        <v>9</v>
      </c>
      <c r="F399" t="s">
        <v>14</v>
      </c>
      <c r="G399" t="s">
        <v>19</v>
      </c>
      <c r="H399">
        <v>0.2</v>
      </c>
      <c r="I399" s="3">
        <v>0.19700000000000001</v>
      </c>
      <c r="J399">
        <v>0.86</v>
      </c>
      <c r="K399">
        <v>0.22389999999999999</v>
      </c>
      <c r="L399">
        <v>0</v>
      </c>
      <c r="M399">
        <v>22</v>
      </c>
      <c r="N399">
        <v>22</v>
      </c>
    </row>
    <row r="400" spans="1:14" x14ac:dyDescent="0.3">
      <c r="A400">
        <v>399</v>
      </c>
      <c r="B400" s="4">
        <v>40561</v>
      </c>
      <c r="C400" s="5">
        <v>0.58333333333333326</v>
      </c>
      <c r="D400" t="s">
        <v>8</v>
      </c>
      <c r="E400" t="s">
        <v>9</v>
      </c>
      <c r="F400" t="s">
        <v>14</v>
      </c>
      <c r="G400" t="s">
        <v>19</v>
      </c>
      <c r="H400">
        <v>0.22</v>
      </c>
      <c r="I400" s="3">
        <v>0.2273</v>
      </c>
      <c r="J400">
        <v>0.8</v>
      </c>
      <c r="K400">
        <v>0.16420000000000001</v>
      </c>
      <c r="L400">
        <v>2</v>
      </c>
      <c r="M400">
        <v>26</v>
      </c>
      <c r="N400">
        <v>28</v>
      </c>
    </row>
    <row r="401" spans="1:14" x14ac:dyDescent="0.3">
      <c r="A401">
        <v>400</v>
      </c>
      <c r="B401" s="4">
        <v>40561</v>
      </c>
      <c r="C401" s="5">
        <v>0.625</v>
      </c>
      <c r="D401" t="s">
        <v>8</v>
      </c>
      <c r="E401" t="s">
        <v>9</v>
      </c>
      <c r="F401" t="s">
        <v>14</v>
      </c>
      <c r="G401" t="s">
        <v>19</v>
      </c>
      <c r="H401">
        <v>0.22</v>
      </c>
      <c r="I401" s="3">
        <v>0.2273</v>
      </c>
      <c r="J401">
        <v>0.87</v>
      </c>
      <c r="K401">
        <v>0.16420000000000001</v>
      </c>
      <c r="L401">
        <v>3</v>
      </c>
      <c r="M401">
        <v>32</v>
      </c>
      <c r="N401">
        <v>35</v>
      </c>
    </row>
    <row r="402" spans="1:14" x14ac:dyDescent="0.3">
      <c r="A402">
        <v>401</v>
      </c>
      <c r="B402" s="4">
        <v>40561</v>
      </c>
      <c r="C402" s="5">
        <v>0.66666666666666674</v>
      </c>
      <c r="D402" t="s">
        <v>8</v>
      </c>
      <c r="E402" t="s">
        <v>9</v>
      </c>
      <c r="F402" t="s">
        <v>14</v>
      </c>
      <c r="G402" t="s">
        <v>19</v>
      </c>
      <c r="H402">
        <v>0.22</v>
      </c>
      <c r="I402" s="3">
        <v>0.2273</v>
      </c>
      <c r="J402">
        <v>0.87</v>
      </c>
      <c r="K402">
        <v>0.19400000000000001</v>
      </c>
      <c r="L402">
        <v>0</v>
      </c>
      <c r="M402">
        <v>61</v>
      </c>
      <c r="N402">
        <v>61</v>
      </c>
    </row>
    <row r="403" spans="1:14" x14ac:dyDescent="0.3">
      <c r="A403">
        <v>402</v>
      </c>
      <c r="B403" s="4">
        <v>40561</v>
      </c>
      <c r="C403" s="5">
        <v>0.70833333333333326</v>
      </c>
      <c r="D403" t="s">
        <v>8</v>
      </c>
      <c r="E403" t="s">
        <v>9</v>
      </c>
      <c r="F403" t="s">
        <v>14</v>
      </c>
      <c r="G403" t="s">
        <v>19</v>
      </c>
      <c r="H403">
        <v>0.22</v>
      </c>
      <c r="I403" s="3">
        <v>0.2273</v>
      </c>
      <c r="J403">
        <v>0.82</v>
      </c>
      <c r="K403">
        <v>0.19400000000000001</v>
      </c>
      <c r="L403">
        <v>1</v>
      </c>
      <c r="M403">
        <v>124</v>
      </c>
      <c r="N403">
        <v>125</v>
      </c>
    </row>
    <row r="404" spans="1:14" x14ac:dyDescent="0.3">
      <c r="A404">
        <v>403</v>
      </c>
      <c r="B404" s="4">
        <v>40561</v>
      </c>
      <c r="C404" s="5">
        <v>0.75</v>
      </c>
      <c r="D404" t="s">
        <v>8</v>
      </c>
      <c r="E404" t="s">
        <v>9</v>
      </c>
      <c r="F404" t="s">
        <v>14</v>
      </c>
      <c r="G404" t="s">
        <v>19</v>
      </c>
      <c r="H404">
        <v>0.22</v>
      </c>
      <c r="I404" s="3">
        <v>0.2273</v>
      </c>
      <c r="J404">
        <v>0.8</v>
      </c>
      <c r="K404">
        <v>0.16420000000000001</v>
      </c>
      <c r="L404">
        <v>1</v>
      </c>
      <c r="M404">
        <v>132</v>
      </c>
      <c r="N404">
        <v>133</v>
      </c>
    </row>
    <row r="405" spans="1:14" x14ac:dyDescent="0.3">
      <c r="A405">
        <v>404</v>
      </c>
      <c r="B405" s="4">
        <v>40561</v>
      </c>
      <c r="C405" s="5">
        <v>0.79166666666666674</v>
      </c>
      <c r="D405" t="s">
        <v>8</v>
      </c>
      <c r="E405" t="s">
        <v>9</v>
      </c>
      <c r="F405" t="s">
        <v>14</v>
      </c>
      <c r="G405" t="s">
        <v>19</v>
      </c>
      <c r="H405">
        <v>0.22</v>
      </c>
      <c r="I405" s="3">
        <v>0.2273</v>
      </c>
      <c r="J405">
        <v>0.8</v>
      </c>
      <c r="K405">
        <v>0.1343</v>
      </c>
      <c r="L405">
        <v>1</v>
      </c>
      <c r="M405">
        <v>98</v>
      </c>
      <c r="N405">
        <v>99</v>
      </c>
    </row>
    <row r="406" spans="1:14" x14ac:dyDescent="0.3">
      <c r="A406">
        <v>405</v>
      </c>
      <c r="B406" s="4">
        <v>40561</v>
      </c>
      <c r="C406" s="5">
        <v>0.83333333333333326</v>
      </c>
      <c r="D406" t="s">
        <v>8</v>
      </c>
      <c r="E406" t="s">
        <v>9</v>
      </c>
      <c r="F406" t="s">
        <v>14</v>
      </c>
      <c r="G406" t="s">
        <v>19</v>
      </c>
      <c r="H406">
        <v>0.22</v>
      </c>
      <c r="I406" s="3">
        <v>0.2727</v>
      </c>
      <c r="J406">
        <v>0.87</v>
      </c>
      <c r="K406">
        <v>0</v>
      </c>
      <c r="L406">
        <v>0</v>
      </c>
      <c r="M406">
        <v>83</v>
      </c>
      <c r="N406">
        <v>83</v>
      </c>
    </row>
    <row r="407" spans="1:14" x14ac:dyDescent="0.3">
      <c r="A407">
        <v>406</v>
      </c>
      <c r="B407" s="4">
        <v>40561</v>
      </c>
      <c r="C407" s="5">
        <v>0.875</v>
      </c>
      <c r="D407" t="s">
        <v>8</v>
      </c>
      <c r="E407" t="s">
        <v>9</v>
      </c>
      <c r="F407" t="s">
        <v>14</v>
      </c>
      <c r="G407" t="s">
        <v>19</v>
      </c>
      <c r="H407">
        <v>0.22</v>
      </c>
      <c r="I407" s="3">
        <v>0.2424</v>
      </c>
      <c r="J407">
        <v>0.93</v>
      </c>
      <c r="K407">
        <v>0.1045</v>
      </c>
      <c r="L407">
        <v>0</v>
      </c>
      <c r="M407">
        <v>41</v>
      </c>
      <c r="N407">
        <v>41</v>
      </c>
    </row>
    <row r="408" spans="1:14" x14ac:dyDescent="0.3">
      <c r="A408">
        <v>407</v>
      </c>
      <c r="B408" s="4">
        <v>40561</v>
      </c>
      <c r="C408" s="5">
        <v>0.91666666666666674</v>
      </c>
      <c r="D408" t="s">
        <v>8</v>
      </c>
      <c r="E408" t="s">
        <v>9</v>
      </c>
      <c r="F408" t="s">
        <v>14</v>
      </c>
      <c r="G408" t="s">
        <v>19</v>
      </c>
      <c r="H408">
        <v>0.22</v>
      </c>
      <c r="I408" s="3">
        <v>0.2576</v>
      </c>
      <c r="J408">
        <v>0.93</v>
      </c>
      <c r="K408">
        <v>8.9599999999999999E-2</v>
      </c>
      <c r="L408">
        <v>0</v>
      </c>
      <c r="M408">
        <v>33</v>
      </c>
      <c r="N408">
        <v>33</v>
      </c>
    </row>
    <row r="409" spans="1:14" x14ac:dyDescent="0.3">
      <c r="A409">
        <v>408</v>
      </c>
      <c r="B409" s="4">
        <v>40561</v>
      </c>
      <c r="C409" s="5">
        <v>0.95833333333333326</v>
      </c>
      <c r="D409" t="s">
        <v>8</v>
      </c>
      <c r="E409" t="s">
        <v>9</v>
      </c>
      <c r="F409" t="s">
        <v>14</v>
      </c>
      <c r="G409" t="s">
        <v>19</v>
      </c>
      <c r="H409">
        <v>0.22</v>
      </c>
      <c r="I409" s="3">
        <v>0.2727</v>
      </c>
      <c r="J409">
        <v>0.93</v>
      </c>
      <c r="K409">
        <v>0</v>
      </c>
      <c r="L409">
        <v>1</v>
      </c>
      <c r="M409">
        <v>19</v>
      </c>
      <c r="N409">
        <v>20</v>
      </c>
    </row>
    <row r="410" spans="1:14" x14ac:dyDescent="0.3">
      <c r="A410">
        <v>409</v>
      </c>
      <c r="B410" s="4">
        <v>40562</v>
      </c>
      <c r="C410" s="5">
        <v>0</v>
      </c>
      <c r="D410" t="s">
        <v>8</v>
      </c>
      <c r="E410" t="s">
        <v>9</v>
      </c>
      <c r="F410" t="s">
        <v>15</v>
      </c>
      <c r="G410" t="s">
        <v>19</v>
      </c>
      <c r="H410">
        <v>0.22</v>
      </c>
      <c r="I410" s="3">
        <v>0.2727</v>
      </c>
      <c r="J410">
        <v>0.93</v>
      </c>
      <c r="K410">
        <v>0</v>
      </c>
      <c r="L410">
        <v>0</v>
      </c>
      <c r="M410">
        <v>3</v>
      </c>
      <c r="N410">
        <v>3</v>
      </c>
    </row>
    <row r="411" spans="1:14" x14ac:dyDescent="0.3">
      <c r="A411">
        <v>410</v>
      </c>
      <c r="B411" s="4">
        <v>40562</v>
      </c>
      <c r="C411" s="5">
        <v>4.1666666666666741E-2</v>
      </c>
      <c r="D411" t="s">
        <v>8</v>
      </c>
      <c r="E411" t="s">
        <v>9</v>
      </c>
      <c r="F411" t="s">
        <v>15</v>
      </c>
      <c r="G411" t="s">
        <v>20</v>
      </c>
      <c r="H411">
        <v>0.22</v>
      </c>
      <c r="I411" s="3">
        <v>0.2273</v>
      </c>
      <c r="J411">
        <v>0.93</v>
      </c>
      <c r="K411">
        <v>0.1343</v>
      </c>
      <c r="L411">
        <v>1</v>
      </c>
      <c r="M411">
        <v>6</v>
      </c>
      <c r="N411">
        <v>7</v>
      </c>
    </row>
    <row r="412" spans="1:14" x14ac:dyDescent="0.3">
      <c r="A412">
        <v>411</v>
      </c>
      <c r="B412" s="4">
        <v>40562</v>
      </c>
      <c r="C412" s="5">
        <v>8.3333333333333259E-2</v>
      </c>
      <c r="D412" t="s">
        <v>8</v>
      </c>
      <c r="E412" t="s">
        <v>9</v>
      </c>
      <c r="F412" t="s">
        <v>15</v>
      </c>
      <c r="G412" t="s">
        <v>20</v>
      </c>
      <c r="H412">
        <v>0.22</v>
      </c>
      <c r="I412" s="3">
        <v>0.2273</v>
      </c>
      <c r="J412">
        <v>0.93</v>
      </c>
      <c r="K412">
        <v>0.1343</v>
      </c>
      <c r="L412">
        <v>0</v>
      </c>
      <c r="M412">
        <v>3</v>
      </c>
      <c r="N412">
        <v>3</v>
      </c>
    </row>
    <row r="413" spans="1:14" x14ac:dyDescent="0.3">
      <c r="A413">
        <v>412</v>
      </c>
      <c r="B413" s="4">
        <v>40562</v>
      </c>
      <c r="C413" s="5">
        <v>0.16666666666666674</v>
      </c>
      <c r="D413" t="s">
        <v>8</v>
      </c>
      <c r="E413" t="s">
        <v>9</v>
      </c>
      <c r="F413" t="s">
        <v>15</v>
      </c>
      <c r="G413" t="s">
        <v>20</v>
      </c>
      <c r="H413">
        <v>0.22</v>
      </c>
      <c r="I413" s="3">
        <v>0.2273</v>
      </c>
      <c r="J413">
        <v>0.93</v>
      </c>
      <c r="K413">
        <v>0.1343</v>
      </c>
      <c r="L413">
        <v>1</v>
      </c>
      <c r="M413">
        <v>1</v>
      </c>
      <c r="N413">
        <v>2</v>
      </c>
    </row>
    <row r="414" spans="1:14" x14ac:dyDescent="0.3">
      <c r="A414">
        <v>413</v>
      </c>
      <c r="B414" s="4">
        <v>40562</v>
      </c>
      <c r="C414" s="5">
        <v>0.20833333333333326</v>
      </c>
      <c r="D414" t="s">
        <v>8</v>
      </c>
      <c r="E414" t="s">
        <v>9</v>
      </c>
      <c r="F414" t="s">
        <v>15</v>
      </c>
      <c r="G414" t="s">
        <v>19</v>
      </c>
      <c r="H414">
        <v>0.22</v>
      </c>
      <c r="I414" s="3">
        <v>0.2576</v>
      </c>
      <c r="J414">
        <v>0.93</v>
      </c>
      <c r="K414">
        <v>8.9599999999999999E-2</v>
      </c>
      <c r="L414">
        <v>0</v>
      </c>
      <c r="M414">
        <v>7</v>
      </c>
      <c r="N414">
        <v>7</v>
      </c>
    </row>
    <row r="415" spans="1:14" x14ac:dyDescent="0.3">
      <c r="A415">
        <v>414</v>
      </c>
      <c r="B415" s="4">
        <v>40562</v>
      </c>
      <c r="C415" s="5">
        <v>0.25</v>
      </c>
      <c r="D415" t="s">
        <v>8</v>
      </c>
      <c r="E415" t="s">
        <v>9</v>
      </c>
      <c r="F415" t="s">
        <v>15</v>
      </c>
      <c r="G415" t="s">
        <v>19</v>
      </c>
      <c r="H415">
        <v>0.22</v>
      </c>
      <c r="I415" s="3">
        <v>0.2576</v>
      </c>
      <c r="J415">
        <v>0.93</v>
      </c>
      <c r="K415">
        <v>8.9599999999999999E-2</v>
      </c>
      <c r="L415">
        <v>0</v>
      </c>
      <c r="M415">
        <v>32</v>
      </c>
      <c r="N415">
        <v>32</v>
      </c>
    </row>
    <row r="416" spans="1:14" x14ac:dyDescent="0.3">
      <c r="A416">
        <v>415</v>
      </c>
      <c r="B416" s="4">
        <v>40562</v>
      </c>
      <c r="C416" s="5">
        <v>0.29166666666666674</v>
      </c>
      <c r="D416" t="s">
        <v>8</v>
      </c>
      <c r="E416" t="s">
        <v>9</v>
      </c>
      <c r="F416" t="s">
        <v>15</v>
      </c>
      <c r="G416" t="s">
        <v>19</v>
      </c>
      <c r="H416">
        <v>0.24</v>
      </c>
      <c r="I416" s="3">
        <v>0.2576</v>
      </c>
      <c r="J416">
        <v>0.92</v>
      </c>
      <c r="K416">
        <v>0.1045</v>
      </c>
      <c r="L416">
        <v>1</v>
      </c>
      <c r="M416">
        <v>89</v>
      </c>
      <c r="N416">
        <v>90</v>
      </c>
    </row>
    <row r="417" spans="1:14" x14ac:dyDescent="0.3">
      <c r="A417">
        <v>416</v>
      </c>
      <c r="B417" s="4">
        <v>40562</v>
      </c>
      <c r="C417" s="5">
        <v>0.33333333333333326</v>
      </c>
      <c r="D417" t="s">
        <v>8</v>
      </c>
      <c r="E417" t="s">
        <v>9</v>
      </c>
      <c r="F417" t="s">
        <v>15</v>
      </c>
      <c r="G417" t="s">
        <v>19</v>
      </c>
      <c r="H417">
        <v>0.24</v>
      </c>
      <c r="I417" s="3">
        <v>0.2576</v>
      </c>
      <c r="J417">
        <v>0.93</v>
      </c>
      <c r="K417">
        <v>0.1045</v>
      </c>
      <c r="L417">
        <v>1</v>
      </c>
      <c r="M417">
        <v>196</v>
      </c>
      <c r="N417">
        <v>197</v>
      </c>
    </row>
    <row r="418" spans="1:14" x14ac:dyDescent="0.3">
      <c r="A418">
        <v>417</v>
      </c>
      <c r="B418" s="4">
        <v>40562</v>
      </c>
      <c r="C418" s="5">
        <v>0.375</v>
      </c>
      <c r="D418" t="s">
        <v>8</v>
      </c>
      <c r="E418" t="s">
        <v>9</v>
      </c>
      <c r="F418" t="s">
        <v>15</v>
      </c>
      <c r="G418" t="s">
        <v>19</v>
      </c>
      <c r="H418">
        <v>0.24</v>
      </c>
      <c r="I418" s="3">
        <v>0.2576</v>
      </c>
      <c r="J418">
        <v>0.93</v>
      </c>
      <c r="K418">
        <v>0.1045</v>
      </c>
      <c r="L418">
        <v>2</v>
      </c>
      <c r="M418">
        <v>107</v>
      </c>
      <c r="N418">
        <v>109</v>
      </c>
    </row>
    <row r="419" spans="1:14" x14ac:dyDescent="0.3">
      <c r="A419">
        <v>418</v>
      </c>
      <c r="B419" s="4">
        <v>40562</v>
      </c>
      <c r="C419" s="5">
        <v>0.41666666666666674</v>
      </c>
      <c r="D419" t="s">
        <v>8</v>
      </c>
      <c r="E419" t="s">
        <v>9</v>
      </c>
      <c r="F419" t="s">
        <v>15</v>
      </c>
      <c r="G419" t="s">
        <v>19</v>
      </c>
      <c r="H419">
        <v>0.26</v>
      </c>
      <c r="I419" s="3">
        <v>0.2727</v>
      </c>
      <c r="J419">
        <v>0.93</v>
      </c>
      <c r="K419">
        <v>0.1343</v>
      </c>
      <c r="L419">
        <v>1</v>
      </c>
      <c r="M419">
        <v>46</v>
      </c>
      <c r="N419">
        <v>47</v>
      </c>
    </row>
    <row r="420" spans="1:14" x14ac:dyDescent="0.3">
      <c r="A420">
        <v>419</v>
      </c>
      <c r="B420" s="4">
        <v>40562</v>
      </c>
      <c r="C420" s="5">
        <v>0.45833333333333326</v>
      </c>
      <c r="D420" t="s">
        <v>8</v>
      </c>
      <c r="E420" t="s">
        <v>9</v>
      </c>
      <c r="F420" t="s">
        <v>15</v>
      </c>
      <c r="G420" t="s">
        <v>19</v>
      </c>
      <c r="H420">
        <v>0.28000000000000003</v>
      </c>
      <c r="I420" s="3">
        <v>0.30299999999999999</v>
      </c>
      <c r="J420">
        <v>0.87</v>
      </c>
      <c r="K420">
        <v>8.9599999999999999E-2</v>
      </c>
      <c r="L420">
        <v>5</v>
      </c>
      <c r="M420">
        <v>47</v>
      </c>
      <c r="N420">
        <v>52</v>
      </c>
    </row>
    <row r="421" spans="1:14" x14ac:dyDescent="0.3">
      <c r="A421">
        <v>420</v>
      </c>
      <c r="B421" s="4">
        <v>40562</v>
      </c>
      <c r="C421" s="5">
        <v>0.5</v>
      </c>
      <c r="D421" t="s">
        <v>8</v>
      </c>
      <c r="E421" t="s">
        <v>9</v>
      </c>
      <c r="F421" t="s">
        <v>15</v>
      </c>
      <c r="G421" t="s">
        <v>19</v>
      </c>
      <c r="H421">
        <v>0.3</v>
      </c>
      <c r="I421" s="3">
        <v>0.31819999999999998</v>
      </c>
      <c r="J421">
        <v>0.81</v>
      </c>
      <c r="K421">
        <v>8.9599999999999999E-2</v>
      </c>
      <c r="L421">
        <v>5</v>
      </c>
      <c r="M421">
        <v>65</v>
      </c>
      <c r="N421">
        <v>70</v>
      </c>
    </row>
    <row r="422" spans="1:14" x14ac:dyDescent="0.3">
      <c r="A422">
        <v>421</v>
      </c>
      <c r="B422" s="4">
        <v>40562</v>
      </c>
      <c r="C422" s="5">
        <v>0.54166666666666674</v>
      </c>
      <c r="D422" t="s">
        <v>8</v>
      </c>
      <c r="E422" t="s">
        <v>9</v>
      </c>
      <c r="F422" t="s">
        <v>15</v>
      </c>
      <c r="G422" t="s">
        <v>18</v>
      </c>
      <c r="H422">
        <v>0.4</v>
      </c>
      <c r="I422" s="3">
        <v>0.40910000000000002</v>
      </c>
      <c r="J422">
        <v>0.62</v>
      </c>
      <c r="K422">
        <v>0.28360000000000002</v>
      </c>
      <c r="L422">
        <v>11</v>
      </c>
      <c r="M422">
        <v>67</v>
      </c>
      <c r="N422">
        <v>78</v>
      </c>
    </row>
    <row r="423" spans="1:14" x14ac:dyDescent="0.3">
      <c r="A423">
        <v>422</v>
      </c>
      <c r="B423" s="4">
        <v>40562</v>
      </c>
      <c r="C423" s="5">
        <v>0.58333333333333326</v>
      </c>
      <c r="D423" t="s">
        <v>8</v>
      </c>
      <c r="E423" t="s">
        <v>9</v>
      </c>
      <c r="F423" t="s">
        <v>15</v>
      </c>
      <c r="G423" t="s">
        <v>18</v>
      </c>
      <c r="H423">
        <v>0.4</v>
      </c>
      <c r="I423" s="3">
        <v>0.40910000000000002</v>
      </c>
      <c r="J423">
        <v>0.57999999999999996</v>
      </c>
      <c r="K423">
        <v>0.25369999999999998</v>
      </c>
      <c r="L423">
        <v>7</v>
      </c>
      <c r="M423">
        <v>68</v>
      </c>
      <c r="N423">
        <v>75</v>
      </c>
    </row>
    <row r="424" spans="1:14" x14ac:dyDescent="0.3">
      <c r="A424">
        <v>423</v>
      </c>
      <c r="B424" s="4">
        <v>40562</v>
      </c>
      <c r="C424" s="5">
        <v>0.625</v>
      </c>
      <c r="D424" t="s">
        <v>8</v>
      </c>
      <c r="E424" t="s">
        <v>9</v>
      </c>
      <c r="F424" t="s">
        <v>15</v>
      </c>
      <c r="G424" t="s">
        <v>18</v>
      </c>
      <c r="H424">
        <v>0.4</v>
      </c>
      <c r="I424" s="3">
        <v>0.40910000000000002</v>
      </c>
      <c r="J424">
        <v>0.54</v>
      </c>
      <c r="K424">
        <v>0.28360000000000002</v>
      </c>
      <c r="L424">
        <v>4</v>
      </c>
      <c r="M424">
        <v>78</v>
      </c>
      <c r="N424">
        <v>82</v>
      </c>
    </row>
    <row r="425" spans="1:14" x14ac:dyDescent="0.3">
      <c r="A425">
        <v>424</v>
      </c>
      <c r="B425" s="4">
        <v>40562</v>
      </c>
      <c r="C425" s="5">
        <v>0.66666666666666674</v>
      </c>
      <c r="D425" t="s">
        <v>8</v>
      </c>
      <c r="E425" t="s">
        <v>9</v>
      </c>
      <c r="F425" t="s">
        <v>15</v>
      </c>
      <c r="G425" t="s">
        <v>18</v>
      </c>
      <c r="H425">
        <v>0.38</v>
      </c>
      <c r="I425" s="3">
        <v>0.39389999999999997</v>
      </c>
      <c r="J425">
        <v>0.57999999999999996</v>
      </c>
      <c r="K425">
        <v>0.3881</v>
      </c>
      <c r="L425">
        <v>10</v>
      </c>
      <c r="M425">
        <v>94</v>
      </c>
      <c r="N425">
        <v>104</v>
      </c>
    </row>
    <row r="426" spans="1:14" x14ac:dyDescent="0.3">
      <c r="A426">
        <v>425</v>
      </c>
      <c r="B426" s="4">
        <v>40562</v>
      </c>
      <c r="C426" s="5">
        <v>0.70833333333333326</v>
      </c>
      <c r="D426" t="s">
        <v>8</v>
      </c>
      <c r="E426" t="s">
        <v>9</v>
      </c>
      <c r="F426" t="s">
        <v>15</v>
      </c>
      <c r="G426" t="s">
        <v>18</v>
      </c>
      <c r="H426">
        <v>0.36</v>
      </c>
      <c r="I426" s="3">
        <v>0.33329999999999999</v>
      </c>
      <c r="J426">
        <v>0.56999999999999995</v>
      </c>
      <c r="K426">
        <v>0.32840000000000003</v>
      </c>
      <c r="L426">
        <v>7</v>
      </c>
      <c r="M426">
        <v>190</v>
      </c>
      <c r="N426">
        <v>197</v>
      </c>
    </row>
    <row r="427" spans="1:14" x14ac:dyDescent="0.3">
      <c r="A427">
        <v>426</v>
      </c>
      <c r="B427" s="4">
        <v>40562</v>
      </c>
      <c r="C427" s="5">
        <v>0.75</v>
      </c>
      <c r="D427" t="s">
        <v>8</v>
      </c>
      <c r="E427" t="s">
        <v>9</v>
      </c>
      <c r="F427" t="s">
        <v>15</v>
      </c>
      <c r="G427" t="s">
        <v>18</v>
      </c>
      <c r="H427">
        <v>0.34</v>
      </c>
      <c r="I427" s="3">
        <v>0.31819999999999998</v>
      </c>
      <c r="J427">
        <v>0.61</v>
      </c>
      <c r="K427">
        <v>0.28360000000000002</v>
      </c>
      <c r="L427">
        <v>5</v>
      </c>
      <c r="M427">
        <v>156</v>
      </c>
      <c r="N427">
        <v>161</v>
      </c>
    </row>
    <row r="428" spans="1:14" x14ac:dyDescent="0.3">
      <c r="A428">
        <v>427</v>
      </c>
      <c r="B428" s="4">
        <v>40562</v>
      </c>
      <c r="C428" s="5">
        <v>0.79166666666666674</v>
      </c>
      <c r="D428" t="s">
        <v>8</v>
      </c>
      <c r="E428" t="s">
        <v>9</v>
      </c>
      <c r="F428" t="s">
        <v>15</v>
      </c>
      <c r="G428" t="s">
        <v>18</v>
      </c>
      <c r="H428">
        <v>0.32</v>
      </c>
      <c r="I428" s="3">
        <v>0.28789999999999999</v>
      </c>
      <c r="J428">
        <v>0.56999999999999995</v>
      </c>
      <c r="K428">
        <v>0.41789999999999999</v>
      </c>
      <c r="L428">
        <v>4</v>
      </c>
      <c r="M428">
        <v>108</v>
      </c>
      <c r="N428">
        <v>112</v>
      </c>
    </row>
    <row r="429" spans="1:14" x14ac:dyDescent="0.3">
      <c r="A429">
        <v>428</v>
      </c>
      <c r="B429" s="4">
        <v>40562</v>
      </c>
      <c r="C429" s="5">
        <v>0.83333333333333326</v>
      </c>
      <c r="D429" t="s">
        <v>8</v>
      </c>
      <c r="E429" t="s">
        <v>9</v>
      </c>
      <c r="F429" t="s">
        <v>15</v>
      </c>
      <c r="G429" t="s">
        <v>18</v>
      </c>
      <c r="H429">
        <v>0.32</v>
      </c>
      <c r="I429" s="3">
        <v>0.30299999999999999</v>
      </c>
      <c r="J429">
        <v>0.49</v>
      </c>
      <c r="K429">
        <v>0.29849999999999999</v>
      </c>
      <c r="L429">
        <v>2</v>
      </c>
      <c r="M429">
        <v>74</v>
      </c>
      <c r="N429">
        <v>76</v>
      </c>
    </row>
    <row r="430" spans="1:14" x14ac:dyDescent="0.3">
      <c r="A430">
        <v>429</v>
      </c>
      <c r="B430" s="4">
        <v>40562</v>
      </c>
      <c r="C430" s="5">
        <v>0.875</v>
      </c>
      <c r="D430" t="s">
        <v>8</v>
      </c>
      <c r="E430" t="s">
        <v>9</v>
      </c>
      <c r="F430" t="s">
        <v>15</v>
      </c>
      <c r="G430" t="s">
        <v>18</v>
      </c>
      <c r="H430">
        <v>0.32</v>
      </c>
      <c r="I430" s="3">
        <v>0.28789999999999999</v>
      </c>
      <c r="J430">
        <v>0.49</v>
      </c>
      <c r="K430">
        <v>0.41789999999999999</v>
      </c>
      <c r="L430">
        <v>4</v>
      </c>
      <c r="M430">
        <v>55</v>
      </c>
      <c r="N430">
        <v>59</v>
      </c>
    </row>
    <row r="431" spans="1:14" x14ac:dyDescent="0.3">
      <c r="A431">
        <v>430</v>
      </c>
      <c r="B431" s="4">
        <v>40562</v>
      </c>
      <c r="C431" s="5">
        <v>0.91666666666666674</v>
      </c>
      <c r="D431" t="s">
        <v>8</v>
      </c>
      <c r="E431" t="s">
        <v>9</v>
      </c>
      <c r="F431" t="s">
        <v>15</v>
      </c>
      <c r="G431" t="s">
        <v>18</v>
      </c>
      <c r="H431">
        <v>0.3</v>
      </c>
      <c r="I431" s="3">
        <v>0.30299999999999999</v>
      </c>
      <c r="J431">
        <v>0.52</v>
      </c>
      <c r="K431">
        <v>0.16420000000000001</v>
      </c>
      <c r="L431">
        <v>6</v>
      </c>
      <c r="M431">
        <v>53</v>
      </c>
      <c r="N431">
        <v>59</v>
      </c>
    </row>
    <row r="432" spans="1:14" x14ac:dyDescent="0.3">
      <c r="A432">
        <v>431</v>
      </c>
      <c r="B432" s="4">
        <v>40562</v>
      </c>
      <c r="C432" s="5">
        <v>0.95833333333333326</v>
      </c>
      <c r="D432" t="s">
        <v>8</v>
      </c>
      <c r="E432" t="s">
        <v>9</v>
      </c>
      <c r="F432" t="s">
        <v>15</v>
      </c>
      <c r="G432" t="s">
        <v>18</v>
      </c>
      <c r="H432">
        <v>0.3</v>
      </c>
      <c r="I432" s="3">
        <v>0.2727</v>
      </c>
      <c r="J432">
        <v>0.52</v>
      </c>
      <c r="K432">
        <v>0.4627</v>
      </c>
      <c r="L432">
        <v>1</v>
      </c>
      <c r="M432">
        <v>27</v>
      </c>
      <c r="N432">
        <v>28</v>
      </c>
    </row>
    <row r="433" spans="1:14" x14ac:dyDescent="0.3">
      <c r="A433">
        <v>432</v>
      </c>
      <c r="B433" s="4">
        <v>40563</v>
      </c>
      <c r="C433" s="5">
        <v>0</v>
      </c>
      <c r="D433" t="s">
        <v>8</v>
      </c>
      <c r="E433" t="s">
        <v>9</v>
      </c>
      <c r="F433" t="s">
        <v>16</v>
      </c>
      <c r="G433" t="s">
        <v>18</v>
      </c>
      <c r="H433">
        <v>0.26</v>
      </c>
      <c r="I433" s="3">
        <v>0.2273</v>
      </c>
      <c r="J433">
        <v>0.56000000000000005</v>
      </c>
      <c r="K433">
        <v>0.3881</v>
      </c>
      <c r="L433">
        <v>5</v>
      </c>
      <c r="M433">
        <v>8</v>
      </c>
      <c r="N433">
        <v>13</v>
      </c>
    </row>
    <row r="434" spans="1:14" x14ac:dyDescent="0.3">
      <c r="A434">
        <v>433</v>
      </c>
      <c r="B434" s="4">
        <v>40563</v>
      </c>
      <c r="C434" s="5">
        <v>4.1666666666666741E-2</v>
      </c>
      <c r="D434" t="s">
        <v>8</v>
      </c>
      <c r="E434" t="s">
        <v>9</v>
      </c>
      <c r="F434" t="s">
        <v>16</v>
      </c>
      <c r="G434" t="s">
        <v>18</v>
      </c>
      <c r="H434">
        <v>0.26</v>
      </c>
      <c r="I434" s="3">
        <v>0.2727</v>
      </c>
      <c r="J434">
        <v>0.56000000000000005</v>
      </c>
      <c r="K434">
        <v>0</v>
      </c>
      <c r="L434">
        <v>2</v>
      </c>
      <c r="M434">
        <v>3</v>
      </c>
      <c r="N434">
        <v>5</v>
      </c>
    </row>
    <row r="435" spans="1:14" x14ac:dyDescent="0.3">
      <c r="A435">
        <v>434</v>
      </c>
      <c r="B435" s="4">
        <v>40563</v>
      </c>
      <c r="C435" s="5">
        <v>8.3333333333333259E-2</v>
      </c>
      <c r="D435" t="s">
        <v>8</v>
      </c>
      <c r="E435" t="s">
        <v>9</v>
      </c>
      <c r="F435" t="s">
        <v>16</v>
      </c>
      <c r="G435" t="s">
        <v>18</v>
      </c>
      <c r="H435">
        <v>0.26</v>
      </c>
      <c r="I435" s="3">
        <v>0.2727</v>
      </c>
      <c r="J435">
        <v>0.56000000000000005</v>
      </c>
      <c r="K435">
        <v>0</v>
      </c>
      <c r="L435">
        <v>0</v>
      </c>
      <c r="M435">
        <v>2</v>
      </c>
      <c r="N435">
        <v>2</v>
      </c>
    </row>
    <row r="436" spans="1:14" x14ac:dyDescent="0.3">
      <c r="A436">
        <v>435</v>
      </c>
      <c r="B436" s="4">
        <v>40563</v>
      </c>
      <c r="C436" s="5">
        <v>0.125</v>
      </c>
      <c r="D436" t="s">
        <v>8</v>
      </c>
      <c r="E436" t="s">
        <v>9</v>
      </c>
      <c r="F436" t="s">
        <v>16</v>
      </c>
      <c r="G436" t="s">
        <v>18</v>
      </c>
      <c r="H436">
        <v>0.26</v>
      </c>
      <c r="I436" s="3">
        <v>0.2576</v>
      </c>
      <c r="J436">
        <v>0.56000000000000005</v>
      </c>
      <c r="K436">
        <v>0.16420000000000001</v>
      </c>
      <c r="L436">
        <v>0</v>
      </c>
      <c r="M436">
        <v>1</v>
      </c>
      <c r="N436">
        <v>1</v>
      </c>
    </row>
    <row r="437" spans="1:14" x14ac:dyDescent="0.3">
      <c r="A437">
        <v>436</v>
      </c>
      <c r="B437" s="4">
        <v>40563</v>
      </c>
      <c r="C437" s="5">
        <v>0.16666666666666674</v>
      </c>
      <c r="D437" t="s">
        <v>8</v>
      </c>
      <c r="E437" t="s">
        <v>9</v>
      </c>
      <c r="F437" t="s">
        <v>16</v>
      </c>
      <c r="G437" t="s">
        <v>18</v>
      </c>
      <c r="H437">
        <v>0.26</v>
      </c>
      <c r="I437" s="3">
        <v>0.2576</v>
      </c>
      <c r="J437">
        <v>0.56000000000000005</v>
      </c>
      <c r="K437">
        <v>0.16420000000000001</v>
      </c>
      <c r="L437">
        <v>0</v>
      </c>
      <c r="M437">
        <v>1</v>
      </c>
      <c r="N437">
        <v>1</v>
      </c>
    </row>
    <row r="438" spans="1:14" x14ac:dyDescent="0.3">
      <c r="A438">
        <v>437</v>
      </c>
      <c r="B438" s="4">
        <v>40563</v>
      </c>
      <c r="C438" s="5">
        <v>0.20833333333333326</v>
      </c>
      <c r="D438" t="s">
        <v>8</v>
      </c>
      <c r="E438" t="s">
        <v>9</v>
      </c>
      <c r="F438" t="s">
        <v>16</v>
      </c>
      <c r="G438" t="s">
        <v>18</v>
      </c>
      <c r="H438">
        <v>0.24</v>
      </c>
      <c r="I438" s="3">
        <v>0.2273</v>
      </c>
      <c r="J438">
        <v>0.6</v>
      </c>
      <c r="K438">
        <v>0.22389999999999999</v>
      </c>
      <c r="L438">
        <v>0</v>
      </c>
      <c r="M438">
        <v>6</v>
      </c>
      <c r="N438">
        <v>6</v>
      </c>
    </row>
    <row r="439" spans="1:14" x14ac:dyDescent="0.3">
      <c r="A439">
        <v>438</v>
      </c>
      <c r="B439" s="4">
        <v>40563</v>
      </c>
      <c r="C439" s="5">
        <v>0.25</v>
      </c>
      <c r="D439" t="s">
        <v>8</v>
      </c>
      <c r="E439" t="s">
        <v>9</v>
      </c>
      <c r="F439" t="s">
        <v>16</v>
      </c>
      <c r="G439" t="s">
        <v>18</v>
      </c>
      <c r="H439">
        <v>0.22</v>
      </c>
      <c r="I439" s="3">
        <v>0.21210000000000001</v>
      </c>
      <c r="J439">
        <v>0.6</v>
      </c>
      <c r="K439">
        <v>0.22389999999999999</v>
      </c>
      <c r="L439">
        <v>0</v>
      </c>
      <c r="M439">
        <v>35</v>
      </c>
      <c r="N439">
        <v>35</v>
      </c>
    </row>
    <row r="440" spans="1:14" x14ac:dyDescent="0.3">
      <c r="A440">
        <v>439</v>
      </c>
      <c r="B440" s="4">
        <v>40563</v>
      </c>
      <c r="C440" s="5">
        <v>0.29166666666666674</v>
      </c>
      <c r="D440" t="s">
        <v>8</v>
      </c>
      <c r="E440" t="s">
        <v>9</v>
      </c>
      <c r="F440" t="s">
        <v>16</v>
      </c>
      <c r="G440" t="s">
        <v>18</v>
      </c>
      <c r="H440">
        <v>0.22</v>
      </c>
      <c r="I440" s="3">
        <v>0.21210000000000001</v>
      </c>
      <c r="J440">
        <v>0.55000000000000004</v>
      </c>
      <c r="K440">
        <v>0.22389999999999999</v>
      </c>
      <c r="L440">
        <v>1</v>
      </c>
      <c r="M440">
        <v>100</v>
      </c>
      <c r="N440">
        <v>101</v>
      </c>
    </row>
    <row r="441" spans="1:14" x14ac:dyDescent="0.3">
      <c r="A441">
        <v>440</v>
      </c>
      <c r="B441" s="4">
        <v>40563</v>
      </c>
      <c r="C441" s="5">
        <v>0.33333333333333326</v>
      </c>
      <c r="D441" t="s">
        <v>8</v>
      </c>
      <c r="E441" t="s">
        <v>9</v>
      </c>
      <c r="F441" t="s">
        <v>16</v>
      </c>
      <c r="G441" t="s">
        <v>18</v>
      </c>
      <c r="H441">
        <v>0.22</v>
      </c>
      <c r="I441" s="3">
        <v>0.21210000000000001</v>
      </c>
      <c r="J441">
        <v>0.55000000000000004</v>
      </c>
      <c r="K441">
        <v>0.28360000000000002</v>
      </c>
      <c r="L441">
        <v>2</v>
      </c>
      <c r="M441">
        <v>247</v>
      </c>
      <c r="N441">
        <v>249</v>
      </c>
    </row>
    <row r="442" spans="1:14" x14ac:dyDescent="0.3">
      <c r="A442">
        <v>441</v>
      </c>
      <c r="B442" s="4">
        <v>40563</v>
      </c>
      <c r="C442" s="5">
        <v>0.375</v>
      </c>
      <c r="D442" t="s">
        <v>8</v>
      </c>
      <c r="E442" t="s">
        <v>9</v>
      </c>
      <c r="F442" t="s">
        <v>16</v>
      </c>
      <c r="G442" t="s">
        <v>19</v>
      </c>
      <c r="H442">
        <v>0.24</v>
      </c>
      <c r="I442" s="3">
        <v>0.2273</v>
      </c>
      <c r="J442">
        <v>0.52</v>
      </c>
      <c r="K442">
        <v>0.22389999999999999</v>
      </c>
      <c r="L442">
        <v>3</v>
      </c>
      <c r="M442">
        <v>140</v>
      </c>
      <c r="N442">
        <v>143</v>
      </c>
    </row>
    <row r="443" spans="1:14" x14ac:dyDescent="0.3">
      <c r="A443">
        <v>442</v>
      </c>
      <c r="B443" s="4">
        <v>40563</v>
      </c>
      <c r="C443" s="5">
        <v>0.41666666666666674</v>
      </c>
      <c r="D443" t="s">
        <v>8</v>
      </c>
      <c r="E443" t="s">
        <v>9</v>
      </c>
      <c r="F443" t="s">
        <v>16</v>
      </c>
      <c r="G443" t="s">
        <v>18</v>
      </c>
      <c r="H443">
        <v>0.26</v>
      </c>
      <c r="I443" s="3">
        <v>0.2273</v>
      </c>
      <c r="J443">
        <v>0.48</v>
      </c>
      <c r="K443">
        <v>0.29849999999999999</v>
      </c>
      <c r="L443">
        <v>1</v>
      </c>
      <c r="M443">
        <v>56</v>
      </c>
      <c r="N443">
        <v>57</v>
      </c>
    </row>
    <row r="444" spans="1:14" x14ac:dyDescent="0.3">
      <c r="A444">
        <v>443</v>
      </c>
      <c r="B444" s="4">
        <v>40563</v>
      </c>
      <c r="C444" s="5">
        <v>0.45833333333333326</v>
      </c>
      <c r="D444" t="s">
        <v>8</v>
      </c>
      <c r="E444" t="s">
        <v>9</v>
      </c>
      <c r="F444" t="s">
        <v>16</v>
      </c>
      <c r="G444" t="s">
        <v>19</v>
      </c>
      <c r="H444">
        <v>0.28000000000000003</v>
      </c>
      <c r="I444" s="3">
        <v>0.2727</v>
      </c>
      <c r="J444">
        <v>0.45</v>
      </c>
      <c r="K444">
        <v>0.16420000000000001</v>
      </c>
      <c r="L444">
        <v>5</v>
      </c>
      <c r="M444">
        <v>63</v>
      </c>
      <c r="N444">
        <v>68</v>
      </c>
    </row>
    <row r="445" spans="1:14" x14ac:dyDescent="0.3">
      <c r="A445">
        <v>444</v>
      </c>
      <c r="B445" s="4">
        <v>40563</v>
      </c>
      <c r="C445" s="5">
        <v>0.5</v>
      </c>
      <c r="D445" t="s">
        <v>8</v>
      </c>
      <c r="E445" t="s">
        <v>9</v>
      </c>
      <c r="F445" t="s">
        <v>16</v>
      </c>
      <c r="G445" t="s">
        <v>19</v>
      </c>
      <c r="H445">
        <v>0.3</v>
      </c>
      <c r="I445" s="3">
        <v>0.33329999999999999</v>
      </c>
      <c r="J445">
        <v>0.42</v>
      </c>
      <c r="K445">
        <v>0</v>
      </c>
      <c r="L445">
        <v>7</v>
      </c>
      <c r="M445">
        <v>77</v>
      </c>
      <c r="N445">
        <v>84</v>
      </c>
    </row>
    <row r="446" spans="1:14" x14ac:dyDescent="0.3">
      <c r="A446">
        <v>445</v>
      </c>
      <c r="B446" s="4">
        <v>40563</v>
      </c>
      <c r="C446" s="5">
        <v>0.54166666666666674</v>
      </c>
      <c r="D446" t="s">
        <v>8</v>
      </c>
      <c r="E446" t="s">
        <v>9</v>
      </c>
      <c r="F446" t="s">
        <v>16</v>
      </c>
      <c r="G446" t="s">
        <v>19</v>
      </c>
      <c r="H446">
        <v>0.28000000000000003</v>
      </c>
      <c r="I446" s="3">
        <v>0.28789999999999999</v>
      </c>
      <c r="J446">
        <v>0.45</v>
      </c>
      <c r="K446">
        <v>0.1045</v>
      </c>
      <c r="L446">
        <v>12</v>
      </c>
      <c r="M446">
        <v>86</v>
      </c>
      <c r="N446">
        <v>98</v>
      </c>
    </row>
    <row r="447" spans="1:14" x14ac:dyDescent="0.3">
      <c r="A447">
        <v>446</v>
      </c>
      <c r="B447" s="4">
        <v>40563</v>
      </c>
      <c r="C447" s="5">
        <v>0.58333333333333326</v>
      </c>
      <c r="D447" t="s">
        <v>8</v>
      </c>
      <c r="E447" t="s">
        <v>9</v>
      </c>
      <c r="F447" t="s">
        <v>16</v>
      </c>
      <c r="G447" t="s">
        <v>19</v>
      </c>
      <c r="H447">
        <v>0.3</v>
      </c>
      <c r="I447" s="3">
        <v>0.30299999999999999</v>
      </c>
      <c r="J447">
        <v>0.45</v>
      </c>
      <c r="K447">
        <v>0.1343</v>
      </c>
      <c r="L447">
        <v>6</v>
      </c>
      <c r="M447">
        <v>75</v>
      </c>
      <c r="N447">
        <v>81</v>
      </c>
    </row>
    <row r="448" spans="1:14" x14ac:dyDescent="0.3">
      <c r="A448">
        <v>447</v>
      </c>
      <c r="B448" s="4">
        <v>40563</v>
      </c>
      <c r="C448" s="5">
        <v>0.625</v>
      </c>
      <c r="D448" t="s">
        <v>8</v>
      </c>
      <c r="E448" t="s">
        <v>9</v>
      </c>
      <c r="F448" t="s">
        <v>16</v>
      </c>
      <c r="G448" t="s">
        <v>19</v>
      </c>
      <c r="H448">
        <v>0.32</v>
      </c>
      <c r="I448" s="3">
        <v>0.31819999999999998</v>
      </c>
      <c r="J448">
        <v>0.45</v>
      </c>
      <c r="K448">
        <v>0.19400000000000001</v>
      </c>
      <c r="L448">
        <v>8</v>
      </c>
      <c r="M448">
        <v>62</v>
      </c>
      <c r="N448">
        <v>70</v>
      </c>
    </row>
    <row r="449" spans="1:14" x14ac:dyDescent="0.3">
      <c r="A449">
        <v>448</v>
      </c>
      <c r="B449" s="4">
        <v>40563</v>
      </c>
      <c r="C449" s="5">
        <v>0.66666666666666674</v>
      </c>
      <c r="D449" t="s">
        <v>8</v>
      </c>
      <c r="E449" t="s">
        <v>9</v>
      </c>
      <c r="F449" t="s">
        <v>16</v>
      </c>
      <c r="G449" t="s">
        <v>19</v>
      </c>
      <c r="H449">
        <v>0.3</v>
      </c>
      <c r="I449" s="3">
        <v>0.30299999999999999</v>
      </c>
      <c r="J449">
        <v>0.49</v>
      </c>
      <c r="K449">
        <v>0.1343</v>
      </c>
      <c r="L449">
        <v>8</v>
      </c>
      <c r="M449">
        <v>83</v>
      </c>
      <c r="N449">
        <v>91</v>
      </c>
    </row>
    <row r="450" spans="1:14" x14ac:dyDescent="0.3">
      <c r="A450">
        <v>449</v>
      </c>
      <c r="B450" s="4">
        <v>40563</v>
      </c>
      <c r="C450" s="5">
        <v>0.70833333333333326</v>
      </c>
      <c r="D450" t="s">
        <v>8</v>
      </c>
      <c r="E450" t="s">
        <v>9</v>
      </c>
      <c r="F450" t="s">
        <v>16</v>
      </c>
      <c r="G450" t="s">
        <v>19</v>
      </c>
      <c r="H450">
        <v>0.3</v>
      </c>
      <c r="I450" s="3">
        <v>0.31819999999999998</v>
      </c>
      <c r="J450">
        <v>0.49</v>
      </c>
      <c r="K450">
        <v>0.1045</v>
      </c>
      <c r="L450">
        <v>8</v>
      </c>
      <c r="M450">
        <v>207</v>
      </c>
      <c r="N450">
        <v>215</v>
      </c>
    </row>
    <row r="451" spans="1:14" x14ac:dyDescent="0.3">
      <c r="A451">
        <v>450</v>
      </c>
      <c r="B451" s="4">
        <v>40563</v>
      </c>
      <c r="C451" s="5">
        <v>0.75</v>
      </c>
      <c r="D451" t="s">
        <v>8</v>
      </c>
      <c r="E451" t="s">
        <v>9</v>
      </c>
      <c r="F451" t="s">
        <v>16</v>
      </c>
      <c r="G451" t="s">
        <v>19</v>
      </c>
      <c r="H451">
        <v>0.26</v>
      </c>
      <c r="I451" s="3">
        <v>0.2576</v>
      </c>
      <c r="J451">
        <v>0.56000000000000005</v>
      </c>
      <c r="K451">
        <v>0.19400000000000001</v>
      </c>
      <c r="L451">
        <v>1</v>
      </c>
      <c r="M451">
        <v>184</v>
      </c>
      <c r="N451">
        <v>185</v>
      </c>
    </row>
    <row r="452" spans="1:14" x14ac:dyDescent="0.3">
      <c r="A452">
        <v>451</v>
      </c>
      <c r="B452" s="4">
        <v>40563</v>
      </c>
      <c r="C452" s="5">
        <v>0.79166666666666674</v>
      </c>
      <c r="D452" t="s">
        <v>8</v>
      </c>
      <c r="E452" t="s">
        <v>9</v>
      </c>
      <c r="F452" t="s">
        <v>16</v>
      </c>
      <c r="G452" t="s">
        <v>18</v>
      </c>
      <c r="H452">
        <v>0.26</v>
      </c>
      <c r="I452" s="3">
        <v>0.2273</v>
      </c>
      <c r="J452">
        <v>0.56000000000000005</v>
      </c>
      <c r="K452">
        <v>0.32840000000000003</v>
      </c>
      <c r="L452">
        <v>6</v>
      </c>
      <c r="M452">
        <v>146</v>
      </c>
      <c r="N452">
        <v>152</v>
      </c>
    </row>
    <row r="453" spans="1:14" x14ac:dyDescent="0.3">
      <c r="A453">
        <v>452</v>
      </c>
      <c r="B453" s="4">
        <v>40563</v>
      </c>
      <c r="C453" s="5">
        <v>0.83333333333333326</v>
      </c>
      <c r="D453" t="s">
        <v>8</v>
      </c>
      <c r="E453" t="s">
        <v>9</v>
      </c>
      <c r="F453" t="s">
        <v>16</v>
      </c>
      <c r="G453" t="s">
        <v>19</v>
      </c>
      <c r="H453">
        <v>0.26</v>
      </c>
      <c r="I453" s="3">
        <v>0.2424</v>
      </c>
      <c r="J453">
        <v>0.6</v>
      </c>
      <c r="K453">
        <v>0.28360000000000002</v>
      </c>
      <c r="L453">
        <v>2</v>
      </c>
      <c r="M453">
        <v>124</v>
      </c>
      <c r="N453">
        <v>126</v>
      </c>
    </row>
    <row r="454" spans="1:14" x14ac:dyDescent="0.3">
      <c r="A454">
        <v>453</v>
      </c>
      <c r="B454" s="4">
        <v>40563</v>
      </c>
      <c r="C454" s="5">
        <v>0.875</v>
      </c>
      <c r="D454" t="s">
        <v>8</v>
      </c>
      <c r="E454" t="s">
        <v>9</v>
      </c>
      <c r="F454" t="s">
        <v>16</v>
      </c>
      <c r="G454" t="s">
        <v>19</v>
      </c>
      <c r="H454">
        <v>0.24</v>
      </c>
      <c r="I454" s="3">
        <v>0.2273</v>
      </c>
      <c r="J454">
        <v>0.6</v>
      </c>
      <c r="K454">
        <v>0.25369999999999998</v>
      </c>
      <c r="L454">
        <v>3</v>
      </c>
      <c r="M454">
        <v>54</v>
      </c>
      <c r="N454">
        <v>57</v>
      </c>
    </row>
    <row r="455" spans="1:14" x14ac:dyDescent="0.3">
      <c r="A455">
        <v>454</v>
      </c>
      <c r="B455" s="4">
        <v>40563</v>
      </c>
      <c r="C455" s="5">
        <v>0.91666666666666674</v>
      </c>
      <c r="D455" t="s">
        <v>8</v>
      </c>
      <c r="E455" t="s">
        <v>9</v>
      </c>
      <c r="F455" t="s">
        <v>16</v>
      </c>
      <c r="G455" t="s">
        <v>19</v>
      </c>
      <c r="H455">
        <v>0.24</v>
      </c>
      <c r="I455" s="3">
        <v>0.21210000000000001</v>
      </c>
      <c r="J455">
        <v>0.65</v>
      </c>
      <c r="K455">
        <v>0.28360000000000002</v>
      </c>
      <c r="L455">
        <v>0</v>
      </c>
      <c r="M455">
        <v>56</v>
      </c>
      <c r="N455">
        <v>56</v>
      </c>
    </row>
    <row r="456" spans="1:14" x14ac:dyDescent="0.3">
      <c r="A456">
        <v>455</v>
      </c>
      <c r="B456" s="4">
        <v>40563</v>
      </c>
      <c r="C456" s="5">
        <v>0.95833333333333326</v>
      </c>
      <c r="D456" t="s">
        <v>8</v>
      </c>
      <c r="E456" t="s">
        <v>9</v>
      </c>
      <c r="F456" t="s">
        <v>16</v>
      </c>
      <c r="G456" t="s">
        <v>19</v>
      </c>
      <c r="H456">
        <v>0.24</v>
      </c>
      <c r="I456" s="3">
        <v>0.21210000000000001</v>
      </c>
      <c r="J456">
        <v>0.65</v>
      </c>
      <c r="K456">
        <v>0.32840000000000003</v>
      </c>
      <c r="L456">
        <v>3</v>
      </c>
      <c r="M456">
        <v>28</v>
      </c>
      <c r="N456">
        <v>31</v>
      </c>
    </row>
    <row r="457" spans="1:14" x14ac:dyDescent="0.3">
      <c r="A457">
        <v>456</v>
      </c>
      <c r="B457" s="4">
        <v>40564</v>
      </c>
      <c r="C457" s="5">
        <v>0</v>
      </c>
      <c r="D457" t="s">
        <v>8</v>
      </c>
      <c r="E457" t="s">
        <v>9</v>
      </c>
      <c r="F457" t="s">
        <v>17</v>
      </c>
      <c r="G457" t="s">
        <v>19</v>
      </c>
      <c r="H457">
        <v>0.24</v>
      </c>
      <c r="I457" s="3">
        <v>0.2273</v>
      </c>
      <c r="J457">
        <v>0.7</v>
      </c>
      <c r="K457">
        <v>0.25369999999999998</v>
      </c>
      <c r="L457">
        <v>1</v>
      </c>
      <c r="M457">
        <v>20</v>
      </c>
      <c r="N457">
        <v>21</v>
      </c>
    </row>
    <row r="458" spans="1:14" x14ac:dyDescent="0.3">
      <c r="A458">
        <v>457</v>
      </c>
      <c r="B458" s="4">
        <v>40564</v>
      </c>
      <c r="C458" s="5">
        <v>4.1666666666666741E-2</v>
      </c>
      <c r="D458" t="s">
        <v>8</v>
      </c>
      <c r="E458" t="s">
        <v>9</v>
      </c>
      <c r="F458" t="s">
        <v>17</v>
      </c>
      <c r="G458" t="s">
        <v>19</v>
      </c>
      <c r="H458">
        <v>0.24</v>
      </c>
      <c r="I458" s="3">
        <v>0.2273</v>
      </c>
      <c r="J458">
        <v>0.7</v>
      </c>
      <c r="K458">
        <v>0.25369999999999998</v>
      </c>
      <c r="L458">
        <v>0</v>
      </c>
      <c r="M458">
        <v>6</v>
      </c>
      <c r="N458">
        <v>6</v>
      </c>
    </row>
    <row r="459" spans="1:14" x14ac:dyDescent="0.3">
      <c r="A459">
        <v>458</v>
      </c>
      <c r="B459" s="4">
        <v>40564</v>
      </c>
      <c r="C459" s="5">
        <v>8.3333333333333259E-2</v>
      </c>
      <c r="D459" t="s">
        <v>8</v>
      </c>
      <c r="E459" t="s">
        <v>9</v>
      </c>
      <c r="F459" t="s">
        <v>17</v>
      </c>
      <c r="G459" t="s">
        <v>20</v>
      </c>
      <c r="H459">
        <v>0.24</v>
      </c>
      <c r="I459" s="3">
        <v>0.2424</v>
      </c>
      <c r="J459">
        <v>0.75</v>
      </c>
      <c r="K459">
        <v>0.16420000000000001</v>
      </c>
      <c r="L459">
        <v>0</v>
      </c>
      <c r="M459">
        <v>2</v>
      </c>
      <c r="N459">
        <v>2</v>
      </c>
    </row>
    <row r="460" spans="1:14" x14ac:dyDescent="0.3">
      <c r="A460">
        <v>459</v>
      </c>
      <c r="B460" s="4">
        <v>40564</v>
      </c>
      <c r="C460" s="5">
        <v>0.125</v>
      </c>
      <c r="D460" t="s">
        <v>8</v>
      </c>
      <c r="E460" t="s">
        <v>9</v>
      </c>
      <c r="F460" t="s">
        <v>17</v>
      </c>
      <c r="G460" t="s">
        <v>20</v>
      </c>
      <c r="H460">
        <v>0.22</v>
      </c>
      <c r="I460" s="3">
        <v>0.21210000000000001</v>
      </c>
      <c r="J460">
        <v>0.8</v>
      </c>
      <c r="K460">
        <v>0.29849999999999999</v>
      </c>
      <c r="L460">
        <v>0</v>
      </c>
      <c r="M460">
        <v>1</v>
      </c>
      <c r="N460">
        <v>1</v>
      </c>
    </row>
    <row r="461" spans="1:14" x14ac:dyDescent="0.3">
      <c r="A461">
        <v>460</v>
      </c>
      <c r="B461" s="4">
        <v>40564</v>
      </c>
      <c r="C461" s="5">
        <v>0.16666666666666674</v>
      </c>
      <c r="D461" t="s">
        <v>8</v>
      </c>
      <c r="E461" t="s">
        <v>9</v>
      </c>
      <c r="F461" t="s">
        <v>17</v>
      </c>
      <c r="G461" t="s">
        <v>19</v>
      </c>
      <c r="H461">
        <v>0.22</v>
      </c>
      <c r="I461" s="3">
        <v>0.2576</v>
      </c>
      <c r="J461">
        <v>0.87</v>
      </c>
      <c r="K461">
        <v>8.9599999999999999E-2</v>
      </c>
      <c r="L461">
        <v>0</v>
      </c>
      <c r="M461">
        <v>1</v>
      </c>
      <c r="N461">
        <v>1</v>
      </c>
    </row>
    <row r="462" spans="1:14" x14ac:dyDescent="0.3">
      <c r="A462">
        <v>461</v>
      </c>
      <c r="B462" s="4">
        <v>40564</v>
      </c>
      <c r="C462" s="5">
        <v>0.20833333333333326</v>
      </c>
      <c r="D462" t="s">
        <v>8</v>
      </c>
      <c r="E462" t="s">
        <v>9</v>
      </c>
      <c r="F462" t="s">
        <v>17</v>
      </c>
      <c r="G462" t="s">
        <v>18</v>
      </c>
      <c r="H462">
        <v>0.24</v>
      </c>
      <c r="I462" s="3">
        <v>0.19700000000000001</v>
      </c>
      <c r="J462">
        <v>0.6</v>
      </c>
      <c r="K462">
        <v>0.41789999999999999</v>
      </c>
      <c r="L462">
        <v>1</v>
      </c>
      <c r="M462">
        <v>4</v>
      </c>
      <c r="N462">
        <v>5</v>
      </c>
    </row>
    <row r="463" spans="1:14" x14ac:dyDescent="0.3">
      <c r="A463">
        <v>462</v>
      </c>
      <c r="B463" s="4">
        <v>40564</v>
      </c>
      <c r="C463" s="5">
        <v>0.25</v>
      </c>
      <c r="D463" t="s">
        <v>8</v>
      </c>
      <c r="E463" t="s">
        <v>9</v>
      </c>
      <c r="F463" t="s">
        <v>17</v>
      </c>
      <c r="G463" t="s">
        <v>18</v>
      </c>
      <c r="H463">
        <v>0.22</v>
      </c>
      <c r="I463" s="3">
        <v>0.21210000000000001</v>
      </c>
      <c r="J463">
        <v>0.55000000000000004</v>
      </c>
      <c r="K463">
        <v>0.25369999999999998</v>
      </c>
      <c r="L463">
        <v>0</v>
      </c>
      <c r="M463">
        <v>27</v>
      </c>
      <c r="N463">
        <v>27</v>
      </c>
    </row>
    <row r="464" spans="1:14" x14ac:dyDescent="0.3">
      <c r="A464">
        <v>463</v>
      </c>
      <c r="B464" s="4">
        <v>40564</v>
      </c>
      <c r="C464" s="5">
        <v>0.29166666666666674</v>
      </c>
      <c r="D464" t="s">
        <v>8</v>
      </c>
      <c r="E464" t="s">
        <v>9</v>
      </c>
      <c r="F464" t="s">
        <v>17</v>
      </c>
      <c r="G464" t="s">
        <v>18</v>
      </c>
      <c r="H464">
        <v>0.2</v>
      </c>
      <c r="I464" s="3">
        <v>0.18179999999999999</v>
      </c>
      <c r="J464">
        <v>0.51</v>
      </c>
      <c r="K464">
        <v>0.28360000000000002</v>
      </c>
      <c r="L464">
        <v>2</v>
      </c>
      <c r="M464">
        <v>66</v>
      </c>
      <c r="N464">
        <v>68</v>
      </c>
    </row>
    <row r="465" spans="1:14" x14ac:dyDescent="0.3">
      <c r="A465">
        <v>464</v>
      </c>
      <c r="B465" s="4">
        <v>40564</v>
      </c>
      <c r="C465" s="5">
        <v>0.33333333333333326</v>
      </c>
      <c r="D465" t="s">
        <v>8</v>
      </c>
      <c r="E465" t="s">
        <v>9</v>
      </c>
      <c r="F465" t="s">
        <v>17</v>
      </c>
      <c r="G465" t="s">
        <v>18</v>
      </c>
      <c r="H465">
        <v>0.2</v>
      </c>
      <c r="I465" s="3">
        <v>0.18179999999999999</v>
      </c>
      <c r="J465">
        <v>0.47</v>
      </c>
      <c r="K465">
        <v>0.32840000000000003</v>
      </c>
      <c r="L465">
        <v>7</v>
      </c>
      <c r="M465">
        <v>210</v>
      </c>
      <c r="N465">
        <v>217</v>
      </c>
    </row>
    <row r="466" spans="1:14" x14ac:dyDescent="0.3">
      <c r="A466">
        <v>465</v>
      </c>
      <c r="B466" s="4">
        <v>40564</v>
      </c>
      <c r="C466" s="5">
        <v>0.375</v>
      </c>
      <c r="D466" t="s">
        <v>8</v>
      </c>
      <c r="E466" t="s">
        <v>9</v>
      </c>
      <c r="F466" t="s">
        <v>17</v>
      </c>
      <c r="G466" t="s">
        <v>18</v>
      </c>
      <c r="H466">
        <v>0.2</v>
      </c>
      <c r="I466" s="3">
        <v>0.18179999999999999</v>
      </c>
      <c r="J466">
        <v>0.51</v>
      </c>
      <c r="K466">
        <v>0.35820000000000002</v>
      </c>
      <c r="L466">
        <v>7</v>
      </c>
      <c r="M466">
        <v>159</v>
      </c>
      <c r="N466">
        <v>166</v>
      </c>
    </row>
    <row r="467" spans="1:14" x14ac:dyDescent="0.3">
      <c r="A467">
        <v>466</v>
      </c>
      <c r="B467" s="4">
        <v>40564</v>
      </c>
      <c r="C467" s="5">
        <v>0.41666666666666674</v>
      </c>
      <c r="D467" t="s">
        <v>8</v>
      </c>
      <c r="E467" t="s">
        <v>9</v>
      </c>
      <c r="F467" t="s">
        <v>17</v>
      </c>
      <c r="G467" t="s">
        <v>18</v>
      </c>
      <c r="H467">
        <v>0.2</v>
      </c>
      <c r="I467" s="3">
        <v>0.16669999999999999</v>
      </c>
      <c r="J467">
        <v>0.47</v>
      </c>
      <c r="K467">
        <v>0.4627</v>
      </c>
      <c r="L467">
        <v>6</v>
      </c>
      <c r="M467">
        <v>57</v>
      </c>
      <c r="N467">
        <v>63</v>
      </c>
    </row>
    <row r="468" spans="1:14" x14ac:dyDescent="0.3">
      <c r="A468">
        <v>467</v>
      </c>
      <c r="B468" s="4">
        <v>40564</v>
      </c>
      <c r="C468" s="5">
        <v>0.45833333333333326</v>
      </c>
      <c r="D468" t="s">
        <v>8</v>
      </c>
      <c r="E468" t="s">
        <v>9</v>
      </c>
      <c r="F468" t="s">
        <v>17</v>
      </c>
      <c r="G468" t="s">
        <v>18</v>
      </c>
      <c r="H468">
        <v>0.22</v>
      </c>
      <c r="I468" s="3">
        <v>0.18179999999999999</v>
      </c>
      <c r="J468">
        <v>0.41</v>
      </c>
      <c r="K468">
        <v>0.4627</v>
      </c>
      <c r="L468">
        <v>6</v>
      </c>
      <c r="M468">
        <v>53</v>
      </c>
      <c r="N468">
        <v>59</v>
      </c>
    </row>
    <row r="469" spans="1:14" x14ac:dyDescent="0.3">
      <c r="A469">
        <v>468</v>
      </c>
      <c r="B469" s="4">
        <v>40564</v>
      </c>
      <c r="C469" s="5">
        <v>0.5</v>
      </c>
      <c r="D469" t="s">
        <v>8</v>
      </c>
      <c r="E469" t="s">
        <v>9</v>
      </c>
      <c r="F469" t="s">
        <v>17</v>
      </c>
      <c r="G469" t="s">
        <v>18</v>
      </c>
      <c r="H469">
        <v>0.22</v>
      </c>
      <c r="I469" s="3">
        <v>0.18179999999999999</v>
      </c>
      <c r="J469">
        <v>0.27</v>
      </c>
      <c r="K469">
        <v>0.58209999999999995</v>
      </c>
      <c r="L469">
        <v>11</v>
      </c>
      <c r="M469">
        <v>67</v>
      </c>
      <c r="N469">
        <v>78</v>
      </c>
    </row>
    <row r="470" spans="1:14" x14ac:dyDescent="0.3">
      <c r="A470">
        <v>469</v>
      </c>
      <c r="B470" s="4">
        <v>40564</v>
      </c>
      <c r="C470" s="5">
        <v>0.54166666666666674</v>
      </c>
      <c r="D470" t="s">
        <v>8</v>
      </c>
      <c r="E470" t="s">
        <v>9</v>
      </c>
      <c r="F470" t="s">
        <v>17</v>
      </c>
      <c r="G470" t="s">
        <v>18</v>
      </c>
      <c r="H470">
        <v>0.2</v>
      </c>
      <c r="I470" s="3">
        <v>0.1515</v>
      </c>
      <c r="J470">
        <v>0.21</v>
      </c>
      <c r="K470">
        <v>0.58209999999999995</v>
      </c>
      <c r="L470">
        <v>8</v>
      </c>
      <c r="M470">
        <v>65</v>
      </c>
      <c r="N470">
        <v>73</v>
      </c>
    </row>
    <row r="471" spans="1:14" x14ac:dyDescent="0.3">
      <c r="A471">
        <v>470</v>
      </c>
      <c r="B471" s="4">
        <v>40564</v>
      </c>
      <c r="C471" s="5">
        <v>0.58333333333333326</v>
      </c>
      <c r="D471" t="s">
        <v>8</v>
      </c>
      <c r="E471" t="s">
        <v>9</v>
      </c>
      <c r="F471" t="s">
        <v>17</v>
      </c>
      <c r="G471" t="s">
        <v>18</v>
      </c>
      <c r="H471">
        <v>0.2</v>
      </c>
      <c r="I471" s="3">
        <v>0.1515</v>
      </c>
      <c r="J471">
        <v>0.25</v>
      </c>
      <c r="K471">
        <v>0.52239999999999998</v>
      </c>
      <c r="L471">
        <v>6</v>
      </c>
      <c r="M471">
        <v>56</v>
      </c>
      <c r="N471">
        <v>62</v>
      </c>
    </row>
    <row r="472" spans="1:14" x14ac:dyDescent="0.3">
      <c r="A472">
        <v>471</v>
      </c>
      <c r="B472" s="4">
        <v>40564</v>
      </c>
      <c r="C472" s="5">
        <v>0.625</v>
      </c>
      <c r="D472" t="s">
        <v>8</v>
      </c>
      <c r="E472" t="s">
        <v>9</v>
      </c>
      <c r="F472" t="s">
        <v>17</v>
      </c>
      <c r="G472" t="s">
        <v>18</v>
      </c>
      <c r="H472">
        <v>0.16</v>
      </c>
      <c r="I472" s="3">
        <v>0.1212</v>
      </c>
      <c r="J472">
        <v>0.26</v>
      </c>
      <c r="K472">
        <v>0.44779999999999998</v>
      </c>
      <c r="L472">
        <v>4</v>
      </c>
      <c r="M472">
        <v>61</v>
      </c>
      <c r="N472">
        <v>65</v>
      </c>
    </row>
    <row r="473" spans="1:14" x14ac:dyDescent="0.3">
      <c r="A473">
        <v>472</v>
      </c>
      <c r="B473" s="4">
        <v>40564</v>
      </c>
      <c r="C473" s="5">
        <v>0.66666666666666674</v>
      </c>
      <c r="D473" t="s">
        <v>8</v>
      </c>
      <c r="E473" t="s">
        <v>9</v>
      </c>
      <c r="F473" t="s">
        <v>17</v>
      </c>
      <c r="G473" t="s">
        <v>18</v>
      </c>
      <c r="H473">
        <v>0.16</v>
      </c>
      <c r="I473" s="3">
        <v>0.13639999999999999</v>
      </c>
      <c r="J473">
        <v>0.26</v>
      </c>
      <c r="K473">
        <v>0.35820000000000002</v>
      </c>
      <c r="L473">
        <v>0</v>
      </c>
      <c r="M473">
        <v>97</v>
      </c>
      <c r="N473">
        <v>97</v>
      </c>
    </row>
    <row r="474" spans="1:14" x14ac:dyDescent="0.3">
      <c r="A474">
        <v>473</v>
      </c>
      <c r="B474" s="4">
        <v>40564</v>
      </c>
      <c r="C474" s="5">
        <v>0.70833333333333326</v>
      </c>
      <c r="D474" t="s">
        <v>8</v>
      </c>
      <c r="E474" t="s">
        <v>9</v>
      </c>
      <c r="F474" t="s">
        <v>17</v>
      </c>
      <c r="G474" t="s">
        <v>18</v>
      </c>
      <c r="H474">
        <v>0.14000000000000001</v>
      </c>
      <c r="I474" s="3">
        <v>0.1212</v>
      </c>
      <c r="J474">
        <v>0.28000000000000003</v>
      </c>
      <c r="K474">
        <v>0.35820000000000002</v>
      </c>
      <c r="L474">
        <v>10</v>
      </c>
      <c r="M474">
        <v>151</v>
      </c>
      <c r="N474">
        <v>161</v>
      </c>
    </row>
    <row r="475" spans="1:14" x14ac:dyDescent="0.3">
      <c r="A475">
        <v>474</v>
      </c>
      <c r="B475" s="4">
        <v>40564</v>
      </c>
      <c r="C475" s="5">
        <v>0.75</v>
      </c>
      <c r="D475" t="s">
        <v>8</v>
      </c>
      <c r="E475" t="s">
        <v>9</v>
      </c>
      <c r="F475" t="s">
        <v>17</v>
      </c>
      <c r="G475" t="s">
        <v>18</v>
      </c>
      <c r="H475">
        <v>0.12</v>
      </c>
      <c r="I475" s="3">
        <v>0.1212</v>
      </c>
      <c r="J475">
        <v>0.3</v>
      </c>
      <c r="K475">
        <v>0.25369999999999998</v>
      </c>
      <c r="L475">
        <v>1</v>
      </c>
      <c r="M475">
        <v>119</v>
      </c>
      <c r="N475">
        <v>120</v>
      </c>
    </row>
    <row r="476" spans="1:14" x14ac:dyDescent="0.3">
      <c r="A476">
        <v>475</v>
      </c>
      <c r="B476" s="4">
        <v>40564</v>
      </c>
      <c r="C476" s="5">
        <v>0.79166666666666674</v>
      </c>
      <c r="D476" t="s">
        <v>8</v>
      </c>
      <c r="E476" t="s">
        <v>9</v>
      </c>
      <c r="F476" t="s">
        <v>17</v>
      </c>
      <c r="G476" t="s">
        <v>18</v>
      </c>
      <c r="H476">
        <v>0.12</v>
      </c>
      <c r="I476" s="3">
        <v>0.1061</v>
      </c>
      <c r="J476">
        <v>0.3</v>
      </c>
      <c r="K476">
        <v>0.32840000000000003</v>
      </c>
      <c r="L476">
        <v>3</v>
      </c>
      <c r="M476">
        <v>93</v>
      </c>
      <c r="N476">
        <v>96</v>
      </c>
    </row>
    <row r="477" spans="1:14" x14ac:dyDescent="0.3">
      <c r="A477">
        <v>476</v>
      </c>
      <c r="B477" s="4">
        <v>40564</v>
      </c>
      <c r="C477" s="5">
        <v>0.83333333333333326</v>
      </c>
      <c r="D477" t="s">
        <v>8</v>
      </c>
      <c r="E477" t="s">
        <v>9</v>
      </c>
      <c r="F477" t="s">
        <v>17</v>
      </c>
      <c r="G477" t="s">
        <v>18</v>
      </c>
      <c r="H477">
        <v>0.1</v>
      </c>
      <c r="I477" s="3">
        <v>7.5800000000000006E-2</v>
      </c>
      <c r="J477">
        <v>0.33</v>
      </c>
      <c r="K477">
        <v>0.41789999999999999</v>
      </c>
      <c r="L477">
        <v>1</v>
      </c>
      <c r="M477">
        <v>52</v>
      </c>
      <c r="N477">
        <v>53</v>
      </c>
    </row>
    <row r="478" spans="1:14" x14ac:dyDescent="0.3">
      <c r="A478">
        <v>477</v>
      </c>
      <c r="B478" s="4">
        <v>40564</v>
      </c>
      <c r="C478" s="5">
        <v>0.875</v>
      </c>
      <c r="D478" t="s">
        <v>8</v>
      </c>
      <c r="E478" t="s">
        <v>9</v>
      </c>
      <c r="F478" t="s">
        <v>17</v>
      </c>
      <c r="G478" t="s">
        <v>18</v>
      </c>
      <c r="H478">
        <v>0.08</v>
      </c>
      <c r="I478" s="3">
        <v>7.5800000000000006E-2</v>
      </c>
      <c r="J478">
        <v>0.38</v>
      </c>
      <c r="K478">
        <v>0.28360000000000002</v>
      </c>
      <c r="L478">
        <v>0</v>
      </c>
      <c r="M478">
        <v>41</v>
      </c>
      <c r="N478">
        <v>41</v>
      </c>
    </row>
    <row r="479" spans="1:14" x14ac:dyDescent="0.3">
      <c r="A479">
        <v>478</v>
      </c>
      <c r="B479" s="4">
        <v>40564</v>
      </c>
      <c r="C479" s="5">
        <v>0.91666666666666674</v>
      </c>
      <c r="D479" t="s">
        <v>8</v>
      </c>
      <c r="E479" t="s">
        <v>9</v>
      </c>
      <c r="F479" t="s">
        <v>17</v>
      </c>
      <c r="G479" t="s">
        <v>18</v>
      </c>
      <c r="H479">
        <v>0.06</v>
      </c>
      <c r="I479" s="3">
        <v>3.0300000000000001E-2</v>
      </c>
      <c r="J479">
        <v>0.41</v>
      </c>
      <c r="K479">
        <v>0.3881</v>
      </c>
      <c r="L479">
        <v>1</v>
      </c>
      <c r="M479">
        <v>33</v>
      </c>
      <c r="N479">
        <v>34</v>
      </c>
    </row>
    <row r="480" spans="1:14" x14ac:dyDescent="0.3">
      <c r="A480">
        <v>479</v>
      </c>
      <c r="B480" s="4">
        <v>40564</v>
      </c>
      <c r="C480" s="5">
        <v>0.95833333333333326</v>
      </c>
      <c r="D480" t="s">
        <v>8</v>
      </c>
      <c r="E480" t="s">
        <v>9</v>
      </c>
      <c r="F480" t="s">
        <v>17</v>
      </c>
      <c r="G480" t="s">
        <v>18</v>
      </c>
      <c r="H480">
        <v>0.06</v>
      </c>
      <c r="I480" s="3">
        <v>4.5499999999999999E-2</v>
      </c>
      <c r="J480">
        <v>0.38</v>
      </c>
      <c r="K480">
        <v>0.32840000000000003</v>
      </c>
      <c r="L480">
        <v>0</v>
      </c>
      <c r="M480">
        <v>27</v>
      </c>
      <c r="N480">
        <v>27</v>
      </c>
    </row>
    <row r="481" spans="1:14" x14ac:dyDescent="0.3">
      <c r="A481">
        <v>480</v>
      </c>
      <c r="B481" s="4">
        <v>40565</v>
      </c>
      <c r="C481" s="5">
        <v>0</v>
      </c>
      <c r="D481" t="s">
        <v>8</v>
      </c>
      <c r="E481" t="s">
        <v>9</v>
      </c>
      <c r="F481" t="s">
        <v>11</v>
      </c>
      <c r="G481" t="s">
        <v>18</v>
      </c>
      <c r="H481">
        <v>0.04</v>
      </c>
      <c r="I481" s="3">
        <v>3.0300000000000001E-2</v>
      </c>
      <c r="J481">
        <v>0.45</v>
      </c>
      <c r="K481">
        <v>0.25369999999999998</v>
      </c>
      <c r="L481">
        <v>0</v>
      </c>
      <c r="M481">
        <v>13</v>
      </c>
      <c r="N481">
        <v>13</v>
      </c>
    </row>
    <row r="482" spans="1:14" x14ac:dyDescent="0.3">
      <c r="A482">
        <v>481</v>
      </c>
      <c r="B482" s="4">
        <v>40565</v>
      </c>
      <c r="C482" s="5">
        <v>4.1666666666666741E-2</v>
      </c>
      <c r="D482" t="s">
        <v>8</v>
      </c>
      <c r="E482" t="s">
        <v>9</v>
      </c>
      <c r="F482" t="s">
        <v>11</v>
      </c>
      <c r="G482" t="s">
        <v>19</v>
      </c>
      <c r="H482">
        <v>0.04</v>
      </c>
      <c r="I482" s="3">
        <v>0</v>
      </c>
      <c r="J482">
        <v>0.41</v>
      </c>
      <c r="K482">
        <v>0.3881</v>
      </c>
      <c r="L482">
        <v>3</v>
      </c>
      <c r="M482">
        <v>9</v>
      </c>
      <c r="N482">
        <v>12</v>
      </c>
    </row>
    <row r="483" spans="1:14" x14ac:dyDescent="0.3">
      <c r="A483">
        <v>482</v>
      </c>
      <c r="B483" s="4">
        <v>40565</v>
      </c>
      <c r="C483" s="5">
        <v>8.3333333333333259E-2</v>
      </c>
      <c r="D483" t="s">
        <v>8</v>
      </c>
      <c r="E483" t="s">
        <v>9</v>
      </c>
      <c r="F483" t="s">
        <v>11</v>
      </c>
      <c r="G483" t="s">
        <v>19</v>
      </c>
      <c r="H483">
        <v>0.04</v>
      </c>
      <c r="I483" s="3">
        <v>3.0300000000000001E-2</v>
      </c>
      <c r="J483">
        <v>0.41</v>
      </c>
      <c r="K483">
        <v>0.25369999999999998</v>
      </c>
      <c r="L483">
        <v>0</v>
      </c>
      <c r="M483">
        <v>11</v>
      </c>
      <c r="N483">
        <v>11</v>
      </c>
    </row>
    <row r="484" spans="1:14" x14ac:dyDescent="0.3">
      <c r="A484">
        <v>483</v>
      </c>
      <c r="B484" s="4">
        <v>40565</v>
      </c>
      <c r="C484" s="5">
        <v>0.125</v>
      </c>
      <c r="D484" t="s">
        <v>8</v>
      </c>
      <c r="E484" t="s">
        <v>9</v>
      </c>
      <c r="F484" t="s">
        <v>11</v>
      </c>
      <c r="G484" t="s">
        <v>19</v>
      </c>
      <c r="H484">
        <v>0.04</v>
      </c>
      <c r="I484" s="3">
        <v>3.0300000000000001E-2</v>
      </c>
      <c r="J484">
        <v>0.41</v>
      </c>
      <c r="K484">
        <v>0.28360000000000002</v>
      </c>
      <c r="L484">
        <v>1</v>
      </c>
      <c r="M484">
        <v>6</v>
      </c>
      <c r="N484">
        <v>7</v>
      </c>
    </row>
    <row r="485" spans="1:14" x14ac:dyDescent="0.3">
      <c r="A485">
        <v>484</v>
      </c>
      <c r="B485" s="4">
        <v>40565</v>
      </c>
      <c r="C485" s="5">
        <v>0.16666666666666674</v>
      </c>
      <c r="D485" t="s">
        <v>8</v>
      </c>
      <c r="E485" t="s">
        <v>9</v>
      </c>
      <c r="F485" t="s">
        <v>11</v>
      </c>
      <c r="G485" t="s">
        <v>19</v>
      </c>
      <c r="H485">
        <v>0.02</v>
      </c>
      <c r="I485" s="3">
        <v>1.52E-2</v>
      </c>
      <c r="J485">
        <v>0.48</v>
      </c>
      <c r="K485">
        <v>0.29849999999999999</v>
      </c>
      <c r="L485">
        <v>0</v>
      </c>
      <c r="M485">
        <v>3</v>
      </c>
      <c r="N485">
        <v>3</v>
      </c>
    </row>
    <row r="486" spans="1:14" x14ac:dyDescent="0.3">
      <c r="A486">
        <v>485</v>
      </c>
      <c r="B486" s="4">
        <v>40565</v>
      </c>
      <c r="C486" s="5">
        <v>0.25</v>
      </c>
      <c r="D486" t="s">
        <v>8</v>
      </c>
      <c r="E486" t="s">
        <v>9</v>
      </c>
      <c r="F486" t="s">
        <v>11</v>
      </c>
      <c r="G486" t="s">
        <v>19</v>
      </c>
      <c r="H486">
        <v>0.02</v>
      </c>
      <c r="I486" s="3">
        <v>3.0300000000000001E-2</v>
      </c>
      <c r="J486">
        <v>0.44</v>
      </c>
      <c r="K486">
        <v>0.22389999999999999</v>
      </c>
      <c r="L486">
        <v>0</v>
      </c>
      <c r="M486">
        <v>2</v>
      </c>
      <c r="N486">
        <v>2</v>
      </c>
    </row>
    <row r="487" spans="1:14" x14ac:dyDescent="0.3">
      <c r="A487">
        <v>486</v>
      </c>
      <c r="B487" s="4">
        <v>40565</v>
      </c>
      <c r="C487" s="5">
        <v>0.29166666666666674</v>
      </c>
      <c r="D487" t="s">
        <v>8</v>
      </c>
      <c r="E487" t="s">
        <v>9</v>
      </c>
      <c r="F487" t="s">
        <v>11</v>
      </c>
      <c r="G487" t="s">
        <v>18</v>
      </c>
      <c r="H487">
        <v>0.02</v>
      </c>
      <c r="I487" s="3">
        <v>1.52E-2</v>
      </c>
      <c r="J487">
        <v>0.44</v>
      </c>
      <c r="K487">
        <v>0.28360000000000002</v>
      </c>
      <c r="L487">
        <v>0</v>
      </c>
      <c r="M487">
        <v>8</v>
      </c>
      <c r="N487">
        <v>8</v>
      </c>
    </row>
    <row r="488" spans="1:14" x14ac:dyDescent="0.3">
      <c r="A488">
        <v>487</v>
      </c>
      <c r="B488" s="4">
        <v>40565</v>
      </c>
      <c r="C488" s="5">
        <v>0.33333333333333326</v>
      </c>
      <c r="D488" t="s">
        <v>8</v>
      </c>
      <c r="E488" t="s">
        <v>9</v>
      </c>
      <c r="F488" t="s">
        <v>11</v>
      </c>
      <c r="G488" t="s">
        <v>18</v>
      </c>
      <c r="H488">
        <v>0.02</v>
      </c>
      <c r="I488" s="3">
        <v>0</v>
      </c>
      <c r="J488">
        <v>0.44</v>
      </c>
      <c r="K488">
        <v>0.32840000000000003</v>
      </c>
      <c r="L488">
        <v>1</v>
      </c>
      <c r="M488">
        <v>26</v>
      </c>
      <c r="N488">
        <v>27</v>
      </c>
    </row>
    <row r="489" spans="1:14" x14ac:dyDescent="0.3">
      <c r="A489">
        <v>488</v>
      </c>
      <c r="B489" s="4">
        <v>40565</v>
      </c>
      <c r="C489" s="5">
        <v>0.375</v>
      </c>
      <c r="D489" t="s">
        <v>8</v>
      </c>
      <c r="E489" t="s">
        <v>9</v>
      </c>
      <c r="F489" t="s">
        <v>11</v>
      </c>
      <c r="G489" t="s">
        <v>18</v>
      </c>
      <c r="H489">
        <v>0.04</v>
      </c>
      <c r="I489" s="3">
        <v>3.0300000000000001E-2</v>
      </c>
      <c r="J489">
        <v>0.41</v>
      </c>
      <c r="K489">
        <v>0.25369999999999998</v>
      </c>
      <c r="L489">
        <v>3</v>
      </c>
      <c r="M489">
        <v>37</v>
      </c>
      <c r="N489">
        <v>40</v>
      </c>
    </row>
    <row r="490" spans="1:14" x14ac:dyDescent="0.3">
      <c r="A490">
        <v>489</v>
      </c>
      <c r="B490" s="4">
        <v>40565</v>
      </c>
      <c r="C490" s="5">
        <v>0.41666666666666674</v>
      </c>
      <c r="D490" t="s">
        <v>8</v>
      </c>
      <c r="E490" t="s">
        <v>9</v>
      </c>
      <c r="F490" t="s">
        <v>11</v>
      </c>
      <c r="G490" t="s">
        <v>19</v>
      </c>
      <c r="H490">
        <v>0.04</v>
      </c>
      <c r="I490" s="3">
        <v>6.0600000000000001E-2</v>
      </c>
      <c r="J490">
        <v>0.41</v>
      </c>
      <c r="K490">
        <v>0.16420000000000001</v>
      </c>
      <c r="L490">
        <v>3</v>
      </c>
      <c r="M490">
        <v>50</v>
      </c>
      <c r="N490">
        <v>53</v>
      </c>
    </row>
    <row r="491" spans="1:14" x14ac:dyDescent="0.3">
      <c r="A491">
        <v>490</v>
      </c>
      <c r="B491" s="4">
        <v>40565</v>
      </c>
      <c r="C491" s="5">
        <v>0.45833333333333326</v>
      </c>
      <c r="D491" t="s">
        <v>8</v>
      </c>
      <c r="E491" t="s">
        <v>9</v>
      </c>
      <c r="F491" t="s">
        <v>11</v>
      </c>
      <c r="G491" t="s">
        <v>19</v>
      </c>
      <c r="H491">
        <v>0.06</v>
      </c>
      <c r="I491" s="3">
        <v>7.5800000000000006E-2</v>
      </c>
      <c r="J491">
        <v>0.38</v>
      </c>
      <c r="K491">
        <v>0.1343</v>
      </c>
      <c r="L491">
        <v>4</v>
      </c>
      <c r="M491">
        <v>59</v>
      </c>
      <c r="N491">
        <v>63</v>
      </c>
    </row>
    <row r="492" spans="1:14" x14ac:dyDescent="0.3">
      <c r="A492">
        <v>491</v>
      </c>
      <c r="B492" s="4">
        <v>40565</v>
      </c>
      <c r="C492" s="5">
        <v>0.5</v>
      </c>
      <c r="D492" t="s">
        <v>8</v>
      </c>
      <c r="E492" t="s">
        <v>9</v>
      </c>
      <c r="F492" t="s">
        <v>11</v>
      </c>
      <c r="G492" t="s">
        <v>19</v>
      </c>
      <c r="H492">
        <v>0.06</v>
      </c>
      <c r="I492" s="3">
        <v>0.1061</v>
      </c>
      <c r="J492">
        <v>0.38</v>
      </c>
      <c r="K492">
        <v>0.1045</v>
      </c>
      <c r="L492">
        <v>10</v>
      </c>
      <c r="M492">
        <v>60</v>
      </c>
      <c r="N492">
        <v>70</v>
      </c>
    </row>
    <row r="493" spans="1:14" x14ac:dyDescent="0.3">
      <c r="A493">
        <v>492</v>
      </c>
      <c r="B493" s="4">
        <v>40565</v>
      </c>
      <c r="C493" s="5">
        <v>0.54166666666666674</v>
      </c>
      <c r="D493" t="s">
        <v>8</v>
      </c>
      <c r="E493" t="s">
        <v>9</v>
      </c>
      <c r="F493" t="s">
        <v>11</v>
      </c>
      <c r="G493" t="s">
        <v>18</v>
      </c>
      <c r="H493">
        <v>0.08</v>
      </c>
      <c r="I493" s="3">
        <v>0.16669999999999999</v>
      </c>
      <c r="J493">
        <v>0.35</v>
      </c>
      <c r="K493">
        <v>0</v>
      </c>
      <c r="L493">
        <v>12</v>
      </c>
      <c r="M493">
        <v>72</v>
      </c>
      <c r="N493">
        <v>84</v>
      </c>
    </row>
    <row r="494" spans="1:14" x14ac:dyDescent="0.3">
      <c r="A494">
        <v>493</v>
      </c>
      <c r="B494" s="4">
        <v>40565</v>
      </c>
      <c r="C494" s="5">
        <v>0.58333333333333326</v>
      </c>
      <c r="D494" t="s">
        <v>8</v>
      </c>
      <c r="E494" t="s">
        <v>9</v>
      </c>
      <c r="F494" t="s">
        <v>11</v>
      </c>
      <c r="G494" t="s">
        <v>18</v>
      </c>
      <c r="H494">
        <v>0.1</v>
      </c>
      <c r="I494" s="3">
        <v>0.13639999999999999</v>
      </c>
      <c r="J494">
        <v>0.33</v>
      </c>
      <c r="K494">
        <v>0.1045</v>
      </c>
      <c r="L494">
        <v>11</v>
      </c>
      <c r="M494">
        <v>64</v>
      </c>
      <c r="N494">
        <v>75</v>
      </c>
    </row>
    <row r="495" spans="1:14" x14ac:dyDescent="0.3">
      <c r="A495">
        <v>494</v>
      </c>
      <c r="B495" s="4">
        <v>40565</v>
      </c>
      <c r="C495" s="5">
        <v>0.625</v>
      </c>
      <c r="D495" t="s">
        <v>8</v>
      </c>
      <c r="E495" t="s">
        <v>9</v>
      </c>
      <c r="F495" t="s">
        <v>11</v>
      </c>
      <c r="G495" t="s">
        <v>18</v>
      </c>
      <c r="H495">
        <v>0.12</v>
      </c>
      <c r="I495" s="3">
        <v>0.1515</v>
      </c>
      <c r="J495">
        <v>0.28000000000000003</v>
      </c>
      <c r="K495">
        <v>0</v>
      </c>
      <c r="L495">
        <v>10</v>
      </c>
      <c r="M495">
        <v>93</v>
      </c>
      <c r="N495">
        <v>103</v>
      </c>
    </row>
    <row r="496" spans="1:14" x14ac:dyDescent="0.3">
      <c r="A496">
        <v>495</v>
      </c>
      <c r="B496" s="4">
        <v>40565</v>
      </c>
      <c r="C496" s="5">
        <v>0.66666666666666674</v>
      </c>
      <c r="D496" t="s">
        <v>8</v>
      </c>
      <c r="E496" t="s">
        <v>9</v>
      </c>
      <c r="F496" t="s">
        <v>11</v>
      </c>
      <c r="G496" t="s">
        <v>18</v>
      </c>
      <c r="H496">
        <v>0.12</v>
      </c>
      <c r="I496" s="3">
        <v>0.13639999999999999</v>
      </c>
      <c r="J496">
        <v>0.28000000000000003</v>
      </c>
      <c r="K496">
        <v>0.19400000000000001</v>
      </c>
      <c r="L496">
        <v>11</v>
      </c>
      <c r="M496">
        <v>72</v>
      </c>
      <c r="N496">
        <v>83</v>
      </c>
    </row>
    <row r="497" spans="1:14" x14ac:dyDescent="0.3">
      <c r="A497">
        <v>496</v>
      </c>
      <c r="B497" s="4">
        <v>40565</v>
      </c>
      <c r="C497" s="5">
        <v>0.70833333333333326</v>
      </c>
      <c r="D497" t="s">
        <v>8</v>
      </c>
      <c r="E497" t="s">
        <v>9</v>
      </c>
      <c r="F497" t="s">
        <v>11</v>
      </c>
      <c r="G497" t="s">
        <v>18</v>
      </c>
      <c r="H497">
        <v>0.12</v>
      </c>
      <c r="I497" s="3">
        <v>0.19700000000000001</v>
      </c>
      <c r="J497">
        <v>0.28000000000000003</v>
      </c>
      <c r="K497">
        <v>0</v>
      </c>
      <c r="L497">
        <v>8</v>
      </c>
      <c r="M497">
        <v>59</v>
      </c>
      <c r="N497">
        <v>67</v>
      </c>
    </row>
    <row r="498" spans="1:14" x14ac:dyDescent="0.3">
      <c r="A498">
        <v>497</v>
      </c>
      <c r="B498" s="4">
        <v>40565</v>
      </c>
      <c r="C498" s="5">
        <v>0.75</v>
      </c>
      <c r="D498" t="s">
        <v>8</v>
      </c>
      <c r="E498" t="s">
        <v>9</v>
      </c>
      <c r="F498" t="s">
        <v>11</v>
      </c>
      <c r="G498" t="s">
        <v>18</v>
      </c>
      <c r="H498">
        <v>0.08</v>
      </c>
      <c r="I498" s="3">
        <v>9.0899999999999995E-2</v>
      </c>
      <c r="J498">
        <v>0.35</v>
      </c>
      <c r="K498">
        <v>0.19400000000000001</v>
      </c>
      <c r="L498">
        <v>0</v>
      </c>
      <c r="M498">
        <v>54</v>
      </c>
      <c r="N498">
        <v>54</v>
      </c>
    </row>
    <row r="499" spans="1:14" x14ac:dyDescent="0.3">
      <c r="A499">
        <v>498</v>
      </c>
      <c r="B499" s="4">
        <v>40565</v>
      </c>
      <c r="C499" s="5">
        <v>0.79166666666666674</v>
      </c>
      <c r="D499" t="s">
        <v>8</v>
      </c>
      <c r="E499" t="s">
        <v>9</v>
      </c>
      <c r="F499" t="s">
        <v>11</v>
      </c>
      <c r="G499" t="s">
        <v>18</v>
      </c>
      <c r="H499">
        <v>0.08</v>
      </c>
      <c r="I499" s="3">
        <v>0.1061</v>
      </c>
      <c r="J499">
        <v>0.35</v>
      </c>
      <c r="K499">
        <v>0.1343</v>
      </c>
      <c r="L499">
        <v>6</v>
      </c>
      <c r="M499">
        <v>53</v>
      </c>
      <c r="N499">
        <v>59</v>
      </c>
    </row>
    <row r="500" spans="1:14" x14ac:dyDescent="0.3">
      <c r="A500">
        <v>499</v>
      </c>
      <c r="B500" s="4">
        <v>40565</v>
      </c>
      <c r="C500" s="5">
        <v>0.83333333333333326</v>
      </c>
      <c r="D500" t="s">
        <v>8</v>
      </c>
      <c r="E500" t="s">
        <v>9</v>
      </c>
      <c r="F500" t="s">
        <v>11</v>
      </c>
      <c r="G500" t="s">
        <v>18</v>
      </c>
      <c r="H500">
        <v>0.06</v>
      </c>
      <c r="I500" s="3">
        <v>7.5800000000000006E-2</v>
      </c>
      <c r="J500">
        <v>0.45</v>
      </c>
      <c r="K500">
        <v>0.16420000000000001</v>
      </c>
      <c r="L500">
        <v>1</v>
      </c>
      <c r="M500">
        <v>44</v>
      </c>
      <c r="N500">
        <v>45</v>
      </c>
    </row>
    <row r="501" spans="1:14" x14ac:dyDescent="0.3">
      <c r="A501">
        <v>500</v>
      </c>
      <c r="B501" s="4">
        <v>40565</v>
      </c>
      <c r="C501" s="5">
        <v>0.875</v>
      </c>
      <c r="D501" t="s">
        <v>8</v>
      </c>
      <c r="E501" t="s">
        <v>9</v>
      </c>
      <c r="F501" t="s">
        <v>11</v>
      </c>
      <c r="G501" t="s">
        <v>18</v>
      </c>
      <c r="H501">
        <v>0.06</v>
      </c>
      <c r="I501" s="3">
        <v>0.1061</v>
      </c>
      <c r="J501">
        <v>0.41</v>
      </c>
      <c r="K501">
        <v>8.9599999999999999E-2</v>
      </c>
      <c r="L501">
        <v>0</v>
      </c>
      <c r="M501">
        <v>39</v>
      </c>
      <c r="N501">
        <v>39</v>
      </c>
    </row>
    <row r="502" spans="1:14" x14ac:dyDescent="0.3">
      <c r="A502">
        <v>501</v>
      </c>
      <c r="B502" s="4">
        <v>40565</v>
      </c>
      <c r="C502" s="5">
        <v>0.91666666666666674</v>
      </c>
      <c r="D502" t="s">
        <v>8</v>
      </c>
      <c r="E502" t="s">
        <v>9</v>
      </c>
      <c r="F502" t="s">
        <v>11</v>
      </c>
      <c r="G502" t="s">
        <v>18</v>
      </c>
      <c r="H502">
        <v>0.06</v>
      </c>
      <c r="I502" s="3">
        <v>0.1515</v>
      </c>
      <c r="J502">
        <v>0.49</v>
      </c>
      <c r="K502">
        <v>0</v>
      </c>
      <c r="L502">
        <v>7</v>
      </c>
      <c r="M502">
        <v>23</v>
      </c>
      <c r="N502">
        <v>30</v>
      </c>
    </row>
    <row r="503" spans="1:14" x14ac:dyDescent="0.3">
      <c r="A503">
        <v>502</v>
      </c>
      <c r="B503" s="4">
        <v>40565</v>
      </c>
      <c r="C503" s="5">
        <v>0.95833333333333326</v>
      </c>
      <c r="D503" t="s">
        <v>8</v>
      </c>
      <c r="E503" t="s">
        <v>9</v>
      </c>
      <c r="F503" t="s">
        <v>11</v>
      </c>
      <c r="G503" t="s">
        <v>18</v>
      </c>
      <c r="H503">
        <v>0.04</v>
      </c>
      <c r="I503" s="3">
        <v>7.5800000000000006E-2</v>
      </c>
      <c r="J503">
        <v>0.56999999999999995</v>
      </c>
      <c r="K503">
        <v>0.1045</v>
      </c>
      <c r="L503">
        <v>2</v>
      </c>
      <c r="M503">
        <v>31</v>
      </c>
      <c r="N503">
        <v>33</v>
      </c>
    </row>
    <row r="504" spans="1:14" x14ac:dyDescent="0.3">
      <c r="A504">
        <v>503</v>
      </c>
      <c r="B504" s="4">
        <v>40566</v>
      </c>
      <c r="C504" s="5">
        <v>0</v>
      </c>
      <c r="D504" t="s">
        <v>8</v>
      </c>
      <c r="E504" t="s">
        <v>9</v>
      </c>
      <c r="F504" t="s">
        <v>12</v>
      </c>
      <c r="G504" t="s">
        <v>18</v>
      </c>
      <c r="H504">
        <v>0.04</v>
      </c>
      <c r="I504" s="3">
        <v>7.5800000000000006E-2</v>
      </c>
      <c r="J504">
        <v>0.56999999999999995</v>
      </c>
      <c r="K504">
        <v>0.1045</v>
      </c>
      <c r="L504">
        <v>2</v>
      </c>
      <c r="M504">
        <v>20</v>
      </c>
      <c r="N504">
        <v>22</v>
      </c>
    </row>
    <row r="505" spans="1:14" x14ac:dyDescent="0.3">
      <c r="A505">
        <v>504</v>
      </c>
      <c r="B505" s="4">
        <v>40566</v>
      </c>
      <c r="C505" s="5">
        <v>4.1666666666666741E-2</v>
      </c>
      <c r="D505" t="s">
        <v>8</v>
      </c>
      <c r="E505" t="s">
        <v>9</v>
      </c>
      <c r="F505" t="s">
        <v>12</v>
      </c>
      <c r="G505" t="s">
        <v>18</v>
      </c>
      <c r="H505">
        <v>0.04</v>
      </c>
      <c r="I505" s="3">
        <v>7.5800000000000006E-2</v>
      </c>
      <c r="J505">
        <v>0.56999999999999995</v>
      </c>
      <c r="K505">
        <v>0.1045</v>
      </c>
      <c r="L505">
        <v>1</v>
      </c>
      <c r="M505">
        <v>12</v>
      </c>
      <c r="N505">
        <v>13</v>
      </c>
    </row>
    <row r="506" spans="1:14" x14ac:dyDescent="0.3">
      <c r="A506">
        <v>505</v>
      </c>
      <c r="B506" s="4">
        <v>40566</v>
      </c>
      <c r="C506" s="5">
        <v>8.3333333333333259E-2</v>
      </c>
      <c r="D506" t="s">
        <v>8</v>
      </c>
      <c r="E506" t="s">
        <v>9</v>
      </c>
      <c r="F506" t="s">
        <v>12</v>
      </c>
      <c r="G506" t="s">
        <v>18</v>
      </c>
      <c r="H506">
        <v>0.02</v>
      </c>
      <c r="I506" s="3">
        <v>6.0600000000000001E-2</v>
      </c>
      <c r="J506">
        <v>0.62</v>
      </c>
      <c r="K506">
        <v>0.1343</v>
      </c>
      <c r="L506">
        <v>3</v>
      </c>
      <c r="M506">
        <v>15</v>
      </c>
      <c r="N506">
        <v>18</v>
      </c>
    </row>
    <row r="507" spans="1:14" x14ac:dyDescent="0.3">
      <c r="A507">
        <v>506</v>
      </c>
      <c r="B507" s="4">
        <v>40566</v>
      </c>
      <c r="C507" s="5">
        <v>0.125</v>
      </c>
      <c r="D507" t="s">
        <v>8</v>
      </c>
      <c r="E507" t="s">
        <v>9</v>
      </c>
      <c r="F507" t="s">
        <v>12</v>
      </c>
      <c r="G507" t="s">
        <v>18</v>
      </c>
      <c r="H507">
        <v>0.02</v>
      </c>
      <c r="I507" s="3">
        <v>6.0600000000000001E-2</v>
      </c>
      <c r="J507">
        <v>0.62</v>
      </c>
      <c r="K507">
        <v>0.1343</v>
      </c>
      <c r="L507">
        <v>1</v>
      </c>
      <c r="M507">
        <v>4</v>
      </c>
      <c r="N507">
        <v>5</v>
      </c>
    </row>
    <row r="508" spans="1:14" x14ac:dyDescent="0.3">
      <c r="A508">
        <v>507</v>
      </c>
      <c r="B508" s="4">
        <v>40566</v>
      </c>
      <c r="C508" s="5">
        <v>0.20833333333333326</v>
      </c>
      <c r="D508" t="s">
        <v>8</v>
      </c>
      <c r="E508" t="s">
        <v>9</v>
      </c>
      <c r="F508" t="s">
        <v>12</v>
      </c>
      <c r="G508" t="s">
        <v>19</v>
      </c>
      <c r="H508">
        <v>0.04</v>
      </c>
      <c r="I508" s="3">
        <v>7.5800000000000006E-2</v>
      </c>
      <c r="J508">
        <v>0.56999999999999995</v>
      </c>
      <c r="K508">
        <v>0.1045</v>
      </c>
      <c r="L508">
        <v>0</v>
      </c>
      <c r="M508">
        <v>3</v>
      </c>
      <c r="N508">
        <v>3</v>
      </c>
    </row>
    <row r="509" spans="1:14" x14ac:dyDescent="0.3">
      <c r="A509">
        <v>508</v>
      </c>
      <c r="B509" s="4">
        <v>40566</v>
      </c>
      <c r="C509" s="5">
        <v>0.25</v>
      </c>
      <c r="D509" t="s">
        <v>8</v>
      </c>
      <c r="E509" t="s">
        <v>9</v>
      </c>
      <c r="F509" t="s">
        <v>12</v>
      </c>
      <c r="G509" t="s">
        <v>19</v>
      </c>
      <c r="H509">
        <v>0.04</v>
      </c>
      <c r="I509" s="3">
        <v>7.5800000000000006E-2</v>
      </c>
      <c r="J509">
        <v>0.56999999999999995</v>
      </c>
      <c r="K509">
        <v>0.1045</v>
      </c>
      <c r="L509">
        <v>0</v>
      </c>
      <c r="M509">
        <v>1</v>
      </c>
      <c r="N509">
        <v>1</v>
      </c>
    </row>
    <row r="510" spans="1:14" x14ac:dyDescent="0.3">
      <c r="A510">
        <v>509</v>
      </c>
      <c r="B510" s="4">
        <v>40566</v>
      </c>
      <c r="C510" s="5">
        <v>0.29166666666666674</v>
      </c>
      <c r="D510" t="s">
        <v>8</v>
      </c>
      <c r="E510" t="s">
        <v>9</v>
      </c>
      <c r="F510" t="s">
        <v>12</v>
      </c>
      <c r="G510" t="s">
        <v>18</v>
      </c>
      <c r="H510">
        <v>0.08</v>
      </c>
      <c r="I510" s="3">
        <v>0.1061</v>
      </c>
      <c r="J510">
        <v>0.57999999999999996</v>
      </c>
      <c r="K510">
        <v>0.16420000000000001</v>
      </c>
      <c r="L510">
        <v>1</v>
      </c>
      <c r="M510">
        <v>1</v>
      </c>
      <c r="N510">
        <v>2</v>
      </c>
    </row>
    <row r="511" spans="1:14" x14ac:dyDescent="0.3">
      <c r="A511">
        <v>510</v>
      </c>
      <c r="B511" s="4">
        <v>40566</v>
      </c>
      <c r="C511" s="5">
        <v>0.33333333333333326</v>
      </c>
      <c r="D511" t="s">
        <v>8</v>
      </c>
      <c r="E511" t="s">
        <v>9</v>
      </c>
      <c r="F511" t="s">
        <v>12</v>
      </c>
      <c r="G511" t="s">
        <v>18</v>
      </c>
      <c r="H511">
        <v>0.06</v>
      </c>
      <c r="I511" s="3">
        <v>7.5800000000000006E-2</v>
      </c>
      <c r="J511">
        <v>0.62</v>
      </c>
      <c r="K511">
        <v>0.16420000000000001</v>
      </c>
      <c r="L511">
        <v>2</v>
      </c>
      <c r="M511">
        <v>17</v>
      </c>
      <c r="N511">
        <v>19</v>
      </c>
    </row>
    <row r="512" spans="1:14" x14ac:dyDescent="0.3">
      <c r="A512">
        <v>511</v>
      </c>
      <c r="B512" s="4">
        <v>40566</v>
      </c>
      <c r="C512" s="5">
        <v>0.375</v>
      </c>
      <c r="D512" t="s">
        <v>8</v>
      </c>
      <c r="E512" t="s">
        <v>9</v>
      </c>
      <c r="F512" t="s">
        <v>12</v>
      </c>
      <c r="G512" t="s">
        <v>18</v>
      </c>
      <c r="H512">
        <v>0.1</v>
      </c>
      <c r="I512" s="3">
        <v>7.5800000000000006E-2</v>
      </c>
      <c r="J512">
        <v>0.54</v>
      </c>
      <c r="K512">
        <v>0.35820000000000002</v>
      </c>
      <c r="L512">
        <v>3</v>
      </c>
      <c r="M512">
        <v>25</v>
      </c>
      <c r="N512">
        <v>28</v>
      </c>
    </row>
    <row r="513" spans="1:14" x14ac:dyDescent="0.3">
      <c r="A513">
        <v>512</v>
      </c>
      <c r="B513" s="4">
        <v>40566</v>
      </c>
      <c r="C513" s="5">
        <v>0.41666666666666674</v>
      </c>
      <c r="D513" t="s">
        <v>8</v>
      </c>
      <c r="E513" t="s">
        <v>9</v>
      </c>
      <c r="F513" t="s">
        <v>12</v>
      </c>
      <c r="G513" t="s">
        <v>18</v>
      </c>
      <c r="H513">
        <v>0.14000000000000001</v>
      </c>
      <c r="I513" s="3">
        <v>0.1061</v>
      </c>
      <c r="J513">
        <v>0.46</v>
      </c>
      <c r="K513">
        <v>0.3881</v>
      </c>
      <c r="L513">
        <v>7</v>
      </c>
      <c r="M513">
        <v>51</v>
      </c>
      <c r="N513">
        <v>58</v>
      </c>
    </row>
    <row r="514" spans="1:14" x14ac:dyDescent="0.3">
      <c r="A514">
        <v>513</v>
      </c>
      <c r="B514" s="4">
        <v>40566</v>
      </c>
      <c r="C514" s="5">
        <v>0.45833333333333326</v>
      </c>
      <c r="D514" t="s">
        <v>8</v>
      </c>
      <c r="E514" t="s">
        <v>9</v>
      </c>
      <c r="F514" t="s">
        <v>12</v>
      </c>
      <c r="G514" t="s">
        <v>18</v>
      </c>
      <c r="H514">
        <v>0.14000000000000001</v>
      </c>
      <c r="I514" s="3">
        <v>0.13639999999999999</v>
      </c>
      <c r="J514">
        <v>0.43</v>
      </c>
      <c r="K514">
        <v>0.22389999999999999</v>
      </c>
      <c r="L514">
        <v>22</v>
      </c>
      <c r="M514">
        <v>77</v>
      </c>
      <c r="N514">
        <v>99</v>
      </c>
    </row>
    <row r="515" spans="1:14" x14ac:dyDescent="0.3">
      <c r="A515">
        <v>514</v>
      </c>
      <c r="B515" s="4">
        <v>40566</v>
      </c>
      <c r="C515" s="5">
        <v>0.5</v>
      </c>
      <c r="D515" t="s">
        <v>8</v>
      </c>
      <c r="E515" t="s">
        <v>9</v>
      </c>
      <c r="F515" t="s">
        <v>12</v>
      </c>
      <c r="G515" t="s">
        <v>18</v>
      </c>
      <c r="H515">
        <v>0.16</v>
      </c>
      <c r="I515" s="3">
        <v>0.1212</v>
      </c>
      <c r="J515">
        <v>0.37</v>
      </c>
      <c r="K515">
        <v>0.4627</v>
      </c>
      <c r="L515">
        <v>24</v>
      </c>
      <c r="M515">
        <v>92</v>
      </c>
      <c r="N515">
        <v>116</v>
      </c>
    </row>
    <row r="516" spans="1:14" x14ac:dyDescent="0.3">
      <c r="A516">
        <v>515</v>
      </c>
      <c r="B516" s="4">
        <v>40566</v>
      </c>
      <c r="C516" s="5">
        <v>0.54166666666666674</v>
      </c>
      <c r="D516" t="s">
        <v>8</v>
      </c>
      <c r="E516" t="s">
        <v>9</v>
      </c>
      <c r="F516" t="s">
        <v>12</v>
      </c>
      <c r="G516" t="s">
        <v>18</v>
      </c>
      <c r="H516">
        <v>0.14000000000000001</v>
      </c>
      <c r="I516" s="3">
        <v>0.1061</v>
      </c>
      <c r="J516">
        <v>0.33</v>
      </c>
      <c r="K516">
        <v>0.3881</v>
      </c>
      <c r="L516">
        <v>12</v>
      </c>
      <c r="M516">
        <v>75</v>
      </c>
      <c r="N516">
        <v>87</v>
      </c>
    </row>
    <row r="517" spans="1:14" x14ac:dyDescent="0.3">
      <c r="A517">
        <v>516</v>
      </c>
      <c r="B517" s="4">
        <v>40566</v>
      </c>
      <c r="C517" s="5">
        <v>0.58333333333333326</v>
      </c>
      <c r="D517" t="s">
        <v>8</v>
      </c>
      <c r="E517" t="s">
        <v>9</v>
      </c>
      <c r="F517" t="s">
        <v>12</v>
      </c>
      <c r="G517" t="s">
        <v>18</v>
      </c>
      <c r="H517">
        <v>0.16</v>
      </c>
      <c r="I517" s="3">
        <v>0.13639999999999999</v>
      </c>
      <c r="J517">
        <v>0.28000000000000003</v>
      </c>
      <c r="K517">
        <v>0.35820000000000002</v>
      </c>
      <c r="L517">
        <v>17</v>
      </c>
      <c r="M517">
        <v>93</v>
      </c>
      <c r="N517">
        <v>110</v>
      </c>
    </row>
    <row r="518" spans="1:14" x14ac:dyDescent="0.3">
      <c r="A518">
        <v>517</v>
      </c>
      <c r="B518" s="4">
        <v>40566</v>
      </c>
      <c r="C518" s="5">
        <v>0.625</v>
      </c>
      <c r="D518" t="s">
        <v>8</v>
      </c>
      <c r="E518" t="s">
        <v>9</v>
      </c>
      <c r="F518" t="s">
        <v>12</v>
      </c>
      <c r="G518" t="s">
        <v>18</v>
      </c>
      <c r="H518">
        <v>0.16</v>
      </c>
      <c r="I518" s="3">
        <v>0.13639999999999999</v>
      </c>
      <c r="J518">
        <v>0.28000000000000003</v>
      </c>
      <c r="K518">
        <v>0.35820000000000002</v>
      </c>
      <c r="L518">
        <v>13</v>
      </c>
      <c r="M518">
        <v>64</v>
      </c>
      <c r="N518">
        <v>77</v>
      </c>
    </row>
    <row r="519" spans="1:14" x14ac:dyDescent="0.3">
      <c r="A519">
        <v>518</v>
      </c>
      <c r="B519" s="4">
        <v>40566</v>
      </c>
      <c r="C519" s="5">
        <v>0.66666666666666674</v>
      </c>
      <c r="D519" t="s">
        <v>8</v>
      </c>
      <c r="E519" t="s">
        <v>9</v>
      </c>
      <c r="F519" t="s">
        <v>12</v>
      </c>
      <c r="G519" t="s">
        <v>18</v>
      </c>
      <c r="H519">
        <v>0.16</v>
      </c>
      <c r="I519" s="3">
        <v>0.13639999999999999</v>
      </c>
      <c r="J519">
        <v>0.26</v>
      </c>
      <c r="K519">
        <v>0.32840000000000003</v>
      </c>
      <c r="L519">
        <v>9</v>
      </c>
      <c r="M519">
        <v>56</v>
      </c>
      <c r="N519">
        <v>65</v>
      </c>
    </row>
    <row r="520" spans="1:14" x14ac:dyDescent="0.3">
      <c r="A520">
        <v>519</v>
      </c>
      <c r="B520" s="4">
        <v>40566</v>
      </c>
      <c r="C520" s="5">
        <v>0.70833333333333326</v>
      </c>
      <c r="D520" t="s">
        <v>8</v>
      </c>
      <c r="E520" t="s">
        <v>9</v>
      </c>
      <c r="F520" t="s">
        <v>12</v>
      </c>
      <c r="G520" t="s">
        <v>18</v>
      </c>
      <c r="H520">
        <v>0.14000000000000001</v>
      </c>
      <c r="I520" s="3">
        <v>0.1061</v>
      </c>
      <c r="J520">
        <v>0.26</v>
      </c>
      <c r="K520">
        <v>0.3881</v>
      </c>
      <c r="L520">
        <v>5</v>
      </c>
      <c r="M520">
        <v>50</v>
      </c>
      <c r="N520">
        <v>55</v>
      </c>
    </row>
    <row r="521" spans="1:14" x14ac:dyDescent="0.3">
      <c r="A521">
        <v>520</v>
      </c>
      <c r="B521" s="4">
        <v>40566</v>
      </c>
      <c r="C521" s="5">
        <v>0.75</v>
      </c>
      <c r="D521" t="s">
        <v>8</v>
      </c>
      <c r="E521" t="s">
        <v>9</v>
      </c>
      <c r="F521" t="s">
        <v>12</v>
      </c>
      <c r="G521" t="s">
        <v>18</v>
      </c>
      <c r="H521">
        <v>0.12</v>
      </c>
      <c r="I521" s="3">
        <v>0.1212</v>
      </c>
      <c r="J521">
        <v>0.3</v>
      </c>
      <c r="K521">
        <v>0.25369999999999998</v>
      </c>
      <c r="L521">
        <v>5</v>
      </c>
      <c r="M521">
        <v>44</v>
      </c>
      <c r="N521">
        <v>49</v>
      </c>
    </row>
    <row r="522" spans="1:14" x14ac:dyDescent="0.3">
      <c r="A522">
        <v>521</v>
      </c>
      <c r="B522" s="4">
        <v>40566</v>
      </c>
      <c r="C522" s="5">
        <v>0.79166666666666674</v>
      </c>
      <c r="D522" t="s">
        <v>8</v>
      </c>
      <c r="E522" t="s">
        <v>9</v>
      </c>
      <c r="F522" t="s">
        <v>12</v>
      </c>
      <c r="G522" t="s">
        <v>18</v>
      </c>
      <c r="H522">
        <v>0.12</v>
      </c>
      <c r="I522" s="3">
        <v>0.1212</v>
      </c>
      <c r="J522">
        <v>0.3</v>
      </c>
      <c r="K522">
        <v>0.28360000000000002</v>
      </c>
      <c r="L522">
        <v>5</v>
      </c>
      <c r="M522">
        <v>45</v>
      </c>
      <c r="N522">
        <v>50</v>
      </c>
    </row>
    <row r="523" spans="1:14" x14ac:dyDescent="0.3">
      <c r="A523">
        <v>522</v>
      </c>
      <c r="B523" s="4">
        <v>40566</v>
      </c>
      <c r="C523" s="5">
        <v>0.83333333333333326</v>
      </c>
      <c r="D523" t="s">
        <v>8</v>
      </c>
      <c r="E523" t="s">
        <v>9</v>
      </c>
      <c r="F523" t="s">
        <v>12</v>
      </c>
      <c r="G523" t="s">
        <v>18</v>
      </c>
      <c r="H523">
        <v>0.1</v>
      </c>
      <c r="I523" s="3">
        <v>0.1061</v>
      </c>
      <c r="J523">
        <v>0.36</v>
      </c>
      <c r="K523">
        <v>0.25369999999999998</v>
      </c>
      <c r="L523">
        <v>4</v>
      </c>
      <c r="M523">
        <v>31</v>
      </c>
      <c r="N523">
        <v>35</v>
      </c>
    </row>
    <row r="524" spans="1:14" x14ac:dyDescent="0.3">
      <c r="A524">
        <v>523</v>
      </c>
      <c r="B524" s="4">
        <v>40566</v>
      </c>
      <c r="C524" s="5">
        <v>0.875</v>
      </c>
      <c r="D524" t="s">
        <v>8</v>
      </c>
      <c r="E524" t="s">
        <v>9</v>
      </c>
      <c r="F524" t="s">
        <v>12</v>
      </c>
      <c r="G524" t="s">
        <v>18</v>
      </c>
      <c r="H524">
        <v>0.1</v>
      </c>
      <c r="I524" s="3">
        <v>0.1061</v>
      </c>
      <c r="J524">
        <v>0.36</v>
      </c>
      <c r="K524">
        <v>0.19400000000000001</v>
      </c>
      <c r="L524">
        <v>5</v>
      </c>
      <c r="M524">
        <v>20</v>
      </c>
      <c r="N524">
        <v>25</v>
      </c>
    </row>
    <row r="525" spans="1:14" x14ac:dyDescent="0.3">
      <c r="A525">
        <v>524</v>
      </c>
      <c r="B525" s="4">
        <v>40566</v>
      </c>
      <c r="C525" s="5">
        <v>0.91666666666666674</v>
      </c>
      <c r="D525" t="s">
        <v>8</v>
      </c>
      <c r="E525" t="s">
        <v>9</v>
      </c>
      <c r="F525" t="s">
        <v>12</v>
      </c>
      <c r="G525" t="s">
        <v>18</v>
      </c>
      <c r="H525">
        <v>0.08</v>
      </c>
      <c r="I525" s="3">
        <v>9.0899999999999995E-2</v>
      </c>
      <c r="J525">
        <v>0.38</v>
      </c>
      <c r="K525">
        <v>0.19400000000000001</v>
      </c>
      <c r="L525">
        <v>5</v>
      </c>
      <c r="M525">
        <v>23</v>
      </c>
      <c r="N525">
        <v>28</v>
      </c>
    </row>
    <row r="526" spans="1:14" x14ac:dyDescent="0.3">
      <c r="A526">
        <v>525</v>
      </c>
      <c r="B526" s="4">
        <v>40566</v>
      </c>
      <c r="C526" s="5">
        <v>0.95833333333333326</v>
      </c>
      <c r="D526" t="s">
        <v>8</v>
      </c>
      <c r="E526" t="s">
        <v>9</v>
      </c>
      <c r="F526" t="s">
        <v>12</v>
      </c>
      <c r="G526" t="s">
        <v>18</v>
      </c>
      <c r="H526">
        <v>0.06</v>
      </c>
      <c r="I526" s="3">
        <v>6.0600000000000001E-2</v>
      </c>
      <c r="J526">
        <v>0.41</v>
      </c>
      <c r="K526">
        <v>0.22389999999999999</v>
      </c>
      <c r="L526">
        <v>4</v>
      </c>
      <c r="M526">
        <v>17</v>
      </c>
      <c r="N526">
        <v>21</v>
      </c>
    </row>
    <row r="527" spans="1:14" x14ac:dyDescent="0.3">
      <c r="A527">
        <v>526</v>
      </c>
      <c r="B527" s="4">
        <v>40567</v>
      </c>
      <c r="C527" s="5">
        <v>0</v>
      </c>
      <c r="D527" t="s">
        <v>8</v>
      </c>
      <c r="E527" t="s">
        <v>9</v>
      </c>
      <c r="F527" t="s">
        <v>13</v>
      </c>
      <c r="G527" t="s">
        <v>18</v>
      </c>
      <c r="H527">
        <v>0.06</v>
      </c>
      <c r="I527" s="3">
        <v>6.0600000000000001E-2</v>
      </c>
      <c r="J527">
        <v>0.41</v>
      </c>
      <c r="K527">
        <v>0.19400000000000001</v>
      </c>
      <c r="L527">
        <v>0</v>
      </c>
      <c r="M527">
        <v>7</v>
      </c>
      <c r="N527">
        <v>7</v>
      </c>
    </row>
    <row r="528" spans="1:14" x14ac:dyDescent="0.3">
      <c r="A528">
        <v>527</v>
      </c>
      <c r="B528" s="4">
        <v>40567</v>
      </c>
      <c r="C528" s="5">
        <v>4.1666666666666741E-2</v>
      </c>
      <c r="D528" t="s">
        <v>8</v>
      </c>
      <c r="E528" t="s">
        <v>9</v>
      </c>
      <c r="F528" t="s">
        <v>13</v>
      </c>
      <c r="G528" t="s">
        <v>18</v>
      </c>
      <c r="H528">
        <v>0.04</v>
      </c>
      <c r="I528" s="3">
        <v>4.5499999999999999E-2</v>
      </c>
      <c r="J528">
        <v>0.45</v>
      </c>
      <c r="K528">
        <v>0.19400000000000001</v>
      </c>
      <c r="L528">
        <v>0</v>
      </c>
      <c r="M528">
        <v>1</v>
      </c>
      <c r="N528">
        <v>1</v>
      </c>
    </row>
    <row r="529" spans="1:14" x14ac:dyDescent="0.3">
      <c r="A529">
        <v>528</v>
      </c>
      <c r="B529" s="4">
        <v>40567</v>
      </c>
      <c r="C529" s="5">
        <v>0.125</v>
      </c>
      <c r="D529" t="s">
        <v>8</v>
      </c>
      <c r="E529" t="s">
        <v>9</v>
      </c>
      <c r="F529" t="s">
        <v>13</v>
      </c>
      <c r="G529" t="s">
        <v>18</v>
      </c>
      <c r="H529">
        <v>0.04</v>
      </c>
      <c r="I529" s="3">
        <v>3.0300000000000001E-2</v>
      </c>
      <c r="J529">
        <v>0.45</v>
      </c>
      <c r="K529">
        <v>0.25369999999999998</v>
      </c>
      <c r="L529">
        <v>0</v>
      </c>
      <c r="M529">
        <v>1</v>
      </c>
      <c r="N529">
        <v>1</v>
      </c>
    </row>
    <row r="530" spans="1:14" x14ac:dyDescent="0.3">
      <c r="A530">
        <v>529</v>
      </c>
      <c r="B530" s="4">
        <v>40567</v>
      </c>
      <c r="C530" s="5">
        <v>0.16666666666666674</v>
      </c>
      <c r="D530" t="s">
        <v>8</v>
      </c>
      <c r="E530" t="s">
        <v>9</v>
      </c>
      <c r="F530" t="s">
        <v>13</v>
      </c>
      <c r="G530" t="s">
        <v>18</v>
      </c>
      <c r="H530">
        <v>0.02</v>
      </c>
      <c r="I530" s="3">
        <v>6.0600000000000001E-2</v>
      </c>
      <c r="J530">
        <v>0.48</v>
      </c>
      <c r="K530">
        <v>0.1343</v>
      </c>
      <c r="L530">
        <v>0</v>
      </c>
      <c r="M530">
        <v>1</v>
      </c>
      <c r="N530">
        <v>1</v>
      </c>
    </row>
    <row r="531" spans="1:14" x14ac:dyDescent="0.3">
      <c r="A531">
        <v>530</v>
      </c>
      <c r="B531" s="4">
        <v>40567</v>
      </c>
      <c r="C531" s="5">
        <v>0.20833333333333326</v>
      </c>
      <c r="D531" t="s">
        <v>8</v>
      </c>
      <c r="E531" t="s">
        <v>9</v>
      </c>
      <c r="F531" t="s">
        <v>13</v>
      </c>
      <c r="G531" t="s">
        <v>18</v>
      </c>
      <c r="H531">
        <v>0.02</v>
      </c>
      <c r="I531" s="3">
        <v>6.0600000000000001E-2</v>
      </c>
      <c r="J531">
        <v>0.48</v>
      </c>
      <c r="K531">
        <v>0.1343</v>
      </c>
      <c r="L531">
        <v>0</v>
      </c>
      <c r="M531">
        <v>5</v>
      </c>
      <c r="N531">
        <v>5</v>
      </c>
    </row>
    <row r="532" spans="1:14" x14ac:dyDescent="0.3">
      <c r="A532">
        <v>531</v>
      </c>
      <c r="B532" s="4">
        <v>40567</v>
      </c>
      <c r="C532" s="5">
        <v>0.25</v>
      </c>
      <c r="D532" t="s">
        <v>8</v>
      </c>
      <c r="E532" t="s">
        <v>9</v>
      </c>
      <c r="F532" t="s">
        <v>13</v>
      </c>
      <c r="G532" t="s">
        <v>18</v>
      </c>
      <c r="H532">
        <v>0.02</v>
      </c>
      <c r="I532" s="3">
        <v>7.5800000000000006E-2</v>
      </c>
      <c r="J532">
        <v>0.48</v>
      </c>
      <c r="K532">
        <v>8.9599999999999999E-2</v>
      </c>
      <c r="L532">
        <v>0</v>
      </c>
      <c r="M532">
        <v>15</v>
      </c>
      <c r="N532">
        <v>15</v>
      </c>
    </row>
    <row r="533" spans="1:14" x14ac:dyDescent="0.3">
      <c r="A533">
        <v>532</v>
      </c>
      <c r="B533" s="4">
        <v>40567</v>
      </c>
      <c r="C533" s="5">
        <v>0.29166666666666674</v>
      </c>
      <c r="D533" t="s">
        <v>8</v>
      </c>
      <c r="E533" t="s">
        <v>9</v>
      </c>
      <c r="F533" t="s">
        <v>13</v>
      </c>
      <c r="G533" t="s">
        <v>18</v>
      </c>
      <c r="H533">
        <v>0.02</v>
      </c>
      <c r="I533" s="3">
        <v>0.1212</v>
      </c>
      <c r="J533">
        <v>0.48</v>
      </c>
      <c r="K533">
        <v>0</v>
      </c>
      <c r="L533">
        <v>5</v>
      </c>
      <c r="M533">
        <v>79</v>
      </c>
      <c r="N533">
        <v>84</v>
      </c>
    </row>
    <row r="534" spans="1:14" x14ac:dyDescent="0.3">
      <c r="A534">
        <v>533</v>
      </c>
      <c r="B534" s="4">
        <v>40567</v>
      </c>
      <c r="C534" s="5">
        <v>0.33333333333333326</v>
      </c>
      <c r="D534" t="s">
        <v>8</v>
      </c>
      <c r="E534" t="s">
        <v>9</v>
      </c>
      <c r="F534" t="s">
        <v>13</v>
      </c>
      <c r="G534" t="s">
        <v>18</v>
      </c>
      <c r="H534">
        <v>0.04</v>
      </c>
      <c r="I534" s="3">
        <v>0.13639999999999999</v>
      </c>
      <c r="J534">
        <v>0.49</v>
      </c>
      <c r="K534">
        <v>0</v>
      </c>
      <c r="L534">
        <v>6</v>
      </c>
      <c r="M534">
        <v>171</v>
      </c>
      <c r="N534">
        <v>177</v>
      </c>
    </row>
    <row r="535" spans="1:14" x14ac:dyDescent="0.3">
      <c r="A535">
        <v>534</v>
      </c>
      <c r="B535" s="4">
        <v>40567</v>
      </c>
      <c r="C535" s="5">
        <v>0.375</v>
      </c>
      <c r="D535" t="s">
        <v>8</v>
      </c>
      <c r="E535" t="s">
        <v>9</v>
      </c>
      <c r="F535" t="s">
        <v>13</v>
      </c>
      <c r="G535" t="s">
        <v>18</v>
      </c>
      <c r="H535">
        <v>0.06</v>
      </c>
      <c r="I535" s="3">
        <v>0.1515</v>
      </c>
      <c r="J535">
        <v>0.41</v>
      </c>
      <c r="K535">
        <v>0</v>
      </c>
      <c r="L535">
        <v>4</v>
      </c>
      <c r="M535">
        <v>98</v>
      </c>
      <c r="N535">
        <v>102</v>
      </c>
    </row>
    <row r="536" spans="1:14" x14ac:dyDescent="0.3">
      <c r="A536">
        <v>535</v>
      </c>
      <c r="B536" s="4">
        <v>40567</v>
      </c>
      <c r="C536" s="5">
        <v>0.41666666666666674</v>
      </c>
      <c r="D536" t="s">
        <v>8</v>
      </c>
      <c r="E536" t="s">
        <v>9</v>
      </c>
      <c r="F536" t="s">
        <v>13</v>
      </c>
      <c r="G536" t="s">
        <v>18</v>
      </c>
      <c r="H536">
        <v>0.1</v>
      </c>
      <c r="I536" s="3">
        <v>0.13639999999999999</v>
      </c>
      <c r="J536">
        <v>0.42</v>
      </c>
      <c r="K536">
        <v>0</v>
      </c>
      <c r="L536">
        <v>6</v>
      </c>
      <c r="M536">
        <v>34</v>
      </c>
      <c r="N536">
        <v>40</v>
      </c>
    </row>
    <row r="537" spans="1:14" x14ac:dyDescent="0.3">
      <c r="A537">
        <v>536</v>
      </c>
      <c r="B537" s="4">
        <v>40567</v>
      </c>
      <c r="C537" s="5">
        <v>0.45833333333333326</v>
      </c>
      <c r="D537" t="s">
        <v>8</v>
      </c>
      <c r="E537" t="s">
        <v>9</v>
      </c>
      <c r="F537" t="s">
        <v>13</v>
      </c>
      <c r="G537" t="s">
        <v>18</v>
      </c>
      <c r="H537">
        <v>0.1</v>
      </c>
      <c r="I537" s="3">
        <v>0.1212</v>
      </c>
      <c r="J537">
        <v>0.46</v>
      </c>
      <c r="K537">
        <v>0.1343</v>
      </c>
      <c r="L537">
        <v>3</v>
      </c>
      <c r="M537">
        <v>43</v>
      </c>
      <c r="N537">
        <v>46</v>
      </c>
    </row>
    <row r="538" spans="1:14" x14ac:dyDescent="0.3">
      <c r="A538">
        <v>537</v>
      </c>
      <c r="B538" s="4">
        <v>40567</v>
      </c>
      <c r="C538" s="5">
        <v>0.5</v>
      </c>
      <c r="D538" t="s">
        <v>8</v>
      </c>
      <c r="E538" t="s">
        <v>9</v>
      </c>
      <c r="F538" t="s">
        <v>13</v>
      </c>
      <c r="G538" t="s">
        <v>19</v>
      </c>
      <c r="H538">
        <v>0.12</v>
      </c>
      <c r="I538" s="3">
        <v>0.13639999999999999</v>
      </c>
      <c r="J538">
        <v>0.42</v>
      </c>
      <c r="K538">
        <v>0.19400000000000001</v>
      </c>
      <c r="L538">
        <v>11</v>
      </c>
      <c r="M538">
        <v>52</v>
      </c>
      <c r="N538">
        <v>63</v>
      </c>
    </row>
    <row r="539" spans="1:14" x14ac:dyDescent="0.3">
      <c r="A539">
        <v>538</v>
      </c>
      <c r="B539" s="4">
        <v>40567</v>
      </c>
      <c r="C539" s="5">
        <v>0.54166666666666674</v>
      </c>
      <c r="D539" t="s">
        <v>8</v>
      </c>
      <c r="E539" t="s">
        <v>9</v>
      </c>
      <c r="F539" t="s">
        <v>13</v>
      </c>
      <c r="G539" t="s">
        <v>19</v>
      </c>
      <c r="H539">
        <v>0.14000000000000001</v>
      </c>
      <c r="I539" s="3">
        <v>0.13639999999999999</v>
      </c>
      <c r="J539">
        <v>0.43</v>
      </c>
      <c r="K539">
        <v>0.22389999999999999</v>
      </c>
      <c r="L539">
        <v>6</v>
      </c>
      <c r="M539">
        <v>54</v>
      </c>
      <c r="N539">
        <v>60</v>
      </c>
    </row>
    <row r="540" spans="1:14" x14ac:dyDescent="0.3">
      <c r="A540">
        <v>539</v>
      </c>
      <c r="B540" s="4">
        <v>40567</v>
      </c>
      <c r="C540" s="5">
        <v>0.58333333333333326</v>
      </c>
      <c r="D540" t="s">
        <v>8</v>
      </c>
      <c r="E540" t="s">
        <v>9</v>
      </c>
      <c r="F540" t="s">
        <v>13</v>
      </c>
      <c r="G540" t="s">
        <v>19</v>
      </c>
      <c r="H540">
        <v>0.14000000000000001</v>
      </c>
      <c r="I540" s="3">
        <v>0.13639999999999999</v>
      </c>
      <c r="J540">
        <v>0.46</v>
      </c>
      <c r="K540">
        <v>0.22389999999999999</v>
      </c>
      <c r="L540">
        <v>2</v>
      </c>
      <c r="M540">
        <v>43</v>
      </c>
      <c r="N540">
        <v>45</v>
      </c>
    </row>
    <row r="541" spans="1:14" x14ac:dyDescent="0.3">
      <c r="A541">
        <v>540</v>
      </c>
      <c r="B541" s="4">
        <v>40567</v>
      </c>
      <c r="C541" s="5">
        <v>0.625</v>
      </c>
      <c r="D541" t="s">
        <v>8</v>
      </c>
      <c r="E541" t="s">
        <v>9</v>
      </c>
      <c r="F541" t="s">
        <v>13</v>
      </c>
      <c r="G541" t="s">
        <v>18</v>
      </c>
      <c r="H541">
        <v>0.16</v>
      </c>
      <c r="I541" s="3">
        <v>0.16669999999999999</v>
      </c>
      <c r="J541">
        <v>0.4</v>
      </c>
      <c r="K541">
        <v>0.16420000000000001</v>
      </c>
      <c r="L541">
        <v>7</v>
      </c>
      <c r="M541">
        <v>50</v>
      </c>
      <c r="N541">
        <v>57</v>
      </c>
    </row>
    <row r="542" spans="1:14" x14ac:dyDescent="0.3">
      <c r="A542">
        <v>541</v>
      </c>
      <c r="B542" s="4">
        <v>40567</v>
      </c>
      <c r="C542" s="5">
        <v>0.66666666666666674</v>
      </c>
      <c r="D542" t="s">
        <v>8</v>
      </c>
      <c r="E542" t="s">
        <v>9</v>
      </c>
      <c r="F542" t="s">
        <v>13</v>
      </c>
      <c r="G542" t="s">
        <v>18</v>
      </c>
      <c r="H542">
        <v>0.16</v>
      </c>
      <c r="I542" s="3">
        <v>0.1515</v>
      </c>
      <c r="J542">
        <v>0.47</v>
      </c>
      <c r="K542">
        <v>0.25369999999999998</v>
      </c>
      <c r="L542">
        <v>4</v>
      </c>
      <c r="M542">
        <v>66</v>
      </c>
      <c r="N542">
        <v>70</v>
      </c>
    </row>
    <row r="543" spans="1:14" x14ac:dyDescent="0.3">
      <c r="A543">
        <v>542</v>
      </c>
      <c r="B543" s="4">
        <v>40567</v>
      </c>
      <c r="C543" s="5">
        <v>0.70833333333333326</v>
      </c>
      <c r="D543" t="s">
        <v>8</v>
      </c>
      <c r="E543" t="s">
        <v>9</v>
      </c>
      <c r="F543" t="s">
        <v>13</v>
      </c>
      <c r="G543" t="s">
        <v>18</v>
      </c>
      <c r="H543">
        <v>0.14000000000000001</v>
      </c>
      <c r="I543" s="3">
        <v>0.1212</v>
      </c>
      <c r="J543">
        <v>0.5</v>
      </c>
      <c r="K543">
        <v>0.25369999999999998</v>
      </c>
      <c r="L543">
        <v>6</v>
      </c>
      <c r="M543">
        <v>178</v>
      </c>
      <c r="N543">
        <v>184</v>
      </c>
    </row>
    <row r="544" spans="1:14" x14ac:dyDescent="0.3">
      <c r="A544">
        <v>543</v>
      </c>
      <c r="B544" s="4">
        <v>40567</v>
      </c>
      <c r="C544" s="5">
        <v>0.75</v>
      </c>
      <c r="D544" t="s">
        <v>8</v>
      </c>
      <c r="E544" t="s">
        <v>9</v>
      </c>
      <c r="F544" t="s">
        <v>13</v>
      </c>
      <c r="G544" t="s">
        <v>18</v>
      </c>
      <c r="H544">
        <v>0.14000000000000001</v>
      </c>
      <c r="I544" s="3">
        <v>0.13639999999999999</v>
      </c>
      <c r="J544">
        <v>0.59</v>
      </c>
      <c r="K544">
        <v>0.19400000000000001</v>
      </c>
      <c r="L544">
        <v>8</v>
      </c>
      <c r="M544">
        <v>145</v>
      </c>
      <c r="N544">
        <v>153</v>
      </c>
    </row>
    <row r="545" spans="1:14" x14ac:dyDescent="0.3">
      <c r="A545">
        <v>544</v>
      </c>
      <c r="B545" s="4">
        <v>40567</v>
      </c>
      <c r="C545" s="5">
        <v>0.79166666666666674</v>
      </c>
      <c r="D545" t="s">
        <v>8</v>
      </c>
      <c r="E545" t="s">
        <v>9</v>
      </c>
      <c r="F545" t="s">
        <v>13</v>
      </c>
      <c r="G545" t="s">
        <v>18</v>
      </c>
      <c r="H545">
        <v>0.14000000000000001</v>
      </c>
      <c r="I545" s="3">
        <v>0.1515</v>
      </c>
      <c r="J545">
        <v>0.54</v>
      </c>
      <c r="K545">
        <v>0.16420000000000001</v>
      </c>
      <c r="L545">
        <v>5</v>
      </c>
      <c r="M545">
        <v>101</v>
      </c>
      <c r="N545">
        <v>106</v>
      </c>
    </row>
    <row r="546" spans="1:14" x14ac:dyDescent="0.3">
      <c r="A546">
        <v>545</v>
      </c>
      <c r="B546" s="4">
        <v>40567</v>
      </c>
      <c r="C546" s="5">
        <v>0.83333333333333326</v>
      </c>
      <c r="D546" t="s">
        <v>8</v>
      </c>
      <c r="E546" t="s">
        <v>9</v>
      </c>
      <c r="F546" t="s">
        <v>13</v>
      </c>
      <c r="G546" t="s">
        <v>18</v>
      </c>
      <c r="H546">
        <v>0.14000000000000001</v>
      </c>
      <c r="I546" s="3">
        <v>0.13639999999999999</v>
      </c>
      <c r="J546">
        <v>0.59</v>
      </c>
      <c r="K546">
        <v>0.19400000000000001</v>
      </c>
      <c r="L546">
        <v>1</v>
      </c>
      <c r="M546">
        <v>80</v>
      </c>
      <c r="N546">
        <v>81</v>
      </c>
    </row>
    <row r="547" spans="1:14" x14ac:dyDescent="0.3">
      <c r="A547">
        <v>546</v>
      </c>
      <c r="B547" s="4">
        <v>40567</v>
      </c>
      <c r="C547" s="5">
        <v>0.875</v>
      </c>
      <c r="D547" t="s">
        <v>8</v>
      </c>
      <c r="E547" t="s">
        <v>9</v>
      </c>
      <c r="F547" t="s">
        <v>13</v>
      </c>
      <c r="G547" t="s">
        <v>18</v>
      </c>
      <c r="H547">
        <v>0.14000000000000001</v>
      </c>
      <c r="I547" s="3">
        <v>0.1515</v>
      </c>
      <c r="J547">
        <v>0.63</v>
      </c>
      <c r="K547">
        <v>0.16420000000000001</v>
      </c>
      <c r="L547">
        <v>6</v>
      </c>
      <c r="M547">
        <v>53</v>
      </c>
      <c r="N547">
        <v>59</v>
      </c>
    </row>
    <row r="548" spans="1:14" x14ac:dyDescent="0.3">
      <c r="A548">
        <v>547</v>
      </c>
      <c r="B548" s="4">
        <v>40567</v>
      </c>
      <c r="C548" s="5">
        <v>0.91666666666666674</v>
      </c>
      <c r="D548" t="s">
        <v>8</v>
      </c>
      <c r="E548" t="s">
        <v>9</v>
      </c>
      <c r="F548" t="s">
        <v>13</v>
      </c>
      <c r="G548" t="s">
        <v>19</v>
      </c>
      <c r="H548">
        <v>0.14000000000000001</v>
      </c>
      <c r="I548" s="3">
        <v>0.13639999999999999</v>
      </c>
      <c r="J548">
        <v>0.63</v>
      </c>
      <c r="K548">
        <v>0.22389999999999999</v>
      </c>
      <c r="L548">
        <v>3</v>
      </c>
      <c r="M548">
        <v>32</v>
      </c>
      <c r="N548">
        <v>35</v>
      </c>
    </row>
    <row r="549" spans="1:14" x14ac:dyDescent="0.3">
      <c r="A549">
        <v>548</v>
      </c>
      <c r="B549" s="4">
        <v>40567</v>
      </c>
      <c r="C549" s="5">
        <v>0.95833333333333326</v>
      </c>
      <c r="D549" t="s">
        <v>8</v>
      </c>
      <c r="E549" t="s">
        <v>9</v>
      </c>
      <c r="F549" t="s">
        <v>13</v>
      </c>
      <c r="G549" t="s">
        <v>19</v>
      </c>
      <c r="H549">
        <v>0.16</v>
      </c>
      <c r="I549" s="3">
        <v>0.1515</v>
      </c>
      <c r="J549">
        <v>0.64</v>
      </c>
      <c r="K549">
        <v>0.25369999999999998</v>
      </c>
      <c r="L549">
        <v>3</v>
      </c>
      <c r="M549">
        <v>21</v>
      </c>
      <c r="N549">
        <v>24</v>
      </c>
    </row>
    <row r="550" spans="1:14" x14ac:dyDescent="0.3">
      <c r="A550">
        <v>549</v>
      </c>
      <c r="B550" s="4">
        <v>40568</v>
      </c>
      <c r="C550" s="5">
        <v>0</v>
      </c>
      <c r="D550" t="s">
        <v>8</v>
      </c>
      <c r="E550" t="s">
        <v>9</v>
      </c>
      <c r="F550" t="s">
        <v>14</v>
      </c>
      <c r="G550" t="s">
        <v>19</v>
      </c>
      <c r="H550">
        <v>0.16</v>
      </c>
      <c r="I550" s="3">
        <v>0.13639999999999999</v>
      </c>
      <c r="J550">
        <v>0.69</v>
      </c>
      <c r="K550">
        <v>0.28360000000000002</v>
      </c>
      <c r="L550">
        <v>3</v>
      </c>
      <c r="M550">
        <v>6</v>
      </c>
      <c r="N550">
        <v>9</v>
      </c>
    </row>
    <row r="551" spans="1:14" x14ac:dyDescent="0.3">
      <c r="A551">
        <v>550</v>
      </c>
      <c r="B551" s="4">
        <v>40568</v>
      </c>
      <c r="C551" s="5">
        <v>4.1666666666666741E-2</v>
      </c>
      <c r="D551" t="s">
        <v>8</v>
      </c>
      <c r="E551" t="s">
        <v>9</v>
      </c>
      <c r="F551" t="s">
        <v>14</v>
      </c>
      <c r="G551" t="s">
        <v>19</v>
      </c>
      <c r="H551">
        <v>0.16</v>
      </c>
      <c r="I551" s="3">
        <v>0.16669999999999999</v>
      </c>
      <c r="J551">
        <v>0.69</v>
      </c>
      <c r="K551">
        <v>0.16420000000000001</v>
      </c>
      <c r="L551">
        <v>0</v>
      </c>
      <c r="M551">
        <v>5</v>
      </c>
      <c r="N551">
        <v>5</v>
      </c>
    </row>
    <row r="552" spans="1:14" x14ac:dyDescent="0.3">
      <c r="A552">
        <v>551</v>
      </c>
      <c r="B552" s="4">
        <v>40568</v>
      </c>
      <c r="C552" s="5">
        <v>8.3333333333333259E-2</v>
      </c>
      <c r="D552" t="s">
        <v>8</v>
      </c>
      <c r="E552" t="s">
        <v>9</v>
      </c>
      <c r="F552" t="s">
        <v>14</v>
      </c>
      <c r="G552" t="s">
        <v>18</v>
      </c>
      <c r="H552">
        <v>0.16</v>
      </c>
      <c r="I552" s="3">
        <v>0.1515</v>
      </c>
      <c r="J552">
        <v>0.69</v>
      </c>
      <c r="K552">
        <v>0.22389999999999999</v>
      </c>
      <c r="L552">
        <v>0</v>
      </c>
      <c r="M552">
        <v>2</v>
      </c>
      <c r="N552">
        <v>2</v>
      </c>
    </row>
    <row r="553" spans="1:14" x14ac:dyDescent="0.3">
      <c r="A553">
        <v>552</v>
      </c>
      <c r="B553" s="4">
        <v>40568</v>
      </c>
      <c r="C553" s="5">
        <v>0.16666666666666674</v>
      </c>
      <c r="D553" t="s">
        <v>8</v>
      </c>
      <c r="E553" t="s">
        <v>9</v>
      </c>
      <c r="F553" t="s">
        <v>14</v>
      </c>
      <c r="G553" t="s">
        <v>18</v>
      </c>
      <c r="H553">
        <v>0.14000000000000001</v>
      </c>
      <c r="I553" s="3">
        <v>0.16669999999999999</v>
      </c>
      <c r="J553">
        <v>0.74</v>
      </c>
      <c r="K553">
        <v>0.1045</v>
      </c>
      <c r="L553">
        <v>0</v>
      </c>
      <c r="M553">
        <v>1</v>
      </c>
      <c r="N553">
        <v>1</v>
      </c>
    </row>
    <row r="554" spans="1:14" x14ac:dyDescent="0.3">
      <c r="A554">
        <v>553</v>
      </c>
      <c r="B554" s="4">
        <v>40568</v>
      </c>
      <c r="C554" s="5">
        <v>0.20833333333333326</v>
      </c>
      <c r="D554" t="s">
        <v>8</v>
      </c>
      <c r="E554" t="s">
        <v>9</v>
      </c>
      <c r="F554" t="s">
        <v>14</v>
      </c>
      <c r="G554" t="s">
        <v>18</v>
      </c>
      <c r="H554">
        <v>0.14000000000000001</v>
      </c>
      <c r="I554" s="3">
        <v>0.13639999999999999</v>
      </c>
      <c r="J554">
        <v>0.74</v>
      </c>
      <c r="K554">
        <v>0.22389999999999999</v>
      </c>
      <c r="L554">
        <v>0</v>
      </c>
      <c r="M554">
        <v>9</v>
      </c>
      <c r="N554">
        <v>9</v>
      </c>
    </row>
    <row r="555" spans="1:14" x14ac:dyDescent="0.3">
      <c r="A555">
        <v>554</v>
      </c>
      <c r="B555" s="4">
        <v>40568</v>
      </c>
      <c r="C555" s="5">
        <v>0.25</v>
      </c>
      <c r="D555" t="s">
        <v>8</v>
      </c>
      <c r="E555" t="s">
        <v>9</v>
      </c>
      <c r="F555" t="s">
        <v>14</v>
      </c>
      <c r="G555" t="s">
        <v>18</v>
      </c>
      <c r="H555">
        <v>0.16</v>
      </c>
      <c r="I555" s="3">
        <v>0.18179999999999999</v>
      </c>
      <c r="J555">
        <v>0.74</v>
      </c>
      <c r="K555">
        <v>0.1045</v>
      </c>
      <c r="L555">
        <v>1</v>
      </c>
      <c r="M555">
        <v>35</v>
      </c>
      <c r="N555">
        <v>36</v>
      </c>
    </row>
    <row r="556" spans="1:14" x14ac:dyDescent="0.3">
      <c r="A556">
        <v>555</v>
      </c>
      <c r="B556" s="4">
        <v>40568</v>
      </c>
      <c r="C556" s="5">
        <v>0.29166666666666674</v>
      </c>
      <c r="D556" t="s">
        <v>8</v>
      </c>
      <c r="E556" t="s">
        <v>9</v>
      </c>
      <c r="F556" t="s">
        <v>14</v>
      </c>
      <c r="G556" t="s">
        <v>18</v>
      </c>
      <c r="H556">
        <v>0.16</v>
      </c>
      <c r="I556" s="3">
        <v>0.1515</v>
      </c>
      <c r="J556">
        <v>0.74</v>
      </c>
      <c r="K556">
        <v>0.22389999999999999</v>
      </c>
      <c r="L556">
        <v>5</v>
      </c>
      <c r="M556">
        <v>103</v>
      </c>
      <c r="N556">
        <v>108</v>
      </c>
    </row>
    <row r="557" spans="1:14" x14ac:dyDescent="0.3">
      <c r="A557">
        <v>556</v>
      </c>
      <c r="B557" s="4">
        <v>40568</v>
      </c>
      <c r="C557" s="5">
        <v>0.33333333333333326</v>
      </c>
      <c r="D557" t="s">
        <v>8</v>
      </c>
      <c r="E557" t="s">
        <v>9</v>
      </c>
      <c r="F557" t="s">
        <v>14</v>
      </c>
      <c r="G557" t="s">
        <v>19</v>
      </c>
      <c r="H557">
        <v>0.16</v>
      </c>
      <c r="I557" s="3">
        <v>0.18179999999999999</v>
      </c>
      <c r="J557">
        <v>0.74</v>
      </c>
      <c r="K557">
        <v>0.1343</v>
      </c>
      <c r="L557">
        <v>5</v>
      </c>
      <c r="M557">
        <v>233</v>
      </c>
      <c r="N557">
        <v>238</v>
      </c>
    </row>
    <row r="558" spans="1:14" x14ac:dyDescent="0.3">
      <c r="A558">
        <v>557</v>
      </c>
      <c r="B558" s="4">
        <v>40568</v>
      </c>
      <c r="C558" s="5">
        <v>0.375</v>
      </c>
      <c r="D558" t="s">
        <v>8</v>
      </c>
      <c r="E558" t="s">
        <v>9</v>
      </c>
      <c r="F558" t="s">
        <v>14</v>
      </c>
      <c r="G558" t="s">
        <v>19</v>
      </c>
      <c r="H558">
        <v>0.2</v>
      </c>
      <c r="I558" s="3">
        <v>0.2273</v>
      </c>
      <c r="J558">
        <v>0.64</v>
      </c>
      <c r="K558">
        <v>8.9599999999999999E-2</v>
      </c>
      <c r="L558">
        <v>10</v>
      </c>
      <c r="M558">
        <v>134</v>
      </c>
      <c r="N558">
        <v>144</v>
      </c>
    </row>
    <row r="559" spans="1:14" x14ac:dyDescent="0.3">
      <c r="A559">
        <v>558</v>
      </c>
      <c r="B559" s="4">
        <v>40568</v>
      </c>
      <c r="C559" s="5">
        <v>0.41666666666666674</v>
      </c>
      <c r="D559" t="s">
        <v>8</v>
      </c>
      <c r="E559" t="s">
        <v>9</v>
      </c>
      <c r="F559" t="s">
        <v>14</v>
      </c>
      <c r="G559" t="s">
        <v>19</v>
      </c>
      <c r="H559">
        <v>0.22</v>
      </c>
      <c r="I559" s="3">
        <v>0.2424</v>
      </c>
      <c r="J559">
        <v>0.6</v>
      </c>
      <c r="K559">
        <v>0.1045</v>
      </c>
      <c r="L559">
        <v>6</v>
      </c>
      <c r="M559">
        <v>49</v>
      </c>
      <c r="N559">
        <v>55</v>
      </c>
    </row>
    <row r="560" spans="1:14" x14ac:dyDescent="0.3">
      <c r="A560">
        <v>559</v>
      </c>
      <c r="B560" s="4">
        <v>40568</v>
      </c>
      <c r="C560" s="5">
        <v>0.45833333333333326</v>
      </c>
      <c r="D560" t="s">
        <v>8</v>
      </c>
      <c r="E560" t="s">
        <v>9</v>
      </c>
      <c r="F560" t="s">
        <v>14</v>
      </c>
      <c r="G560" t="s">
        <v>19</v>
      </c>
      <c r="H560">
        <v>0.24</v>
      </c>
      <c r="I560" s="3">
        <v>0.2424</v>
      </c>
      <c r="J560">
        <v>0.6</v>
      </c>
      <c r="K560">
        <v>0.1343</v>
      </c>
      <c r="L560">
        <v>6</v>
      </c>
      <c r="M560">
        <v>55</v>
      </c>
      <c r="N560">
        <v>61</v>
      </c>
    </row>
    <row r="561" spans="1:14" x14ac:dyDescent="0.3">
      <c r="A561">
        <v>560</v>
      </c>
      <c r="B561" s="4">
        <v>40568</v>
      </c>
      <c r="C561" s="5">
        <v>0.5</v>
      </c>
      <c r="D561" t="s">
        <v>8</v>
      </c>
      <c r="E561" t="s">
        <v>9</v>
      </c>
      <c r="F561" t="s">
        <v>14</v>
      </c>
      <c r="G561" t="s">
        <v>19</v>
      </c>
      <c r="H561">
        <v>0.26</v>
      </c>
      <c r="I561" s="3">
        <v>0.28789999999999999</v>
      </c>
      <c r="J561">
        <v>0.56000000000000005</v>
      </c>
      <c r="K561">
        <v>8.9599999999999999E-2</v>
      </c>
      <c r="L561">
        <v>21</v>
      </c>
      <c r="M561">
        <v>85</v>
      </c>
      <c r="N561">
        <v>106</v>
      </c>
    </row>
    <row r="562" spans="1:14" x14ac:dyDescent="0.3">
      <c r="A562">
        <v>561</v>
      </c>
      <c r="B562" s="4">
        <v>40568</v>
      </c>
      <c r="C562" s="5">
        <v>0.54166666666666674</v>
      </c>
      <c r="D562" t="s">
        <v>8</v>
      </c>
      <c r="E562" t="s">
        <v>9</v>
      </c>
      <c r="F562" t="s">
        <v>14</v>
      </c>
      <c r="G562" t="s">
        <v>19</v>
      </c>
      <c r="H562">
        <v>0.26</v>
      </c>
      <c r="I562" s="3">
        <v>0.2727</v>
      </c>
      <c r="J562">
        <v>0.56000000000000005</v>
      </c>
      <c r="K562">
        <v>0.1343</v>
      </c>
      <c r="L562">
        <v>21</v>
      </c>
      <c r="M562">
        <v>72</v>
      </c>
      <c r="N562">
        <v>93</v>
      </c>
    </row>
    <row r="563" spans="1:14" x14ac:dyDescent="0.3">
      <c r="A563">
        <v>562</v>
      </c>
      <c r="B563" s="4">
        <v>40568</v>
      </c>
      <c r="C563" s="5">
        <v>0.58333333333333326</v>
      </c>
      <c r="D563" t="s">
        <v>8</v>
      </c>
      <c r="E563" t="s">
        <v>9</v>
      </c>
      <c r="F563" t="s">
        <v>14</v>
      </c>
      <c r="G563" t="s">
        <v>19</v>
      </c>
      <c r="H563">
        <v>0.3</v>
      </c>
      <c r="I563" s="3">
        <v>0.33329999999999999</v>
      </c>
      <c r="J563">
        <v>0.45</v>
      </c>
      <c r="K563">
        <v>0</v>
      </c>
      <c r="L563">
        <v>11</v>
      </c>
      <c r="M563">
        <v>57</v>
      </c>
      <c r="N563">
        <v>68</v>
      </c>
    </row>
    <row r="564" spans="1:14" x14ac:dyDescent="0.3">
      <c r="A564">
        <v>563</v>
      </c>
      <c r="B564" s="4">
        <v>40568</v>
      </c>
      <c r="C564" s="5">
        <v>0.625</v>
      </c>
      <c r="D564" t="s">
        <v>8</v>
      </c>
      <c r="E564" t="s">
        <v>9</v>
      </c>
      <c r="F564" t="s">
        <v>14</v>
      </c>
      <c r="G564" t="s">
        <v>19</v>
      </c>
      <c r="H564">
        <v>0.32</v>
      </c>
      <c r="I564" s="3">
        <v>0.34849999999999998</v>
      </c>
      <c r="J564">
        <v>0.42</v>
      </c>
      <c r="K564">
        <v>0</v>
      </c>
      <c r="L564">
        <v>21</v>
      </c>
      <c r="M564">
        <v>63</v>
      </c>
      <c r="N564">
        <v>84</v>
      </c>
    </row>
    <row r="565" spans="1:14" x14ac:dyDescent="0.3">
      <c r="A565">
        <v>564</v>
      </c>
      <c r="B565" s="4">
        <v>40568</v>
      </c>
      <c r="C565" s="5">
        <v>0.66666666666666674</v>
      </c>
      <c r="D565" t="s">
        <v>8</v>
      </c>
      <c r="E565" t="s">
        <v>9</v>
      </c>
      <c r="F565" t="s">
        <v>14</v>
      </c>
      <c r="G565" t="s">
        <v>19</v>
      </c>
      <c r="H565">
        <v>0.32</v>
      </c>
      <c r="I565" s="3">
        <v>0.34849999999999998</v>
      </c>
      <c r="J565">
        <v>0.42</v>
      </c>
      <c r="K565">
        <v>0</v>
      </c>
      <c r="L565">
        <v>14</v>
      </c>
      <c r="M565">
        <v>102</v>
      </c>
      <c r="N565">
        <v>116</v>
      </c>
    </row>
    <row r="566" spans="1:14" x14ac:dyDescent="0.3">
      <c r="A566">
        <v>565</v>
      </c>
      <c r="B566" s="4">
        <v>40568</v>
      </c>
      <c r="C566" s="5">
        <v>0.70833333333333326</v>
      </c>
      <c r="D566" t="s">
        <v>8</v>
      </c>
      <c r="E566" t="s">
        <v>9</v>
      </c>
      <c r="F566" t="s">
        <v>14</v>
      </c>
      <c r="G566" t="s">
        <v>18</v>
      </c>
      <c r="H566">
        <v>0.3</v>
      </c>
      <c r="I566" s="3">
        <v>0.33329999999999999</v>
      </c>
      <c r="J566">
        <v>0.45</v>
      </c>
      <c r="K566">
        <v>0</v>
      </c>
      <c r="L566">
        <v>14</v>
      </c>
      <c r="M566">
        <v>208</v>
      </c>
      <c r="N566">
        <v>222</v>
      </c>
    </row>
    <row r="567" spans="1:14" x14ac:dyDescent="0.3">
      <c r="A567">
        <v>566</v>
      </c>
      <c r="B567" s="4">
        <v>40568</v>
      </c>
      <c r="C567" s="5">
        <v>0.75</v>
      </c>
      <c r="D567" t="s">
        <v>8</v>
      </c>
      <c r="E567" t="s">
        <v>9</v>
      </c>
      <c r="F567" t="s">
        <v>14</v>
      </c>
      <c r="G567" t="s">
        <v>19</v>
      </c>
      <c r="H567">
        <v>0.3</v>
      </c>
      <c r="I567" s="3">
        <v>0.31819999999999998</v>
      </c>
      <c r="J567">
        <v>0.49</v>
      </c>
      <c r="K567">
        <v>8.9599999999999999E-2</v>
      </c>
      <c r="L567">
        <v>7</v>
      </c>
      <c r="M567">
        <v>218</v>
      </c>
      <c r="N567">
        <v>225</v>
      </c>
    </row>
    <row r="568" spans="1:14" x14ac:dyDescent="0.3">
      <c r="A568">
        <v>567</v>
      </c>
      <c r="B568" s="4">
        <v>40568</v>
      </c>
      <c r="C568" s="5">
        <v>0.79166666666666674</v>
      </c>
      <c r="D568" t="s">
        <v>8</v>
      </c>
      <c r="E568" t="s">
        <v>9</v>
      </c>
      <c r="F568" t="s">
        <v>14</v>
      </c>
      <c r="G568" t="s">
        <v>19</v>
      </c>
      <c r="H568">
        <v>0.26</v>
      </c>
      <c r="I568" s="3">
        <v>0.2576</v>
      </c>
      <c r="J568">
        <v>0.65</v>
      </c>
      <c r="K568">
        <v>0.16420000000000001</v>
      </c>
      <c r="L568">
        <v>13</v>
      </c>
      <c r="M568">
        <v>133</v>
      </c>
      <c r="N568">
        <v>146</v>
      </c>
    </row>
    <row r="569" spans="1:14" x14ac:dyDescent="0.3">
      <c r="A569">
        <v>568</v>
      </c>
      <c r="B569" s="4">
        <v>40568</v>
      </c>
      <c r="C569" s="5">
        <v>0.83333333333333326</v>
      </c>
      <c r="D569" t="s">
        <v>8</v>
      </c>
      <c r="E569" t="s">
        <v>9</v>
      </c>
      <c r="F569" t="s">
        <v>14</v>
      </c>
      <c r="G569" t="s">
        <v>18</v>
      </c>
      <c r="H569">
        <v>0.24</v>
      </c>
      <c r="I569" s="3">
        <v>0.2273</v>
      </c>
      <c r="J569">
        <v>0.65</v>
      </c>
      <c r="K569">
        <v>0.19400000000000001</v>
      </c>
      <c r="L569">
        <v>16</v>
      </c>
      <c r="M569">
        <v>103</v>
      </c>
      <c r="N569">
        <v>119</v>
      </c>
    </row>
    <row r="570" spans="1:14" x14ac:dyDescent="0.3">
      <c r="A570">
        <v>569</v>
      </c>
      <c r="B570" s="4">
        <v>40568</v>
      </c>
      <c r="C570" s="5">
        <v>0.875</v>
      </c>
      <c r="D570" t="s">
        <v>8</v>
      </c>
      <c r="E570" t="s">
        <v>9</v>
      </c>
      <c r="F570" t="s">
        <v>14</v>
      </c>
      <c r="G570" t="s">
        <v>18</v>
      </c>
      <c r="H570">
        <v>0.24</v>
      </c>
      <c r="I570" s="3">
        <v>0.2273</v>
      </c>
      <c r="J570">
        <v>0.65</v>
      </c>
      <c r="K570">
        <v>0.19400000000000001</v>
      </c>
      <c r="L570">
        <v>5</v>
      </c>
      <c r="M570">
        <v>40</v>
      </c>
      <c r="N570">
        <v>45</v>
      </c>
    </row>
    <row r="571" spans="1:14" x14ac:dyDescent="0.3">
      <c r="A571">
        <v>570</v>
      </c>
      <c r="B571" s="4">
        <v>40568</v>
      </c>
      <c r="C571" s="5">
        <v>0.91666666666666674</v>
      </c>
      <c r="D571" t="s">
        <v>8</v>
      </c>
      <c r="E571" t="s">
        <v>9</v>
      </c>
      <c r="F571" t="s">
        <v>14</v>
      </c>
      <c r="G571" t="s">
        <v>18</v>
      </c>
      <c r="H571">
        <v>0.22</v>
      </c>
      <c r="I571" s="3">
        <v>0.2273</v>
      </c>
      <c r="J571">
        <v>0.64</v>
      </c>
      <c r="K571">
        <v>0.16420000000000001</v>
      </c>
      <c r="L571">
        <v>4</v>
      </c>
      <c r="M571">
        <v>49</v>
      </c>
      <c r="N571">
        <v>53</v>
      </c>
    </row>
    <row r="572" spans="1:14" x14ac:dyDescent="0.3">
      <c r="A572">
        <v>571</v>
      </c>
      <c r="B572" s="4">
        <v>40568</v>
      </c>
      <c r="C572" s="5">
        <v>0.95833333333333326</v>
      </c>
      <c r="D572" t="s">
        <v>8</v>
      </c>
      <c r="E572" t="s">
        <v>9</v>
      </c>
      <c r="F572" t="s">
        <v>14</v>
      </c>
      <c r="G572" t="s">
        <v>19</v>
      </c>
      <c r="H572">
        <v>0.22</v>
      </c>
      <c r="I572" s="3">
        <v>0.2273</v>
      </c>
      <c r="J572">
        <v>0.64</v>
      </c>
      <c r="K572">
        <v>0.16420000000000001</v>
      </c>
      <c r="L572">
        <v>3</v>
      </c>
      <c r="M572">
        <v>37</v>
      </c>
      <c r="N572">
        <v>40</v>
      </c>
    </row>
    <row r="573" spans="1:14" x14ac:dyDescent="0.3">
      <c r="A573">
        <v>572</v>
      </c>
      <c r="B573" s="4">
        <v>40569</v>
      </c>
      <c r="C573" s="5">
        <v>0</v>
      </c>
      <c r="D573" t="s">
        <v>8</v>
      </c>
      <c r="E573" t="s">
        <v>9</v>
      </c>
      <c r="F573" t="s">
        <v>15</v>
      </c>
      <c r="G573" t="s">
        <v>19</v>
      </c>
      <c r="H573">
        <v>0.22</v>
      </c>
      <c r="I573" s="3">
        <v>0.2273</v>
      </c>
      <c r="J573">
        <v>0.69</v>
      </c>
      <c r="K573">
        <v>0.1343</v>
      </c>
      <c r="L573">
        <v>3</v>
      </c>
      <c r="M573">
        <v>14</v>
      </c>
      <c r="N573">
        <v>17</v>
      </c>
    </row>
    <row r="574" spans="1:14" x14ac:dyDescent="0.3">
      <c r="A574">
        <v>573</v>
      </c>
      <c r="B574" s="4">
        <v>40569</v>
      </c>
      <c r="C574" s="5">
        <v>4.1666666666666741E-2</v>
      </c>
      <c r="D574" t="s">
        <v>8</v>
      </c>
      <c r="E574" t="s">
        <v>9</v>
      </c>
      <c r="F574" t="s">
        <v>15</v>
      </c>
      <c r="G574" t="s">
        <v>19</v>
      </c>
      <c r="H574">
        <v>0.24</v>
      </c>
      <c r="I574" s="3">
        <v>0.2424</v>
      </c>
      <c r="J574">
        <v>0.65</v>
      </c>
      <c r="K574">
        <v>0.1343</v>
      </c>
      <c r="L574">
        <v>0</v>
      </c>
      <c r="M574">
        <v>5</v>
      </c>
      <c r="N574">
        <v>5</v>
      </c>
    </row>
    <row r="575" spans="1:14" x14ac:dyDescent="0.3">
      <c r="A575">
        <v>574</v>
      </c>
      <c r="B575" s="4">
        <v>40569</v>
      </c>
      <c r="C575" s="5">
        <v>8.3333333333333259E-2</v>
      </c>
      <c r="D575" t="s">
        <v>8</v>
      </c>
      <c r="E575" t="s">
        <v>9</v>
      </c>
      <c r="F575" t="s">
        <v>15</v>
      </c>
      <c r="G575" t="s">
        <v>20</v>
      </c>
      <c r="H575">
        <v>0.22</v>
      </c>
      <c r="I575" s="3">
        <v>0.2273</v>
      </c>
      <c r="J575">
        <v>0.69</v>
      </c>
      <c r="K575">
        <v>0.19400000000000001</v>
      </c>
      <c r="L575">
        <v>3</v>
      </c>
      <c r="M575">
        <v>7</v>
      </c>
      <c r="N575">
        <v>10</v>
      </c>
    </row>
    <row r="576" spans="1:14" x14ac:dyDescent="0.3">
      <c r="A576">
        <v>575</v>
      </c>
      <c r="B576" s="4">
        <v>40569</v>
      </c>
      <c r="C576" s="5">
        <v>0.20833333333333326</v>
      </c>
      <c r="D576" t="s">
        <v>8</v>
      </c>
      <c r="E576" t="s">
        <v>9</v>
      </c>
      <c r="F576" t="s">
        <v>15</v>
      </c>
      <c r="G576" t="s">
        <v>20</v>
      </c>
      <c r="H576">
        <v>0.2</v>
      </c>
      <c r="I576" s="3">
        <v>0.18179999999999999</v>
      </c>
      <c r="J576">
        <v>0.86</v>
      </c>
      <c r="K576">
        <v>0.28360000000000002</v>
      </c>
      <c r="L576">
        <v>0</v>
      </c>
      <c r="M576">
        <v>1</v>
      </c>
      <c r="N576">
        <v>1</v>
      </c>
    </row>
    <row r="577" spans="1:14" x14ac:dyDescent="0.3">
      <c r="A577">
        <v>576</v>
      </c>
      <c r="B577" s="4">
        <v>40569</v>
      </c>
      <c r="C577" s="5">
        <v>0.25</v>
      </c>
      <c r="D577" t="s">
        <v>8</v>
      </c>
      <c r="E577" t="s">
        <v>9</v>
      </c>
      <c r="F577" t="s">
        <v>15</v>
      </c>
      <c r="G577" t="s">
        <v>20</v>
      </c>
      <c r="H577">
        <v>0.2</v>
      </c>
      <c r="I577" s="3">
        <v>0.18179999999999999</v>
      </c>
      <c r="J577">
        <v>0.86</v>
      </c>
      <c r="K577">
        <v>0.28360000000000002</v>
      </c>
      <c r="L577">
        <v>0</v>
      </c>
      <c r="M577">
        <v>8</v>
      </c>
      <c r="N577">
        <v>8</v>
      </c>
    </row>
    <row r="578" spans="1:14" x14ac:dyDescent="0.3">
      <c r="A578">
        <v>577</v>
      </c>
      <c r="B578" s="4">
        <v>40569</v>
      </c>
      <c r="C578" s="5">
        <v>0.29166666666666674</v>
      </c>
      <c r="D578" t="s">
        <v>8</v>
      </c>
      <c r="E578" t="s">
        <v>9</v>
      </c>
      <c r="F578" t="s">
        <v>15</v>
      </c>
      <c r="G578" t="s">
        <v>20</v>
      </c>
      <c r="H578">
        <v>0.22</v>
      </c>
      <c r="I578" s="3">
        <v>0.21210000000000001</v>
      </c>
      <c r="J578">
        <v>0.87</v>
      </c>
      <c r="K578">
        <v>0.29849999999999999</v>
      </c>
      <c r="L578">
        <v>1</v>
      </c>
      <c r="M578">
        <v>29</v>
      </c>
      <c r="N578">
        <v>30</v>
      </c>
    </row>
    <row r="579" spans="1:14" x14ac:dyDescent="0.3">
      <c r="A579">
        <v>578</v>
      </c>
      <c r="B579" s="4">
        <v>40569</v>
      </c>
      <c r="C579" s="5">
        <v>0.33333333333333326</v>
      </c>
      <c r="D579" t="s">
        <v>8</v>
      </c>
      <c r="E579" t="s">
        <v>9</v>
      </c>
      <c r="F579" t="s">
        <v>15</v>
      </c>
      <c r="G579" t="s">
        <v>20</v>
      </c>
      <c r="H579">
        <v>0.22</v>
      </c>
      <c r="I579" s="3">
        <v>0.21210000000000001</v>
      </c>
      <c r="J579">
        <v>0.87</v>
      </c>
      <c r="K579">
        <v>0.29849999999999999</v>
      </c>
      <c r="L579">
        <v>3</v>
      </c>
      <c r="M579">
        <v>69</v>
      </c>
      <c r="N579">
        <v>72</v>
      </c>
    </row>
    <row r="580" spans="1:14" x14ac:dyDescent="0.3">
      <c r="A580">
        <v>579</v>
      </c>
      <c r="B580" s="4">
        <v>40569</v>
      </c>
      <c r="C580" s="5">
        <v>0.375</v>
      </c>
      <c r="D580" t="s">
        <v>8</v>
      </c>
      <c r="E580" t="s">
        <v>9</v>
      </c>
      <c r="F580" t="s">
        <v>15</v>
      </c>
      <c r="G580" t="s">
        <v>20</v>
      </c>
      <c r="H580">
        <v>0.22</v>
      </c>
      <c r="I580" s="3">
        <v>0.21210000000000001</v>
      </c>
      <c r="J580">
        <v>0.87</v>
      </c>
      <c r="K580">
        <v>0.29849999999999999</v>
      </c>
      <c r="L580">
        <v>3</v>
      </c>
      <c r="M580">
        <v>55</v>
      </c>
      <c r="N580">
        <v>58</v>
      </c>
    </row>
    <row r="581" spans="1:14" x14ac:dyDescent="0.3">
      <c r="A581">
        <v>580</v>
      </c>
      <c r="B581" s="4">
        <v>40569</v>
      </c>
      <c r="C581" s="5">
        <v>0.41666666666666674</v>
      </c>
      <c r="D581" t="s">
        <v>8</v>
      </c>
      <c r="E581" t="s">
        <v>9</v>
      </c>
      <c r="F581" t="s">
        <v>15</v>
      </c>
      <c r="G581" t="s">
        <v>20</v>
      </c>
      <c r="H581">
        <v>0.22</v>
      </c>
      <c r="I581" s="3">
        <v>0.21210000000000001</v>
      </c>
      <c r="J581">
        <v>0.93</v>
      </c>
      <c r="K581">
        <v>0.28360000000000002</v>
      </c>
      <c r="L581">
        <v>2</v>
      </c>
      <c r="M581">
        <v>26</v>
      </c>
      <c r="N581">
        <v>28</v>
      </c>
    </row>
    <row r="582" spans="1:14" x14ac:dyDescent="0.3">
      <c r="A582">
        <v>581</v>
      </c>
      <c r="B582" s="4">
        <v>40569</v>
      </c>
      <c r="C582" s="5">
        <v>0.45833333333333326</v>
      </c>
      <c r="D582" t="s">
        <v>8</v>
      </c>
      <c r="E582" t="s">
        <v>9</v>
      </c>
      <c r="F582" t="s">
        <v>15</v>
      </c>
      <c r="G582" t="s">
        <v>20</v>
      </c>
      <c r="H582">
        <v>0.22</v>
      </c>
      <c r="I582" s="3">
        <v>0.19700000000000001</v>
      </c>
      <c r="J582">
        <v>0.93</v>
      </c>
      <c r="K582">
        <v>0.32840000000000003</v>
      </c>
      <c r="L582">
        <v>6</v>
      </c>
      <c r="M582">
        <v>35</v>
      </c>
      <c r="N582">
        <v>41</v>
      </c>
    </row>
    <row r="583" spans="1:14" x14ac:dyDescent="0.3">
      <c r="A583">
        <v>582</v>
      </c>
      <c r="B583" s="4">
        <v>40569</v>
      </c>
      <c r="C583" s="5">
        <v>0.5</v>
      </c>
      <c r="D583" t="s">
        <v>8</v>
      </c>
      <c r="E583" t="s">
        <v>9</v>
      </c>
      <c r="F583" t="s">
        <v>15</v>
      </c>
      <c r="G583" t="s">
        <v>20</v>
      </c>
      <c r="H583">
        <v>0.22</v>
      </c>
      <c r="I583" s="3">
        <v>0.19700000000000001</v>
      </c>
      <c r="J583">
        <v>0.93</v>
      </c>
      <c r="K583">
        <v>0.32840000000000003</v>
      </c>
      <c r="L583">
        <v>7</v>
      </c>
      <c r="M583">
        <v>41</v>
      </c>
      <c r="N583">
        <v>48</v>
      </c>
    </row>
    <row r="584" spans="1:14" x14ac:dyDescent="0.3">
      <c r="A584">
        <v>583</v>
      </c>
      <c r="B584" s="4">
        <v>40569</v>
      </c>
      <c r="C584" s="5">
        <v>0.54166666666666674</v>
      </c>
      <c r="D584" t="s">
        <v>8</v>
      </c>
      <c r="E584" t="s">
        <v>9</v>
      </c>
      <c r="F584" t="s">
        <v>15</v>
      </c>
      <c r="G584" t="s">
        <v>20</v>
      </c>
      <c r="H584">
        <v>0.22</v>
      </c>
      <c r="I584" s="3">
        <v>0.19700000000000001</v>
      </c>
      <c r="J584">
        <v>0.93</v>
      </c>
      <c r="K584">
        <v>0.32840000000000003</v>
      </c>
      <c r="L584">
        <v>4</v>
      </c>
      <c r="M584">
        <v>43</v>
      </c>
      <c r="N584">
        <v>47</v>
      </c>
    </row>
    <row r="585" spans="1:14" x14ac:dyDescent="0.3">
      <c r="A585">
        <v>584</v>
      </c>
      <c r="B585" s="4">
        <v>40569</v>
      </c>
      <c r="C585" s="5">
        <v>0.58333333333333326</v>
      </c>
      <c r="D585" t="s">
        <v>8</v>
      </c>
      <c r="E585" t="s">
        <v>9</v>
      </c>
      <c r="F585" t="s">
        <v>15</v>
      </c>
      <c r="G585" t="s">
        <v>20</v>
      </c>
      <c r="H585">
        <v>0.22</v>
      </c>
      <c r="I585" s="3">
        <v>0.19700000000000001</v>
      </c>
      <c r="J585">
        <v>0.93</v>
      </c>
      <c r="K585">
        <v>0.35820000000000002</v>
      </c>
      <c r="L585">
        <v>0</v>
      </c>
      <c r="M585">
        <v>36</v>
      </c>
      <c r="N585">
        <v>36</v>
      </c>
    </row>
    <row r="586" spans="1:14" x14ac:dyDescent="0.3">
      <c r="A586">
        <v>585</v>
      </c>
      <c r="B586" s="4">
        <v>40569</v>
      </c>
      <c r="C586" s="5">
        <v>0.625</v>
      </c>
      <c r="D586" t="s">
        <v>8</v>
      </c>
      <c r="E586" t="s">
        <v>9</v>
      </c>
      <c r="F586" t="s">
        <v>15</v>
      </c>
      <c r="G586" t="s">
        <v>20</v>
      </c>
      <c r="H586">
        <v>0.22</v>
      </c>
      <c r="I586" s="3">
        <v>0.18179999999999999</v>
      </c>
      <c r="J586">
        <v>0.93</v>
      </c>
      <c r="K586">
        <v>0.4627</v>
      </c>
      <c r="L586">
        <v>1</v>
      </c>
      <c r="M586">
        <v>42</v>
      </c>
      <c r="N586">
        <v>43</v>
      </c>
    </row>
    <row r="587" spans="1:14" x14ac:dyDescent="0.3">
      <c r="A587">
        <v>586</v>
      </c>
      <c r="B587" s="4">
        <v>40569</v>
      </c>
      <c r="C587" s="5">
        <v>0.66666666666666674</v>
      </c>
      <c r="D587" t="s">
        <v>8</v>
      </c>
      <c r="E587" t="s">
        <v>9</v>
      </c>
      <c r="F587" t="s">
        <v>15</v>
      </c>
      <c r="G587" t="s">
        <v>21</v>
      </c>
      <c r="H587">
        <v>0.22</v>
      </c>
      <c r="I587" s="3">
        <v>0.19700000000000001</v>
      </c>
      <c r="J587">
        <v>0.93</v>
      </c>
      <c r="K587">
        <v>0.32840000000000003</v>
      </c>
      <c r="L587">
        <v>1</v>
      </c>
      <c r="M587">
        <v>35</v>
      </c>
      <c r="N587">
        <v>36</v>
      </c>
    </row>
    <row r="588" spans="1:14" x14ac:dyDescent="0.3">
      <c r="A588">
        <v>587</v>
      </c>
      <c r="B588" s="4">
        <v>40569</v>
      </c>
      <c r="C588" s="5">
        <v>0.70833333333333326</v>
      </c>
      <c r="D588" t="s">
        <v>8</v>
      </c>
      <c r="E588" t="s">
        <v>9</v>
      </c>
      <c r="F588" t="s">
        <v>15</v>
      </c>
      <c r="G588" t="s">
        <v>20</v>
      </c>
      <c r="H588">
        <v>0.2</v>
      </c>
      <c r="I588" s="3">
        <v>0.18179999999999999</v>
      </c>
      <c r="J588">
        <v>0.93</v>
      </c>
      <c r="K588">
        <v>0.35820000000000002</v>
      </c>
      <c r="L588">
        <v>0</v>
      </c>
      <c r="M588">
        <v>26</v>
      </c>
      <c r="N588">
        <v>26</v>
      </c>
    </row>
    <row r="589" spans="1:14" x14ac:dyDescent="0.3">
      <c r="A589">
        <v>588</v>
      </c>
      <c r="B589" s="4">
        <v>40570</v>
      </c>
      <c r="C589" s="5">
        <v>0.66666666666666674</v>
      </c>
      <c r="D589" t="s">
        <v>8</v>
      </c>
      <c r="E589" t="s">
        <v>9</v>
      </c>
      <c r="F589" t="s">
        <v>16</v>
      </c>
      <c r="G589" t="s">
        <v>18</v>
      </c>
      <c r="H589">
        <v>0.22</v>
      </c>
      <c r="I589" s="3">
        <v>0.2273</v>
      </c>
      <c r="J589">
        <v>0.55000000000000004</v>
      </c>
      <c r="K589">
        <v>0.19400000000000001</v>
      </c>
      <c r="L589">
        <v>1</v>
      </c>
      <c r="M589">
        <v>23</v>
      </c>
      <c r="N589">
        <v>24</v>
      </c>
    </row>
    <row r="590" spans="1:14" x14ac:dyDescent="0.3">
      <c r="A590">
        <v>589</v>
      </c>
      <c r="B590" s="4">
        <v>40570</v>
      </c>
      <c r="C590" s="5">
        <v>0.70833333333333326</v>
      </c>
      <c r="D590" t="s">
        <v>8</v>
      </c>
      <c r="E590" t="s">
        <v>9</v>
      </c>
      <c r="F590" t="s">
        <v>16</v>
      </c>
      <c r="G590" t="s">
        <v>18</v>
      </c>
      <c r="H590">
        <v>0.22</v>
      </c>
      <c r="I590" s="3">
        <v>0.2424</v>
      </c>
      <c r="J590">
        <v>0.55000000000000004</v>
      </c>
      <c r="K590">
        <v>0.1045</v>
      </c>
      <c r="L590">
        <v>2</v>
      </c>
      <c r="M590">
        <v>82</v>
      </c>
      <c r="N590">
        <v>84</v>
      </c>
    </row>
    <row r="591" spans="1:14" x14ac:dyDescent="0.3">
      <c r="A591">
        <v>590</v>
      </c>
      <c r="B591" s="4">
        <v>40570</v>
      </c>
      <c r="C591" s="5">
        <v>0.75</v>
      </c>
      <c r="D591" t="s">
        <v>8</v>
      </c>
      <c r="E591" t="s">
        <v>9</v>
      </c>
      <c r="F591" t="s">
        <v>16</v>
      </c>
      <c r="G591" t="s">
        <v>18</v>
      </c>
      <c r="H591">
        <v>0.2</v>
      </c>
      <c r="I591" s="3">
        <v>0.2273</v>
      </c>
      <c r="J591">
        <v>0.69</v>
      </c>
      <c r="K591">
        <v>8.9599999999999999E-2</v>
      </c>
      <c r="L591">
        <v>3</v>
      </c>
      <c r="M591">
        <v>101</v>
      </c>
      <c r="N591">
        <v>104</v>
      </c>
    </row>
    <row r="592" spans="1:14" x14ac:dyDescent="0.3">
      <c r="A592">
        <v>591</v>
      </c>
      <c r="B592" s="4">
        <v>40570</v>
      </c>
      <c r="C592" s="5">
        <v>0.79166666666666674</v>
      </c>
      <c r="D592" t="s">
        <v>8</v>
      </c>
      <c r="E592" t="s">
        <v>9</v>
      </c>
      <c r="F592" t="s">
        <v>16</v>
      </c>
      <c r="G592" t="s">
        <v>18</v>
      </c>
      <c r="H592">
        <v>0.2</v>
      </c>
      <c r="I592" s="3">
        <v>0.2273</v>
      </c>
      <c r="J592">
        <v>0.69</v>
      </c>
      <c r="K592">
        <v>8.9599999999999999E-2</v>
      </c>
      <c r="L592">
        <v>3</v>
      </c>
      <c r="M592">
        <v>76</v>
      </c>
      <c r="N592">
        <v>79</v>
      </c>
    </row>
    <row r="593" spans="1:14" x14ac:dyDescent="0.3">
      <c r="A593">
        <v>592</v>
      </c>
      <c r="B593" s="4">
        <v>40570</v>
      </c>
      <c r="C593" s="5">
        <v>0.83333333333333326</v>
      </c>
      <c r="D593" t="s">
        <v>8</v>
      </c>
      <c r="E593" t="s">
        <v>9</v>
      </c>
      <c r="F593" t="s">
        <v>16</v>
      </c>
      <c r="G593" t="s">
        <v>18</v>
      </c>
      <c r="H593">
        <v>0.18</v>
      </c>
      <c r="I593" s="3">
        <v>0.21210000000000001</v>
      </c>
      <c r="J593">
        <v>0.74</v>
      </c>
      <c r="K593">
        <v>8.9599999999999999E-2</v>
      </c>
      <c r="L593">
        <v>4</v>
      </c>
      <c r="M593">
        <v>55</v>
      </c>
      <c r="N593">
        <v>59</v>
      </c>
    </row>
    <row r="594" spans="1:14" x14ac:dyDescent="0.3">
      <c r="A594">
        <v>593</v>
      </c>
      <c r="B594" s="4">
        <v>40570</v>
      </c>
      <c r="C594" s="5">
        <v>0.875</v>
      </c>
      <c r="D594" t="s">
        <v>8</v>
      </c>
      <c r="E594" t="s">
        <v>9</v>
      </c>
      <c r="F594" t="s">
        <v>16</v>
      </c>
      <c r="G594" t="s">
        <v>18</v>
      </c>
      <c r="H594">
        <v>0.18</v>
      </c>
      <c r="I594" s="3">
        <v>0.21210000000000001</v>
      </c>
      <c r="J594">
        <v>0.74</v>
      </c>
      <c r="K594">
        <v>8.9599999999999999E-2</v>
      </c>
      <c r="L594">
        <v>2</v>
      </c>
      <c r="M594">
        <v>36</v>
      </c>
      <c r="N594">
        <v>38</v>
      </c>
    </row>
    <row r="595" spans="1:14" x14ac:dyDescent="0.3">
      <c r="A595">
        <v>594</v>
      </c>
      <c r="B595" s="4">
        <v>40570</v>
      </c>
      <c r="C595" s="5">
        <v>0.91666666666666674</v>
      </c>
      <c r="D595" t="s">
        <v>8</v>
      </c>
      <c r="E595" t="s">
        <v>9</v>
      </c>
      <c r="F595" t="s">
        <v>16</v>
      </c>
      <c r="G595" t="s">
        <v>18</v>
      </c>
      <c r="H595">
        <v>0.18</v>
      </c>
      <c r="I595" s="3">
        <v>0.21210000000000001</v>
      </c>
      <c r="J595">
        <v>0.74</v>
      </c>
      <c r="K595">
        <v>8.9599999999999999E-2</v>
      </c>
      <c r="L595">
        <v>0</v>
      </c>
      <c r="M595">
        <v>27</v>
      </c>
      <c r="N595">
        <v>27</v>
      </c>
    </row>
    <row r="596" spans="1:14" x14ac:dyDescent="0.3">
      <c r="A596">
        <v>595</v>
      </c>
      <c r="B596" s="4">
        <v>40570</v>
      </c>
      <c r="C596" s="5">
        <v>0.95833333333333326</v>
      </c>
      <c r="D596" t="s">
        <v>8</v>
      </c>
      <c r="E596" t="s">
        <v>9</v>
      </c>
      <c r="F596" t="s">
        <v>16</v>
      </c>
      <c r="G596" t="s">
        <v>18</v>
      </c>
      <c r="H596">
        <v>0.18</v>
      </c>
      <c r="I596" s="3">
        <v>0.19700000000000001</v>
      </c>
      <c r="J596">
        <v>0.8</v>
      </c>
      <c r="K596">
        <v>0.16420000000000001</v>
      </c>
      <c r="L596">
        <v>0</v>
      </c>
      <c r="M596">
        <v>16</v>
      </c>
      <c r="N596">
        <v>16</v>
      </c>
    </row>
    <row r="597" spans="1:14" x14ac:dyDescent="0.3">
      <c r="A597">
        <v>596</v>
      </c>
      <c r="B597" s="4">
        <v>40571</v>
      </c>
      <c r="C597" s="5">
        <v>0</v>
      </c>
      <c r="D597" t="s">
        <v>8</v>
      </c>
      <c r="E597" t="s">
        <v>9</v>
      </c>
      <c r="F597" t="s">
        <v>17</v>
      </c>
      <c r="G597" t="s">
        <v>19</v>
      </c>
      <c r="H597">
        <v>0.2</v>
      </c>
      <c r="I597" s="3">
        <v>0.21210000000000001</v>
      </c>
      <c r="J597">
        <v>0.75</v>
      </c>
      <c r="K597">
        <v>0.1343</v>
      </c>
      <c r="L597">
        <v>0</v>
      </c>
      <c r="M597">
        <v>9</v>
      </c>
      <c r="N597">
        <v>9</v>
      </c>
    </row>
    <row r="598" spans="1:14" x14ac:dyDescent="0.3">
      <c r="A598">
        <v>597</v>
      </c>
      <c r="B598" s="4">
        <v>40571</v>
      </c>
      <c r="C598" s="5">
        <v>4.1666666666666741E-2</v>
      </c>
      <c r="D598" t="s">
        <v>8</v>
      </c>
      <c r="E598" t="s">
        <v>9</v>
      </c>
      <c r="F598" t="s">
        <v>17</v>
      </c>
      <c r="G598" t="s">
        <v>19</v>
      </c>
      <c r="H598">
        <v>0.2</v>
      </c>
      <c r="I598" s="3">
        <v>0.21210000000000001</v>
      </c>
      <c r="J598">
        <v>0.75</v>
      </c>
      <c r="K598">
        <v>0.1343</v>
      </c>
      <c r="L598">
        <v>1</v>
      </c>
      <c r="M598">
        <v>2</v>
      </c>
      <c r="N598">
        <v>3</v>
      </c>
    </row>
    <row r="599" spans="1:14" x14ac:dyDescent="0.3">
      <c r="A599">
        <v>598</v>
      </c>
      <c r="B599" s="4">
        <v>40571</v>
      </c>
      <c r="C599" s="5">
        <v>8.3333333333333259E-2</v>
      </c>
      <c r="D599" t="s">
        <v>8</v>
      </c>
      <c r="E599" t="s">
        <v>9</v>
      </c>
      <c r="F599" t="s">
        <v>17</v>
      </c>
      <c r="G599" t="s">
        <v>19</v>
      </c>
      <c r="H599">
        <v>0.2</v>
      </c>
      <c r="I599" s="3">
        <v>0.21210000000000001</v>
      </c>
      <c r="J599">
        <v>0.75</v>
      </c>
      <c r="K599">
        <v>0.16420000000000001</v>
      </c>
      <c r="L599">
        <v>0</v>
      </c>
      <c r="M599">
        <v>2</v>
      </c>
      <c r="N599">
        <v>2</v>
      </c>
    </row>
    <row r="600" spans="1:14" x14ac:dyDescent="0.3">
      <c r="A600">
        <v>599</v>
      </c>
      <c r="B600" s="4">
        <v>40571</v>
      </c>
      <c r="C600" s="5">
        <v>0.125</v>
      </c>
      <c r="D600" t="s">
        <v>8</v>
      </c>
      <c r="E600" t="s">
        <v>9</v>
      </c>
      <c r="F600" t="s">
        <v>17</v>
      </c>
      <c r="G600" t="s">
        <v>19</v>
      </c>
      <c r="H600">
        <v>0.2</v>
      </c>
      <c r="I600" s="3">
        <v>0.2273</v>
      </c>
      <c r="J600">
        <v>0.75</v>
      </c>
      <c r="K600">
        <v>0.1045</v>
      </c>
      <c r="L600">
        <v>1</v>
      </c>
      <c r="M600">
        <v>0</v>
      </c>
      <c r="N600">
        <v>1</v>
      </c>
    </row>
    <row r="601" spans="1:14" x14ac:dyDescent="0.3">
      <c r="A601">
        <v>600</v>
      </c>
      <c r="B601" s="4">
        <v>40571</v>
      </c>
      <c r="C601" s="5">
        <v>0.20833333333333326</v>
      </c>
      <c r="D601" t="s">
        <v>8</v>
      </c>
      <c r="E601" t="s">
        <v>9</v>
      </c>
      <c r="F601" t="s">
        <v>17</v>
      </c>
      <c r="G601" t="s">
        <v>19</v>
      </c>
      <c r="H601">
        <v>0.18</v>
      </c>
      <c r="I601" s="3">
        <v>0.21210000000000001</v>
      </c>
      <c r="J601">
        <v>0.8</v>
      </c>
      <c r="K601">
        <v>0.1045</v>
      </c>
      <c r="L601">
        <v>0</v>
      </c>
      <c r="M601">
        <v>4</v>
      </c>
      <c r="N601">
        <v>4</v>
      </c>
    </row>
    <row r="602" spans="1:14" x14ac:dyDescent="0.3">
      <c r="A602">
        <v>601</v>
      </c>
      <c r="B602" s="4">
        <v>40571</v>
      </c>
      <c r="C602" s="5">
        <v>0.25</v>
      </c>
      <c r="D602" t="s">
        <v>8</v>
      </c>
      <c r="E602" t="s">
        <v>9</v>
      </c>
      <c r="F602" t="s">
        <v>17</v>
      </c>
      <c r="G602" t="s">
        <v>19</v>
      </c>
      <c r="H602">
        <v>0.18</v>
      </c>
      <c r="I602" s="3">
        <v>0.19700000000000001</v>
      </c>
      <c r="J602">
        <v>0.8</v>
      </c>
      <c r="K602">
        <v>0.1343</v>
      </c>
      <c r="L602">
        <v>0</v>
      </c>
      <c r="M602">
        <v>16</v>
      </c>
      <c r="N602">
        <v>16</v>
      </c>
    </row>
    <row r="603" spans="1:14" x14ac:dyDescent="0.3">
      <c r="A603">
        <v>602</v>
      </c>
      <c r="B603" s="4">
        <v>40571</v>
      </c>
      <c r="C603" s="5">
        <v>0.29166666666666674</v>
      </c>
      <c r="D603" t="s">
        <v>8</v>
      </c>
      <c r="E603" t="s">
        <v>9</v>
      </c>
      <c r="F603" t="s">
        <v>17</v>
      </c>
      <c r="G603" t="s">
        <v>19</v>
      </c>
      <c r="H603">
        <v>0.16</v>
      </c>
      <c r="I603" s="3">
        <v>0.19700000000000001</v>
      </c>
      <c r="J603">
        <v>0.86</v>
      </c>
      <c r="K603">
        <v>8.9599999999999999E-2</v>
      </c>
      <c r="L603">
        <v>2</v>
      </c>
      <c r="M603">
        <v>58</v>
      </c>
      <c r="N603">
        <v>60</v>
      </c>
    </row>
    <row r="604" spans="1:14" x14ac:dyDescent="0.3">
      <c r="A604">
        <v>603</v>
      </c>
      <c r="B604" s="4">
        <v>40571</v>
      </c>
      <c r="C604" s="5">
        <v>0.33333333333333326</v>
      </c>
      <c r="D604" t="s">
        <v>8</v>
      </c>
      <c r="E604" t="s">
        <v>9</v>
      </c>
      <c r="F604" t="s">
        <v>17</v>
      </c>
      <c r="G604" t="s">
        <v>19</v>
      </c>
      <c r="H604">
        <v>0.16</v>
      </c>
      <c r="I604" s="3">
        <v>0.19700000000000001</v>
      </c>
      <c r="J604">
        <v>0.86</v>
      </c>
      <c r="K604">
        <v>8.9599999999999999E-2</v>
      </c>
      <c r="L604">
        <v>2</v>
      </c>
      <c r="M604">
        <v>155</v>
      </c>
      <c r="N604">
        <v>157</v>
      </c>
    </row>
    <row r="605" spans="1:14" x14ac:dyDescent="0.3">
      <c r="A605">
        <v>604</v>
      </c>
      <c r="B605" s="4">
        <v>40571</v>
      </c>
      <c r="C605" s="5">
        <v>0.375</v>
      </c>
      <c r="D605" t="s">
        <v>8</v>
      </c>
      <c r="E605" t="s">
        <v>9</v>
      </c>
      <c r="F605" t="s">
        <v>17</v>
      </c>
      <c r="G605" t="s">
        <v>20</v>
      </c>
      <c r="H605">
        <v>0.18</v>
      </c>
      <c r="I605" s="3">
        <v>0.21210000000000001</v>
      </c>
      <c r="J605">
        <v>0.86</v>
      </c>
      <c r="K605">
        <v>8.9599999999999999E-2</v>
      </c>
      <c r="L605">
        <v>6</v>
      </c>
      <c r="M605">
        <v>95</v>
      </c>
      <c r="N605">
        <v>101</v>
      </c>
    </row>
    <row r="606" spans="1:14" x14ac:dyDescent="0.3">
      <c r="A606">
        <v>605</v>
      </c>
      <c r="B606" s="4">
        <v>40571</v>
      </c>
      <c r="C606" s="5">
        <v>0.41666666666666674</v>
      </c>
      <c r="D606" t="s">
        <v>8</v>
      </c>
      <c r="E606" t="s">
        <v>9</v>
      </c>
      <c r="F606" t="s">
        <v>17</v>
      </c>
      <c r="G606" t="s">
        <v>20</v>
      </c>
      <c r="H606">
        <v>0.18</v>
      </c>
      <c r="I606" s="3">
        <v>0.21210000000000001</v>
      </c>
      <c r="J606">
        <v>0.86</v>
      </c>
      <c r="K606">
        <v>0.1045</v>
      </c>
      <c r="L606">
        <v>0</v>
      </c>
      <c r="M606">
        <v>49</v>
      </c>
      <c r="N606">
        <v>49</v>
      </c>
    </row>
    <row r="607" spans="1:14" x14ac:dyDescent="0.3">
      <c r="A607">
        <v>606</v>
      </c>
      <c r="B607" s="4">
        <v>40571</v>
      </c>
      <c r="C607" s="5">
        <v>0.45833333333333326</v>
      </c>
      <c r="D607" t="s">
        <v>8</v>
      </c>
      <c r="E607" t="s">
        <v>9</v>
      </c>
      <c r="F607" t="s">
        <v>17</v>
      </c>
      <c r="G607" t="s">
        <v>20</v>
      </c>
      <c r="H607">
        <v>0.18</v>
      </c>
      <c r="I607" s="3">
        <v>0.21210000000000001</v>
      </c>
      <c r="J607">
        <v>0.93</v>
      </c>
      <c r="K607">
        <v>0.1045</v>
      </c>
      <c r="L607">
        <v>0</v>
      </c>
      <c r="M607">
        <v>30</v>
      </c>
      <c r="N607">
        <v>30</v>
      </c>
    </row>
    <row r="608" spans="1:14" x14ac:dyDescent="0.3">
      <c r="A608">
        <v>607</v>
      </c>
      <c r="B608" s="4">
        <v>40571</v>
      </c>
      <c r="C608" s="5">
        <v>0.5</v>
      </c>
      <c r="D608" t="s">
        <v>8</v>
      </c>
      <c r="E608" t="s">
        <v>9</v>
      </c>
      <c r="F608" t="s">
        <v>17</v>
      </c>
      <c r="G608" t="s">
        <v>20</v>
      </c>
      <c r="H608">
        <v>0.18</v>
      </c>
      <c r="I608" s="3">
        <v>0.21210000000000001</v>
      </c>
      <c r="J608">
        <v>0.93</v>
      </c>
      <c r="K608">
        <v>0.1045</v>
      </c>
      <c r="L608">
        <v>1</v>
      </c>
      <c r="M608">
        <v>28</v>
      </c>
      <c r="N608">
        <v>29</v>
      </c>
    </row>
    <row r="609" spans="1:14" x14ac:dyDescent="0.3">
      <c r="A609">
        <v>608</v>
      </c>
      <c r="B609" s="4">
        <v>40571</v>
      </c>
      <c r="C609" s="5">
        <v>0.54166666666666674</v>
      </c>
      <c r="D609" t="s">
        <v>8</v>
      </c>
      <c r="E609" t="s">
        <v>9</v>
      </c>
      <c r="F609" t="s">
        <v>17</v>
      </c>
      <c r="G609" t="s">
        <v>20</v>
      </c>
      <c r="H609">
        <v>0.18</v>
      </c>
      <c r="I609" s="3">
        <v>0.21210000000000001</v>
      </c>
      <c r="J609">
        <v>0.93</v>
      </c>
      <c r="K609">
        <v>0.1045</v>
      </c>
      <c r="L609">
        <v>0</v>
      </c>
      <c r="M609">
        <v>31</v>
      </c>
      <c r="N609">
        <v>31</v>
      </c>
    </row>
    <row r="610" spans="1:14" x14ac:dyDescent="0.3">
      <c r="A610">
        <v>609</v>
      </c>
      <c r="B610" s="4">
        <v>40571</v>
      </c>
      <c r="C610" s="5">
        <v>0.58333333333333326</v>
      </c>
      <c r="D610" t="s">
        <v>8</v>
      </c>
      <c r="E610" t="s">
        <v>9</v>
      </c>
      <c r="F610" t="s">
        <v>17</v>
      </c>
      <c r="G610" t="s">
        <v>20</v>
      </c>
      <c r="H610">
        <v>0.22</v>
      </c>
      <c r="I610" s="3">
        <v>0.2727</v>
      </c>
      <c r="J610">
        <v>0.8</v>
      </c>
      <c r="K610">
        <v>0</v>
      </c>
      <c r="L610">
        <v>2</v>
      </c>
      <c r="M610">
        <v>36</v>
      </c>
      <c r="N610">
        <v>38</v>
      </c>
    </row>
    <row r="611" spans="1:14" x14ac:dyDescent="0.3">
      <c r="A611">
        <v>610</v>
      </c>
      <c r="B611" s="4">
        <v>40571</v>
      </c>
      <c r="C611" s="5">
        <v>0.625</v>
      </c>
      <c r="D611" t="s">
        <v>8</v>
      </c>
      <c r="E611" t="s">
        <v>9</v>
      </c>
      <c r="F611" t="s">
        <v>17</v>
      </c>
      <c r="G611" t="s">
        <v>19</v>
      </c>
      <c r="H611">
        <v>0.2</v>
      </c>
      <c r="I611" s="3">
        <v>0.2576</v>
      </c>
      <c r="J611">
        <v>0.86</v>
      </c>
      <c r="K611">
        <v>0</v>
      </c>
      <c r="L611">
        <v>1</v>
      </c>
      <c r="M611">
        <v>40</v>
      </c>
      <c r="N611">
        <v>41</v>
      </c>
    </row>
    <row r="612" spans="1:14" x14ac:dyDescent="0.3">
      <c r="A612">
        <v>611</v>
      </c>
      <c r="B612" s="4">
        <v>40571</v>
      </c>
      <c r="C612" s="5">
        <v>0.66666666666666674</v>
      </c>
      <c r="D612" t="s">
        <v>8</v>
      </c>
      <c r="E612" t="s">
        <v>9</v>
      </c>
      <c r="F612" t="s">
        <v>11</v>
      </c>
      <c r="G612" t="s">
        <v>18</v>
      </c>
      <c r="H612">
        <v>0.22</v>
      </c>
      <c r="I612" s="3">
        <v>0.2727</v>
      </c>
      <c r="J612">
        <v>0.8</v>
      </c>
      <c r="K612">
        <v>0</v>
      </c>
      <c r="L612">
        <v>10</v>
      </c>
      <c r="M612">
        <v>70</v>
      </c>
      <c r="N612">
        <v>80</v>
      </c>
    </row>
    <row r="613" spans="1:14" x14ac:dyDescent="0.3">
      <c r="A613">
        <v>612</v>
      </c>
      <c r="B613" s="4">
        <v>40571</v>
      </c>
      <c r="C613" s="5">
        <v>0.70833333333333326</v>
      </c>
      <c r="D613" t="s">
        <v>8</v>
      </c>
      <c r="E613" t="s">
        <v>9</v>
      </c>
      <c r="F613" t="s">
        <v>11</v>
      </c>
      <c r="G613" t="s">
        <v>18</v>
      </c>
      <c r="H613">
        <v>0.24</v>
      </c>
      <c r="I613" s="3">
        <v>0.2424</v>
      </c>
      <c r="J613">
        <v>0.75</v>
      </c>
      <c r="K613">
        <v>0.1343</v>
      </c>
      <c r="L613">
        <v>2</v>
      </c>
      <c r="M613">
        <v>147</v>
      </c>
      <c r="N613">
        <v>149</v>
      </c>
    </row>
    <row r="614" spans="1:14" x14ac:dyDescent="0.3">
      <c r="A614">
        <v>613</v>
      </c>
      <c r="B614" s="4">
        <v>40571</v>
      </c>
      <c r="C614" s="5">
        <v>0.75</v>
      </c>
      <c r="D614" t="s">
        <v>8</v>
      </c>
      <c r="E614" t="s">
        <v>9</v>
      </c>
      <c r="F614" t="s">
        <v>11</v>
      </c>
      <c r="G614" t="s">
        <v>18</v>
      </c>
      <c r="H614">
        <v>0.24</v>
      </c>
      <c r="I614" s="3">
        <v>0.2273</v>
      </c>
      <c r="J614">
        <v>0.75</v>
      </c>
      <c r="K614">
        <v>0.19400000000000001</v>
      </c>
      <c r="L614">
        <v>2</v>
      </c>
      <c r="M614">
        <v>107</v>
      </c>
      <c r="N614">
        <v>109</v>
      </c>
    </row>
    <row r="615" spans="1:14" x14ac:dyDescent="0.3">
      <c r="A615">
        <v>614</v>
      </c>
      <c r="B615" s="4">
        <v>40571</v>
      </c>
      <c r="C615" s="5">
        <v>0.79166666666666674</v>
      </c>
      <c r="D615" t="s">
        <v>8</v>
      </c>
      <c r="E615" t="s">
        <v>9</v>
      </c>
      <c r="F615" t="s">
        <v>11</v>
      </c>
      <c r="G615" t="s">
        <v>19</v>
      </c>
      <c r="H615">
        <v>0.24</v>
      </c>
      <c r="I615" s="3">
        <v>0.2424</v>
      </c>
      <c r="J615">
        <v>0.75</v>
      </c>
      <c r="K615">
        <v>0.1343</v>
      </c>
      <c r="L615">
        <v>5</v>
      </c>
      <c r="M615">
        <v>84</v>
      </c>
      <c r="N615">
        <v>89</v>
      </c>
    </row>
    <row r="616" spans="1:14" x14ac:dyDescent="0.3">
      <c r="A616">
        <v>615</v>
      </c>
      <c r="B616" s="4">
        <v>40571</v>
      </c>
      <c r="C616" s="5">
        <v>0.83333333333333326</v>
      </c>
      <c r="D616" t="s">
        <v>8</v>
      </c>
      <c r="E616" t="s">
        <v>9</v>
      </c>
      <c r="F616" t="s">
        <v>11</v>
      </c>
      <c r="G616" t="s">
        <v>19</v>
      </c>
      <c r="H616">
        <v>0.24</v>
      </c>
      <c r="I616" s="3">
        <v>0.2273</v>
      </c>
      <c r="J616">
        <v>0.7</v>
      </c>
      <c r="K616">
        <v>0.19400000000000001</v>
      </c>
      <c r="L616">
        <v>1</v>
      </c>
      <c r="M616">
        <v>61</v>
      </c>
      <c r="N616">
        <v>62</v>
      </c>
    </row>
    <row r="617" spans="1:14" x14ac:dyDescent="0.3">
      <c r="A617">
        <v>616</v>
      </c>
      <c r="B617" s="4">
        <v>40571</v>
      </c>
      <c r="C617" s="5">
        <v>0.875</v>
      </c>
      <c r="D617" t="s">
        <v>8</v>
      </c>
      <c r="E617" t="s">
        <v>9</v>
      </c>
      <c r="F617" t="s">
        <v>11</v>
      </c>
      <c r="G617" t="s">
        <v>19</v>
      </c>
      <c r="H617">
        <v>0.22</v>
      </c>
      <c r="I617" s="3">
        <v>0.2273</v>
      </c>
      <c r="J617">
        <v>0.75</v>
      </c>
      <c r="K617">
        <v>0.1343</v>
      </c>
      <c r="L617">
        <v>1</v>
      </c>
      <c r="M617">
        <v>57</v>
      </c>
      <c r="N617">
        <v>58</v>
      </c>
    </row>
    <row r="618" spans="1:14" x14ac:dyDescent="0.3">
      <c r="A618">
        <v>617</v>
      </c>
      <c r="B618" s="4">
        <v>40571</v>
      </c>
      <c r="C618" s="5">
        <v>0.91666666666666674</v>
      </c>
      <c r="D618" t="s">
        <v>8</v>
      </c>
      <c r="E618" t="s">
        <v>9</v>
      </c>
      <c r="F618" t="s">
        <v>11</v>
      </c>
      <c r="G618" t="s">
        <v>18</v>
      </c>
      <c r="H618">
        <v>0.24</v>
      </c>
      <c r="I618" s="3">
        <v>0.21210000000000001</v>
      </c>
      <c r="J618">
        <v>0.65</v>
      </c>
      <c r="K618">
        <v>0.35820000000000002</v>
      </c>
      <c r="L618">
        <v>0</v>
      </c>
      <c r="M618">
        <v>26</v>
      </c>
      <c r="N618">
        <v>26</v>
      </c>
    </row>
    <row r="619" spans="1:14" x14ac:dyDescent="0.3">
      <c r="A619">
        <v>618</v>
      </c>
      <c r="B619" s="4">
        <v>40571</v>
      </c>
      <c r="C619" s="5">
        <v>0.95833333333333326</v>
      </c>
      <c r="D619" t="s">
        <v>8</v>
      </c>
      <c r="E619" t="s">
        <v>9</v>
      </c>
      <c r="F619" t="s">
        <v>11</v>
      </c>
      <c r="G619" t="s">
        <v>18</v>
      </c>
      <c r="H619">
        <v>0.24</v>
      </c>
      <c r="I619" s="3">
        <v>0.2273</v>
      </c>
      <c r="J619">
        <v>0.6</v>
      </c>
      <c r="K619">
        <v>0.22389999999999999</v>
      </c>
      <c r="L619">
        <v>1</v>
      </c>
      <c r="M619">
        <v>22</v>
      </c>
      <c r="N619">
        <v>23</v>
      </c>
    </row>
    <row r="620" spans="1:14" x14ac:dyDescent="0.3">
      <c r="A620">
        <v>619</v>
      </c>
      <c r="B620" s="4">
        <v>40572</v>
      </c>
      <c r="C620" s="5">
        <v>0</v>
      </c>
      <c r="D620" t="s">
        <v>8</v>
      </c>
      <c r="E620" t="s">
        <v>9</v>
      </c>
      <c r="F620" t="s">
        <v>12</v>
      </c>
      <c r="G620" t="s">
        <v>18</v>
      </c>
      <c r="H620">
        <v>0.22</v>
      </c>
      <c r="I620" s="3">
        <v>0.19700000000000001</v>
      </c>
      <c r="J620">
        <v>0.64</v>
      </c>
      <c r="K620">
        <v>0.35820000000000002</v>
      </c>
      <c r="L620">
        <v>2</v>
      </c>
      <c r="M620">
        <v>26</v>
      </c>
      <c r="N620">
        <v>28</v>
      </c>
    </row>
    <row r="621" spans="1:14" x14ac:dyDescent="0.3">
      <c r="A621">
        <v>620</v>
      </c>
      <c r="B621" s="4">
        <v>40572</v>
      </c>
      <c r="C621" s="5">
        <v>4.1666666666666741E-2</v>
      </c>
      <c r="D621" t="s">
        <v>8</v>
      </c>
      <c r="E621" t="s">
        <v>9</v>
      </c>
      <c r="F621" t="s">
        <v>12</v>
      </c>
      <c r="G621" t="s">
        <v>18</v>
      </c>
      <c r="H621">
        <v>0.22</v>
      </c>
      <c r="I621" s="3">
        <v>0.2273</v>
      </c>
      <c r="J621">
        <v>0.64</v>
      </c>
      <c r="K621">
        <v>0.19400000000000001</v>
      </c>
      <c r="L621">
        <v>0</v>
      </c>
      <c r="M621">
        <v>20</v>
      </c>
      <c r="N621">
        <v>20</v>
      </c>
    </row>
    <row r="622" spans="1:14" x14ac:dyDescent="0.3">
      <c r="A622">
        <v>621</v>
      </c>
      <c r="B622" s="4">
        <v>40572</v>
      </c>
      <c r="C622" s="5">
        <v>8.3333333333333259E-2</v>
      </c>
      <c r="D622" t="s">
        <v>8</v>
      </c>
      <c r="E622" t="s">
        <v>9</v>
      </c>
      <c r="F622" t="s">
        <v>12</v>
      </c>
      <c r="G622" t="s">
        <v>18</v>
      </c>
      <c r="H622">
        <v>0.22</v>
      </c>
      <c r="I622" s="3">
        <v>0.2273</v>
      </c>
      <c r="J622">
        <v>0.64</v>
      </c>
      <c r="K622">
        <v>0.16420000000000001</v>
      </c>
      <c r="L622">
        <v>0</v>
      </c>
      <c r="M622">
        <v>15</v>
      </c>
      <c r="N622">
        <v>15</v>
      </c>
    </row>
    <row r="623" spans="1:14" x14ac:dyDescent="0.3">
      <c r="A623">
        <v>622</v>
      </c>
      <c r="B623" s="4">
        <v>40572</v>
      </c>
      <c r="C623" s="5">
        <v>0.125</v>
      </c>
      <c r="D623" t="s">
        <v>8</v>
      </c>
      <c r="E623" t="s">
        <v>9</v>
      </c>
      <c r="F623" t="s">
        <v>12</v>
      </c>
      <c r="G623" t="s">
        <v>18</v>
      </c>
      <c r="H623">
        <v>0.2</v>
      </c>
      <c r="I623" s="3">
        <v>0.21210000000000001</v>
      </c>
      <c r="J623">
        <v>0.64</v>
      </c>
      <c r="K623">
        <v>0.1343</v>
      </c>
      <c r="L623">
        <v>3</v>
      </c>
      <c r="M623">
        <v>5</v>
      </c>
      <c r="N623">
        <v>8</v>
      </c>
    </row>
    <row r="624" spans="1:14" x14ac:dyDescent="0.3">
      <c r="A624">
        <v>623</v>
      </c>
      <c r="B624" s="4">
        <v>40572</v>
      </c>
      <c r="C624" s="5">
        <v>0.16666666666666674</v>
      </c>
      <c r="D624" t="s">
        <v>8</v>
      </c>
      <c r="E624" t="s">
        <v>9</v>
      </c>
      <c r="F624" t="s">
        <v>12</v>
      </c>
      <c r="G624" t="s">
        <v>18</v>
      </c>
      <c r="H624">
        <v>0.16</v>
      </c>
      <c r="I624" s="3">
        <v>0.18179999999999999</v>
      </c>
      <c r="J624">
        <v>0.69</v>
      </c>
      <c r="K624">
        <v>0.1045</v>
      </c>
      <c r="L624">
        <v>1</v>
      </c>
      <c r="M624">
        <v>2</v>
      </c>
      <c r="N624">
        <v>3</v>
      </c>
    </row>
    <row r="625" spans="1:14" x14ac:dyDescent="0.3">
      <c r="A625">
        <v>624</v>
      </c>
      <c r="B625" s="4">
        <v>40572</v>
      </c>
      <c r="C625" s="5">
        <v>0.25</v>
      </c>
      <c r="D625" t="s">
        <v>8</v>
      </c>
      <c r="E625" t="s">
        <v>9</v>
      </c>
      <c r="F625" t="s">
        <v>12</v>
      </c>
      <c r="G625" t="s">
        <v>18</v>
      </c>
      <c r="H625">
        <v>0.16</v>
      </c>
      <c r="I625" s="3">
        <v>0.18179999999999999</v>
      </c>
      <c r="J625">
        <v>0.64</v>
      </c>
      <c r="K625">
        <v>0.1343</v>
      </c>
      <c r="L625">
        <v>0</v>
      </c>
      <c r="M625">
        <v>2</v>
      </c>
      <c r="N625">
        <v>2</v>
      </c>
    </row>
    <row r="626" spans="1:14" x14ac:dyDescent="0.3">
      <c r="A626">
        <v>625</v>
      </c>
      <c r="B626" s="4">
        <v>40572</v>
      </c>
      <c r="C626" s="5">
        <v>0.29166666666666674</v>
      </c>
      <c r="D626" t="s">
        <v>8</v>
      </c>
      <c r="E626" t="s">
        <v>9</v>
      </c>
      <c r="F626" t="s">
        <v>12</v>
      </c>
      <c r="G626" t="s">
        <v>18</v>
      </c>
      <c r="H626">
        <v>0.16</v>
      </c>
      <c r="I626" s="3">
        <v>0.18179999999999999</v>
      </c>
      <c r="J626">
        <v>0.59</v>
      </c>
      <c r="K626">
        <v>0.1045</v>
      </c>
      <c r="L626">
        <v>1</v>
      </c>
      <c r="M626">
        <v>4</v>
      </c>
      <c r="N626">
        <v>5</v>
      </c>
    </row>
    <row r="627" spans="1:14" x14ac:dyDescent="0.3">
      <c r="A627">
        <v>626</v>
      </c>
      <c r="B627" s="4">
        <v>40572</v>
      </c>
      <c r="C627" s="5">
        <v>0.33333333333333326</v>
      </c>
      <c r="D627" t="s">
        <v>8</v>
      </c>
      <c r="E627" t="s">
        <v>9</v>
      </c>
      <c r="F627" t="s">
        <v>12</v>
      </c>
      <c r="G627" t="s">
        <v>18</v>
      </c>
      <c r="H627">
        <v>0.18</v>
      </c>
      <c r="I627" s="3">
        <v>0.19700000000000001</v>
      </c>
      <c r="J627">
        <v>0.55000000000000004</v>
      </c>
      <c r="K627">
        <v>0.16420000000000001</v>
      </c>
      <c r="L627">
        <v>3</v>
      </c>
      <c r="M627">
        <v>31</v>
      </c>
      <c r="N627">
        <v>34</v>
      </c>
    </row>
    <row r="628" spans="1:14" x14ac:dyDescent="0.3">
      <c r="A628">
        <v>627</v>
      </c>
      <c r="B628" s="4">
        <v>40572</v>
      </c>
      <c r="C628" s="5">
        <v>0.375</v>
      </c>
      <c r="D628" t="s">
        <v>8</v>
      </c>
      <c r="E628" t="s">
        <v>9</v>
      </c>
      <c r="F628" t="s">
        <v>12</v>
      </c>
      <c r="G628" t="s">
        <v>18</v>
      </c>
      <c r="H628">
        <v>0.18</v>
      </c>
      <c r="I628" s="3">
        <v>0.21210000000000001</v>
      </c>
      <c r="J628">
        <v>0.59</v>
      </c>
      <c r="K628">
        <v>8.9599999999999999E-2</v>
      </c>
      <c r="L628">
        <v>0</v>
      </c>
      <c r="M628">
        <v>34</v>
      </c>
      <c r="N628">
        <v>34</v>
      </c>
    </row>
    <row r="629" spans="1:14" x14ac:dyDescent="0.3">
      <c r="A629">
        <v>628</v>
      </c>
      <c r="B629" s="4">
        <v>40572</v>
      </c>
      <c r="C629" s="5">
        <v>0.41666666666666674</v>
      </c>
      <c r="D629" t="s">
        <v>8</v>
      </c>
      <c r="E629" t="s">
        <v>9</v>
      </c>
      <c r="F629" t="s">
        <v>12</v>
      </c>
      <c r="G629" t="s">
        <v>19</v>
      </c>
      <c r="H629">
        <v>0.18</v>
      </c>
      <c r="I629" s="3">
        <v>0.21210000000000001</v>
      </c>
      <c r="J629">
        <v>0.64</v>
      </c>
      <c r="K629">
        <v>0.1045</v>
      </c>
      <c r="L629">
        <v>4</v>
      </c>
      <c r="M629">
        <v>51</v>
      </c>
      <c r="N629">
        <v>55</v>
      </c>
    </row>
    <row r="630" spans="1:14" x14ac:dyDescent="0.3">
      <c r="A630">
        <v>629</v>
      </c>
      <c r="B630" s="4">
        <v>40572</v>
      </c>
      <c r="C630" s="5">
        <v>0.45833333333333326</v>
      </c>
      <c r="D630" t="s">
        <v>8</v>
      </c>
      <c r="E630" t="s">
        <v>9</v>
      </c>
      <c r="F630" t="s">
        <v>12</v>
      </c>
      <c r="G630" t="s">
        <v>19</v>
      </c>
      <c r="H630">
        <v>0.18</v>
      </c>
      <c r="I630" s="3">
        <v>0.19700000000000001</v>
      </c>
      <c r="J630">
        <v>0.64</v>
      </c>
      <c r="K630">
        <v>0.1343</v>
      </c>
      <c r="L630">
        <v>4</v>
      </c>
      <c r="M630">
        <v>60</v>
      </c>
      <c r="N630">
        <v>64</v>
      </c>
    </row>
    <row r="631" spans="1:14" x14ac:dyDescent="0.3">
      <c r="A631">
        <v>630</v>
      </c>
      <c r="B631" s="4">
        <v>40572</v>
      </c>
      <c r="C631" s="5">
        <v>0.5</v>
      </c>
      <c r="D631" t="s">
        <v>8</v>
      </c>
      <c r="E631" t="s">
        <v>9</v>
      </c>
      <c r="F631" t="s">
        <v>12</v>
      </c>
      <c r="G631" t="s">
        <v>19</v>
      </c>
      <c r="H631">
        <v>0.2</v>
      </c>
      <c r="I631" s="3">
        <v>0.19700000000000001</v>
      </c>
      <c r="J631">
        <v>0.59</v>
      </c>
      <c r="K631">
        <v>0.19400000000000001</v>
      </c>
      <c r="L631">
        <v>12</v>
      </c>
      <c r="M631">
        <v>66</v>
      </c>
      <c r="N631">
        <v>78</v>
      </c>
    </row>
    <row r="632" spans="1:14" x14ac:dyDescent="0.3">
      <c r="A632">
        <v>631</v>
      </c>
      <c r="B632" s="4">
        <v>40572</v>
      </c>
      <c r="C632" s="5">
        <v>0.54166666666666674</v>
      </c>
      <c r="D632" t="s">
        <v>8</v>
      </c>
      <c r="E632" t="s">
        <v>9</v>
      </c>
      <c r="F632" t="s">
        <v>12</v>
      </c>
      <c r="G632" t="s">
        <v>19</v>
      </c>
      <c r="H632">
        <v>0.22</v>
      </c>
      <c r="I632" s="3">
        <v>0.2273</v>
      </c>
      <c r="J632">
        <v>0.55000000000000004</v>
      </c>
      <c r="K632">
        <v>0.16420000000000001</v>
      </c>
      <c r="L632">
        <v>9</v>
      </c>
      <c r="M632">
        <v>56</v>
      </c>
      <c r="N632">
        <v>65</v>
      </c>
    </row>
    <row r="633" spans="1:14" x14ac:dyDescent="0.3">
      <c r="A633">
        <v>632</v>
      </c>
      <c r="B633" s="4">
        <v>40572</v>
      </c>
      <c r="C633" s="5">
        <v>0.58333333333333326</v>
      </c>
      <c r="D633" t="s">
        <v>8</v>
      </c>
      <c r="E633" t="s">
        <v>9</v>
      </c>
      <c r="F633" t="s">
        <v>12</v>
      </c>
      <c r="G633" t="s">
        <v>19</v>
      </c>
      <c r="H633">
        <v>0.22</v>
      </c>
      <c r="I633" s="3">
        <v>0.2273</v>
      </c>
      <c r="J633">
        <v>0.6</v>
      </c>
      <c r="K633">
        <v>0.1343</v>
      </c>
      <c r="L633">
        <v>10</v>
      </c>
      <c r="M633">
        <v>89</v>
      </c>
      <c r="N633">
        <v>99</v>
      </c>
    </row>
    <row r="634" spans="1:14" x14ac:dyDescent="0.3">
      <c r="A634">
        <v>633</v>
      </c>
      <c r="B634" s="4">
        <v>40572</v>
      </c>
      <c r="C634" s="5">
        <v>0.625</v>
      </c>
      <c r="D634" t="s">
        <v>8</v>
      </c>
      <c r="E634" t="s">
        <v>9</v>
      </c>
      <c r="F634" t="s">
        <v>12</v>
      </c>
      <c r="G634" t="s">
        <v>18</v>
      </c>
      <c r="H634">
        <v>0.22</v>
      </c>
      <c r="I634" s="3">
        <v>0.21210000000000001</v>
      </c>
      <c r="J634">
        <v>0.69</v>
      </c>
      <c r="K634">
        <v>0.25369999999999998</v>
      </c>
      <c r="L634">
        <v>22</v>
      </c>
      <c r="M634">
        <v>98</v>
      </c>
      <c r="N634">
        <v>120</v>
      </c>
    </row>
    <row r="635" spans="1:14" x14ac:dyDescent="0.3">
      <c r="A635">
        <v>634</v>
      </c>
      <c r="B635" s="4">
        <v>40572</v>
      </c>
      <c r="C635" s="5">
        <v>0.66666666666666674</v>
      </c>
      <c r="D635" t="s">
        <v>8</v>
      </c>
      <c r="E635" t="s">
        <v>9</v>
      </c>
      <c r="F635" t="s">
        <v>12</v>
      </c>
      <c r="G635" t="s">
        <v>18</v>
      </c>
      <c r="H635">
        <v>0.24</v>
      </c>
      <c r="I635" s="3">
        <v>0.2424</v>
      </c>
      <c r="J635">
        <v>0.6</v>
      </c>
      <c r="K635">
        <v>0.16420000000000001</v>
      </c>
      <c r="L635">
        <v>19</v>
      </c>
      <c r="M635">
        <v>88</v>
      </c>
      <c r="N635">
        <v>107</v>
      </c>
    </row>
    <row r="636" spans="1:14" x14ac:dyDescent="0.3">
      <c r="A636">
        <v>635</v>
      </c>
      <c r="B636" s="4">
        <v>40572</v>
      </c>
      <c r="C636" s="5">
        <v>0.70833333333333326</v>
      </c>
      <c r="D636" t="s">
        <v>8</v>
      </c>
      <c r="E636" t="s">
        <v>9</v>
      </c>
      <c r="F636" t="s">
        <v>12</v>
      </c>
      <c r="G636" t="s">
        <v>18</v>
      </c>
      <c r="H636">
        <v>0.24</v>
      </c>
      <c r="I636" s="3">
        <v>0.28789999999999999</v>
      </c>
      <c r="J636">
        <v>0.6</v>
      </c>
      <c r="K636">
        <v>0</v>
      </c>
      <c r="L636">
        <v>9</v>
      </c>
      <c r="M636">
        <v>82</v>
      </c>
      <c r="N636">
        <v>91</v>
      </c>
    </row>
    <row r="637" spans="1:14" x14ac:dyDescent="0.3">
      <c r="A637">
        <v>636</v>
      </c>
      <c r="B637" s="4">
        <v>40572</v>
      </c>
      <c r="C637" s="5">
        <v>0.75</v>
      </c>
      <c r="D637" t="s">
        <v>8</v>
      </c>
      <c r="E637" t="s">
        <v>9</v>
      </c>
      <c r="F637" t="s">
        <v>12</v>
      </c>
      <c r="G637" t="s">
        <v>18</v>
      </c>
      <c r="H637">
        <v>0.22</v>
      </c>
      <c r="I637" s="3">
        <v>0.2273</v>
      </c>
      <c r="J637">
        <v>0.69</v>
      </c>
      <c r="K637">
        <v>0.1343</v>
      </c>
      <c r="L637">
        <v>9</v>
      </c>
      <c r="M637">
        <v>59</v>
      </c>
      <c r="N637">
        <v>68</v>
      </c>
    </row>
    <row r="638" spans="1:14" x14ac:dyDescent="0.3">
      <c r="A638">
        <v>637</v>
      </c>
      <c r="B638" s="4">
        <v>40572</v>
      </c>
      <c r="C638" s="5">
        <v>0.79166666666666674</v>
      </c>
      <c r="D638" t="s">
        <v>8</v>
      </c>
      <c r="E638" t="s">
        <v>9</v>
      </c>
      <c r="F638" t="s">
        <v>12</v>
      </c>
      <c r="G638" t="s">
        <v>19</v>
      </c>
      <c r="H638">
        <v>0.22</v>
      </c>
      <c r="I638" s="3">
        <v>0.21210000000000001</v>
      </c>
      <c r="J638">
        <v>0.69</v>
      </c>
      <c r="K638">
        <v>0.25369999999999998</v>
      </c>
      <c r="L638">
        <v>6</v>
      </c>
      <c r="M638">
        <v>52</v>
      </c>
      <c r="N638">
        <v>58</v>
      </c>
    </row>
    <row r="639" spans="1:14" x14ac:dyDescent="0.3">
      <c r="A639">
        <v>638</v>
      </c>
      <c r="B639" s="4">
        <v>40572</v>
      </c>
      <c r="C639" s="5">
        <v>0.83333333333333326</v>
      </c>
      <c r="D639" t="s">
        <v>8</v>
      </c>
      <c r="E639" t="s">
        <v>9</v>
      </c>
      <c r="F639" t="s">
        <v>12</v>
      </c>
      <c r="G639" t="s">
        <v>18</v>
      </c>
      <c r="H639">
        <v>0.18</v>
      </c>
      <c r="I639" s="3">
        <v>0.21210000000000001</v>
      </c>
      <c r="J639">
        <v>0.74</v>
      </c>
      <c r="K639">
        <v>8.9599999999999999E-2</v>
      </c>
      <c r="L639">
        <v>1</v>
      </c>
      <c r="M639">
        <v>42</v>
      </c>
      <c r="N639">
        <v>43</v>
      </c>
    </row>
    <row r="640" spans="1:14" x14ac:dyDescent="0.3">
      <c r="A640">
        <v>639</v>
      </c>
      <c r="B640" s="4">
        <v>40572</v>
      </c>
      <c r="C640" s="5">
        <v>0.875</v>
      </c>
      <c r="D640" t="s">
        <v>8</v>
      </c>
      <c r="E640" t="s">
        <v>9</v>
      </c>
      <c r="F640" t="s">
        <v>12</v>
      </c>
      <c r="G640" t="s">
        <v>18</v>
      </c>
      <c r="H640">
        <v>0.18</v>
      </c>
      <c r="I640" s="3">
        <v>0.21210000000000001</v>
      </c>
      <c r="J640">
        <v>0.74</v>
      </c>
      <c r="K640">
        <v>8.9599999999999999E-2</v>
      </c>
      <c r="L640">
        <v>1</v>
      </c>
      <c r="M640">
        <v>35</v>
      </c>
      <c r="N640">
        <v>36</v>
      </c>
    </row>
    <row r="641" spans="1:14" x14ac:dyDescent="0.3">
      <c r="A641">
        <v>640</v>
      </c>
      <c r="B641" s="4">
        <v>40572</v>
      </c>
      <c r="C641" s="5">
        <v>0.91666666666666674</v>
      </c>
      <c r="D641" t="s">
        <v>8</v>
      </c>
      <c r="E641" t="s">
        <v>9</v>
      </c>
      <c r="F641" t="s">
        <v>12</v>
      </c>
      <c r="G641" t="s">
        <v>18</v>
      </c>
      <c r="H641">
        <v>0.16</v>
      </c>
      <c r="I641" s="3">
        <v>0.19700000000000001</v>
      </c>
      <c r="J641">
        <v>0.8</v>
      </c>
      <c r="K641">
        <v>8.9599999999999999E-2</v>
      </c>
      <c r="L641">
        <v>4</v>
      </c>
      <c r="M641">
        <v>28</v>
      </c>
      <c r="N641">
        <v>32</v>
      </c>
    </row>
    <row r="642" spans="1:14" x14ac:dyDescent="0.3">
      <c r="A642">
        <v>641</v>
      </c>
      <c r="B642" s="4">
        <v>40572</v>
      </c>
      <c r="C642" s="5">
        <v>0.95833333333333326</v>
      </c>
      <c r="D642" t="s">
        <v>8</v>
      </c>
      <c r="E642" t="s">
        <v>9</v>
      </c>
      <c r="F642" t="s">
        <v>12</v>
      </c>
      <c r="G642" t="s">
        <v>18</v>
      </c>
      <c r="H642">
        <v>0.16</v>
      </c>
      <c r="I642" s="3">
        <v>0.19700000000000001</v>
      </c>
      <c r="J642">
        <v>0.8</v>
      </c>
      <c r="K642">
        <v>8.9599999999999999E-2</v>
      </c>
      <c r="L642">
        <v>3</v>
      </c>
      <c r="M642">
        <v>30</v>
      </c>
      <c r="N642">
        <v>33</v>
      </c>
    </row>
    <row r="643" spans="1:14" x14ac:dyDescent="0.3">
      <c r="A643">
        <v>642</v>
      </c>
      <c r="B643" s="4">
        <v>40573</v>
      </c>
      <c r="C643" s="5">
        <v>0</v>
      </c>
      <c r="D643" t="s">
        <v>8</v>
      </c>
      <c r="E643" t="s">
        <v>9</v>
      </c>
      <c r="F643" t="s">
        <v>13</v>
      </c>
      <c r="G643" t="s">
        <v>18</v>
      </c>
      <c r="H643">
        <v>0.16</v>
      </c>
      <c r="I643" s="3">
        <v>0.18179999999999999</v>
      </c>
      <c r="J643">
        <v>0.8</v>
      </c>
      <c r="K643">
        <v>0.1045</v>
      </c>
      <c r="L643">
        <v>0</v>
      </c>
      <c r="M643">
        <v>33</v>
      </c>
      <c r="N643">
        <v>33</v>
      </c>
    </row>
    <row r="644" spans="1:14" x14ac:dyDescent="0.3">
      <c r="A644">
        <v>643</v>
      </c>
      <c r="B644" s="4">
        <v>40573</v>
      </c>
      <c r="C644" s="5">
        <v>4.1666666666666741E-2</v>
      </c>
      <c r="D644" t="s">
        <v>8</v>
      </c>
      <c r="E644" t="s">
        <v>9</v>
      </c>
      <c r="F644" t="s">
        <v>13</v>
      </c>
      <c r="G644" t="s">
        <v>18</v>
      </c>
      <c r="H644">
        <v>0.14000000000000001</v>
      </c>
      <c r="I644" s="3">
        <v>0.21210000000000001</v>
      </c>
      <c r="J644">
        <v>0.8</v>
      </c>
      <c r="K644">
        <v>0</v>
      </c>
      <c r="L644">
        <v>7</v>
      </c>
      <c r="M644">
        <v>22</v>
      </c>
      <c r="N644">
        <v>29</v>
      </c>
    </row>
    <row r="645" spans="1:14" x14ac:dyDescent="0.3">
      <c r="A645">
        <v>644</v>
      </c>
      <c r="B645" s="4">
        <v>40573</v>
      </c>
      <c r="C645" s="5">
        <v>8.3333333333333259E-2</v>
      </c>
      <c r="D645" t="s">
        <v>8</v>
      </c>
      <c r="E645" t="s">
        <v>9</v>
      </c>
      <c r="F645" t="s">
        <v>13</v>
      </c>
      <c r="G645" t="s">
        <v>18</v>
      </c>
      <c r="H645">
        <v>0.16</v>
      </c>
      <c r="I645" s="3">
        <v>0.2273</v>
      </c>
      <c r="J645">
        <v>0.8</v>
      </c>
      <c r="K645">
        <v>0</v>
      </c>
      <c r="L645">
        <v>1</v>
      </c>
      <c r="M645">
        <v>10</v>
      </c>
      <c r="N645">
        <v>11</v>
      </c>
    </row>
    <row r="646" spans="1:14" x14ac:dyDescent="0.3">
      <c r="A646">
        <v>645</v>
      </c>
      <c r="B646" s="4">
        <v>40573</v>
      </c>
      <c r="C646" s="5">
        <v>0.125</v>
      </c>
      <c r="D646" t="s">
        <v>8</v>
      </c>
      <c r="E646" t="s">
        <v>9</v>
      </c>
      <c r="F646" t="s">
        <v>13</v>
      </c>
      <c r="G646" t="s">
        <v>18</v>
      </c>
      <c r="H646">
        <v>0.14000000000000001</v>
      </c>
      <c r="I646" s="3">
        <v>0.21210000000000001</v>
      </c>
      <c r="J646">
        <v>0.93</v>
      </c>
      <c r="K646">
        <v>0</v>
      </c>
      <c r="L646">
        <v>1</v>
      </c>
      <c r="M646">
        <v>7</v>
      </c>
      <c r="N646">
        <v>8</v>
      </c>
    </row>
    <row r="647" spans="1:14" x14ac:dyDescent="0.3">
      <c r="A647">
        <v>646</v>
      </c>
      <c r="B647" s="4">
        <v>40573</v>
      </c>
      <c r="C647" s="5">
        <v>0.16666666666666674</v>
      </c>
      <c r="D647" t="s">
        <v>8</v>
      </c>
      <c r="E647" t="s">
        <v>9</v>
      </c>
      <c r="F647" t="s">
        <v>13</v>
      </c>
      <c r="G647" t="s">
        <v>18</v>
      </c>
      <c r="H647">
        <v>0.14000000000000001</v>
      </c>
      <c r="I647" s="3">
        <v>0.21210000000000001</v>
      </c>
      <c r="J647">
        <v>0.93</v>
      </c>
      <c r="K647">
        <v>0</v>
      </c>
      <c r="L647">
        <v>0</v>
      </c>
      <c r="M647">
        <v>1</v>
      </c>
      <c r="N647">
        <v>1</v>
      </c>
    </row>
    <row r="648" spans="1:14" x14ac:dyDescent="0.3">
      <c r="A648">
        <v>647</v>
      </c>
      <c r="B648" s="4">
        <v>40573</v>
      </c>
      <c r="C648" s="5">
        <v>0.20833333333333326</v>
      </c>
      <c r="D648" t="s">
        <v>8</v>
      </c>
      <c r="E648" t="s">
        <v>9</v>
      </c>
      <c r="F648" t="s">
        <v>13</v>
      </c>
      <c r="G648" t="s">
        <v>18</v>
      </c>
      <c r="H648">
        <v>0.14000000000000001</v>
      </c>
      <c r="I648" s="3">
        <v>0.21210000000000001</v>
      </c>
      <c r="J648">
        <v>0.86</v>
      </c>
      <c r="K648">
        <v>0</v>
      </c>
      <c r="L648">
        <v>0</v>
      </c>
      <c r="M648">
        <v>3</v>
      </c>
      <c r="N648">
        <v>3</v>
      </c>
    </row>
    <row r="649" spans="1:14" x14ac:dyDescent="0.3">
      <c r="A649">
        <v>648</v>
      </c>
      <c r="B649" s="4">
        <v>40573</v>
      </c>
      <c r="C649" s="5">
        <v>0.29166666666666674</v>
      </c>
      <c r="D649" t="s">
        <v>8</v>
      </c>
      <c r="E649" t="s">
        <v>9</v>
      </c>
      <c r="F649" t="s">
        <v>13</v>
      </c>
      <c r="G649" t="s">
        <v>18</v>
      </c>
      <c r="H649">
        <v>0.14000000000000001</v>
      </c>
      <c r="I649" s="3">
        <v>0.21210000000000001</v>
      </c>
      <c r="J649">
        <v>0.86</v>
      </c>
      <c r="K649">
        <v>0</v>
      </c>
      <c r="L649">
        <v>0</v>
      </c>
      <c r="M649">
        <v>3</v>
      </c>
      <c r="N649">
        <v>3</v>
      </c>
    </row>
    <row r="650" spans="1:14" x14ac:dyDescent="0.3">
      <c r="A650">
        <v>649</v>
      </c>
      <c r="B650" s="4">
        <v>40573</v>
      </c>
      <c r="C650" s="5">
        <v>0.33333333333333326</v>
      </c>
      <c r="D650" t="s">
        <v>8</v>
      </c>
      <c r="E650" t="s">
        <v>9</v>
      </c>
      <c r="F650" t="s">
        <v>13</v>
      </c>
      <c r="G650" t="s">
        <v>19</v>
      </c>
      <c r="H650">
        <v>0.14000000000000001</v>
      </c>
      <c r="I650" s="3">
        <v>0.21210000000000001</v>
      </c>
      <c r="J650">
        <v>0.86</v>
      </c>
      <c r="K650">
        <v>0</v>
      </c>
      <c r="L650">
        <v>1</v>
      </c>
      <c r="M650">
        <v>11</v>
      </c>
      <c r="N650">
        <v>12</v>
      </c>
    </row>
    <row r="651" spans="1:14" x14ac:dyDescent="0.3">
      <c r="A651">
        <v>650</v>
      </c>
      <c r="B651" s="4">
        <v>40573</v>
      </c>
      <c r="C651" s="5">
        <v>0.375</v>
      </c>
      <c r="D651" t="s">
        <v>8</v>
      </c>
      <c r="E651" t="s">
        <v>9</v>
      </c>
      <c r="F651" t="s">
        <v>13</v>
      </c>
      <c r="G651" t="s">
        <v>19</v>
      </c>
      <c r="H651">
        <v>0.16</v>
      </c>
      <c r="I651" s="3">
        <v>0.2273</v>
      </c>
      <c r="J651">
        <v>0.8</v>
      </c>
      <c r="K651">
        <v>0</v>
      </c>
      <c r="L651">
        <v>4</v>
      </c>
      <c r="M651">
        <v>34</v>
      </c>
      <c r="N651">
        <v>38</v>
      </c>
    </row>
    <row r="652" spans="1:14" x14ac:dyDescent="0.3">
      <c r="A652">
        <v>651</v>
      </c>
      <c r="B652" s="4">
        <v>40573</v>
      </c>
      <c r="C652" s="5">
        <v>0.41666666666666674</v>
      </c>
      <c r="D652" t="s">
        <v>8</v>
      </c>
      <c r="E652" t="s">
        <v>9</v>
      </c>
      <c r="F652" t="s">
        <v>13</v>
      </c>
      <c r="G652" t="s">
        <v>19</v>
      </c>
      <c r="H652">
        <v>0.18</v>
      </c>
      <c r="I652" s="3">
        <v>0.2424</v>
      </c>
      <c r="J652">
        <v>0.8</v>
      </c>
      <c r="K652">
        <v>0</v>
      </c>
      <c r="L652">
        <v>7</v>
      </c>
      <c r="M652">
        <v>57</v>
      </c>
      <c r="N652">
        <v>64</v>
      </c>
    </row>
    <row r="653" spans="1:14" x14ac:dyDescent="0.3">
      <c r="A653">
        <v>652</v>
      </c>
      <c r="B653" s="4">
        <v>40573</v>
      </c>
      <c r="C653" s="5">
        <v>0.45833333333333326</v>
      </c>
      <c r="D653" t="s">
        <v>8</v>
      </c>
      <c r="E653" t="s">
        <v>9</v>
      </c>
      <c r="F653" t="s">
        <v>13</v>
      </c>
      <c r="G653" t="s">
        <v>18</v>
      </c>
      <c r="H653">
        <v>0.22</v>
      </c>
      <c r="I653" s="3">
        <v>0.2727</v>
      </c>
      <c r="J653">
        <v>0.75</v>
      </c>
      <c r="K653">
        <v>0</v>
      </c>
      <c r="L653">
        <v>9</v>
      </c>
      <c r="M653">
        <v>50</v>
      </c>
      <c r="N653">
        <v>59</v>
      </c>
    </row>
    <row r="654" spans="1:14" x14ac:dyDescent="0.3">
      <c r="A654">
        <v>653</v>
      </c>
      <c r="B654" s="4">
        <v>40573</v>
      </c>
      <c r="C654" s="5">
        <v>0.5</v>
      </c>
      <c r="D654" t="s">
        <v>8</v>
      </c>
      <c r="E654" t="s">
        <v>9</v>
      </c>
      <c r="F654" t="s">
        <v>13</v>
      </c>
      <c r="G654" t="s">
        <v>18</v>
      </c>
      <c r="H654">
        <v>0.3</v>
      </c>
      <c r="I654" s="3">
        <v>0.31819999999999998</v>
      </c>
      <c r="J654">
        <v>0.52</v>
      </c>
      <c r="K654">
        <v>0.1045</v>
      </c>
      <c r="L654">
        <v>10</v>
      </c>
      <c r="M654">
        <v>87</v>
      </c>
      <c r="N654">
        <v>97</v>
      </c>
    </row>
    <row r="655" spans="1:14" x14ac:dyDescent="0.3">
      <c r="A655">
        <v>654</v>
      </c>
      <c r="B655" s="4">
        <v>40573</v>
      </c>
      <c r="C655" s="5">
        <v>0.54166666666666674</v>
      </c>
      <c r="D655" t="s">
        <v>8</v>
      </c>
      <c r="E655" t="s">
        <v>9</v>
      </c>
      <c r="F655" t="s">
        <v>13</v>
      </c>
      <c r="G655" t="s">
        <v>18</v>
      </c>
      <c r="H655">
        <v>0.28000000000000003</v>
      </c>
      <c r="I655" s="3">
        <v>0.28789999999999999</v>
      </c>
      <c r="J655">
        <v>0.61</v>
      </c>
      <c r="K655">
        <v>0.1045</v>
      </c>
      <c r="L655">
        <v>13</v>
      </c>
      <c r="M655">
        <v>71</v>
      </c>
      <c r="N655">
        <v>84</v>
      </c>
    </row>
    <row r="656" spans="1:14" x14ac:dyDescent="0.3">
      <c r="A656">
        <v>655</v>
      </c>
      <c r="B656" s="4">
        <v>40573</v>
      </c>
      <c r="C656" s="5">
        <v>0.58333333333333326</v>
      </c>
      <c r="D656" t="s">
        <v>8</v>
      </c>
      <c r="E656" t="s">
        <v>9</v>
      </c>
      <c r="F656" t="s">
        <v>13</v>
      </c>
      <c r="G656" t="s">
        <v>18</v>
      </c>
      <c r="H656">
        <v>0.28000000000000003</v>
      </c>
      <c r="I656" s="3">
        <v>0.30299999999999999</v>
      </c>
      <c r="J656">
        <v>0.61</v>
      </c>
      <c r="K656">
        <v>8.9599999999999999E-2</v>
      </c>
      <c r="L656">
        <v>18</v>
      </c>
      <c r="M656">
        <v>104</v>
      </c>
      <c r="N656">
        <v>122</v>
      </c>
    </row>
    <row r="657" spans="1:14" x14ac:dyDescent="0.3">
      <c r="A657">
        <v>656</v>
      </c>
      <c r="B657" s="4">
        <v>40573</v>
      </c>
      <c r="C657" s="5">
        <v>0.625</v>
      </c>
      <c r="D657" t="s">
        <v>8</v>
      </c>
      <c r="E657" t="s">
        <v>9</v>
      </c>
      <c r="F657" t="s">
        <v>13</v>
      </c>
      <c r="G657" t="s">
        <v>18</v>
      </c>
      <c r="H657">
        <v>0.3</v>
      </c>
      <c r="I657" s="3">
        <v>0.33329999999999999</v>
      </c>
      <c r="J657">
        <v>0.56000000000000005</v>
      </c>
      <c r="K657">
        <v>0</v>
      </c>
      <c r="L657">
        <v>14</v>
      </c>
      <c r="M657">
        <v>95</v>
      </c>
      <c r="N657">
        <v>109</v>
      </c>
    </row>
    <row r="658" spans="1:14" x14ac:dyDescent="0.3">
      <c r="A658">
        <v>657</v>
      </c>
      <c r="B658" s="4">
        <v>40573</v>
      </c>
      <c r="C658" s="5">
        <v>0.66666666666666674</v>
      </c>
      <c r="D658" t="s">
        <v>8</v>
      </c>
      <c r="E658" t="s">
        <v>9</v>
      </c>
      <c r="F658" t="s">
        <v>13</v>
      </c>
      <c r="G658" t="s">
        <v>18</v>
      </c>
      <c r="H658">
        <v>0.3</v>
      </c>
      <c r="I658" s="3">
        <v>0.33329999999999999</v>
      </c>
      <c r="J658">
        <v>0.56000000000000005</v>
      </c>
      <c r="K658">
        <v>0</v>
      </c>
      <c r="L658">
        <v>19</v>
      </c>
      <c r="M658">
        <v>104</v>
      </c>
      <c r="N658">
        <v>123</v>
      </c>
    </row>
    <row r="659" spans="1:14" x14ac:dyDescent="0.3">
      <c r="A659">
        <v>658</v>
      </c>
      <c r="B659" s="4">
        <v>40573</v>
      </c>
      <c r="C659" s="5">
        <v>0.70833333333333326</v>
      </c>
      <c r="D659" t="s">
        <v>8</v>
      </c>
      <c r="E659" t="s">
        <v>9</v>
      </c>
      <c r="F659" t="s">
        <v>13</v>
      </c>
      <c r="G659" t="s">
        <v>18</v>
      </c>
      <c r="H659">
        <v>0.3</v>
      </c>
      <c r="I659" s="3">
        <v>0.28789999999999999</v>
      </c>
      <c r="J659">
        <v>0.56000000000000005</v>
      </c>
      <c r="K659">
        <v>0.19400000000000001</v>
      </c>
      <c r="L659">
        <v>6</v>
      </c>
      <c r="M659">
        <v>71</v>
      </c>
      <c r="N659">
        <v>77</v>
      </c>
    </row>
    <row r="660" spans="1:14" x14ac:dyDescent="0.3">
      <c r="A660">
        <v>659</v>
      </c>
      <c r="B660" s="4">
        <v>40573</v>
      </c>
      <c r="C660" s="5">
        <v>0.75</v>
      </c>
      <c r="D660" t="s">
        <v>8</v>
      </c>
      <c r="E660" t="s">
        <v>9</v>
      </c>
      <c r="F660" t="s">
        <v>13</v>
      </c>
      <c r="G660" t="s">
        <v>18</v>
      </c>
      <c r="H660">
        <v>0.26</v>
      </c>
      <c r="I660" s="3">
        <v>0.2576</v>
      </c>
      <c r="J660">
        <v>0.65</v>
      </c>
      <c r="K660">
        <v>0.16420000000000001</v>
      </c>
      <c r="L660">
        <v>8</v>
      </c>
      <c r="M660">
        <v>57</v>
      </c>
      <c r="N660">
        <v>65</v>
      </c>
    </row>
    <row r="661" spans="1:14" x14ac:dyDescent="0.3">
      <c r="A661">
        <v>660</v>
      </c>
      <c r="B661" s="4">
        <v>40573</v>
      </c>
      <c r="C661" s="5">
        <v>0.79166666666666674</v>
      </c>
      <c r="D661" t="s">
        <v>8</v>
      </c>
      <c r="E661" t="s">
        <v>9</v>
      </c>
      <c r="F661" t="s">
        <v>13</v>
      </c>
      <c r="G661" t="s">
        <v>18</v>
      </c>
      <c r="H661">
        <v>0.26</v>
      </c>
      <c r="I661" s="3">
        <v>0.2576</v>
      </c>
      <c r="J661">
        <v>0.65</v>
      </c>
      <c r="K661">
        <v>0.19400000000000001</v>
      </c>
      <c r="L661">
        <v>9</v>
      </c>
      <c r="M661">
        <v>46</v>
      </c>
      <c r="N661">
        <v>55</v>
      </c>
    </row>
    <row r="662" spans="1:14" x14ac:dyDescent="0.3">
      <c r="A662">
        <v>661</v>
      </c>
      <c r="B662" s="4">
        <v>40573</v>
      </c>
      <c r="C662" s="5">
        <v>0.83333333333333326</v>
      </c>
      <c r="D662" t="s">
        <v>8</v>
      </c>
      <c r="E662" t="s">
        <v>9</v>
      </c>
      <c r="F662" t="s">
        <v>13</v>
      </c>
      <c r="G662" t="s">
        <v>19</v>
      </c>
      <c r="H662">
        <v>0.26</v>
      </c>
      <c r="I662" s="3">
        <v>0.2727</v>
      </c>
      <c r="J662">
        <v>0.65</v>
      </c>
      <c r="K662">
        <v>0.1045</v>
      </c>
      <c r="L662">
        <v>3</v>
      </c>
      <c r="M662">
        <v>30</v>
      </c>
      <c r="N662">
        <v>33</v>
      </c>
    </row>
    <row r="663" spans="1:14" x14ac:dyDescent="0.3">
      <c r="A663">
        <v>662</v>
      </c>
      <c r="B663" s="4">
        <v>40573</v>
      </c>
      <c r="C663" s="5">
        <v>0.875</v>
      </c>
      <c r="D663" t="s">
        <v>8</v>
      </c>
      <c r="E663" t="s">
        <v>9</v>
      </c>
      <c r="F663" t="s">
        <v>13</v>
      </c>
      <c r="G663" t="s">
        <v>19</v>
      </c>
      <c r="H663">
        <v>0.24</v>
      </c>
      <c r="I663" s="3">
        <v>0.2424</v>
      </c>
      <c r="J663">
        <v>0.7</v>
      </c>
      <c r="K663">
        <v>0.16420000000000001</v>
      </c>
      <c r="L663">
        <v>3</v>
      </c>
      <c r="M663">
        <v>25</v>
      </c>
      <c r="N663">
        <v>28</v>
      </c>
    </row>
    <row r="664" spans="1:14" x14ac:dyDescent="0.3">
      <c r="A664">
        <v>663</v>
      </c>
      <c r="B664" s="4">
        <v>40573</v>
      </c>
      <c r="C664" s="5">
        <v>0.91666666666666674</v>
      </c>
      <c r="D664" t="s">
        <v>8</v>
      </c>
      <c r="E664" t="s">
        <v>9</v>
      </c>
      <c r="F664" t="s">
        <v>13</v>
      </c>
      <c r="G664" t="s">
        <v>19</v>
      </c>
      <c r="H664">
        <v>0.24</v>
      </c>
      <c r="I664" s="3">
        <v>0.2273</v>
      </c>
      <c r="J664">
        <v>0.7</v>
      </c>
      <c r="K664">
        <v>0.19400000000000001</v>
      </c>
      <c r="L664">
        <v>2</v>
      </c>
      <c r="M664">
        <v>19</v>
      </c>
      <c r="N664">
        <v>21</v>
      </c>
    </row>
    <row r="665" spans="1:14" x14ac:dyDescent="0.3">
      <c r="A665">
        <v>664</v>
      </c>
      <c r="B665" s="4">
        <v>40573</v>
      </c>
      <c r="C665" s="5">
        <v>0.95833333333333326</v>
      </c>
      <c r="D665" t="s">
        <v>8</v>
      </c>
      <c r="E665" t="s">
        <v>9</v>
      </c>
      <c r="F665" t="s">
        <v>13</v>
      </c>
      <c r="G665" t="s">
        <v>19</v>
      </c>
      <c r="H665">
        <v>0.24</v>
      </c>
      <c r="I665" s="3">
        <v>0.21210000000000001</v>
      </c>
      <c r="J665">
        <v>0.65</v>
      </c>
      <c r="K665">
        <v>0.28360000000000002</v>
      </c>
      <c r="L665">
        <v>5</v>
      </c>
      <c r="M665">
        <v>16</v>
      </c>
      <c r="N665">
        <v>21</v>
      </c>
    </row>
    <row r="666" spans="1:14" x14ac:dyDescent="0.3">
      <c r="A666">
        <v>665</v>
      </c>
      <c r="B666" s="4">
        <v>40574</v>
      </c>
      <c r="C666" s="5">
        <v>0</v>
      </c>
      <c r="D666" t="s">
        <v>8</v>
      </c>
      <c r="E666" t="s">
        <v>9</v>
      </c>
      <c r="F666" t="s">
        <v>14</v>
      </c>
      <c r="G666" t="s">
        <v>19</v>
      </c>
      <c r="H666">
        <v>0.24</v>
      </c>
      <c r="I666" s="3">
        <v>0.2273</v>
      </c>
      <c r="J666">
        <v>0.65</v>
      </c>
      <c r="K666">
        <v>0.22389999999999999</v>
      </c>
      <c r="L666">
        <v>1</v>
      </c>
      <c r="M666">
        <v>6</v>
      </c>
      <c r="N666">
        <v>7</v>
      </c>
    </row>
    <row r="667" spans="1:14" x14ac:dyDescent="0.3">
      <c r="A667">
        <v>666</v>
      </c>
      <c r="B667" s="4">
        <v>40574</v>
      </c>
      <c r="C667" s="5">
        <v>4.1666666666666741E-2</v>
      </c>
      <c r="D667" t="s">
        <v>8</v>
      </c>
      <c r="E667" t="s">
        <v>9</v>
      </c>
      <c r="F667" t="s">
        <v>14</v>
      </c>
      <c r="G667" t="s">
        <v>18</v>
      </c>
      <c r="H667">
        <v>0.22</v>
      </c>
      <c r="I667" s="3">
        <v>0.21210000000000001</v>
      </c>
      <c r="J667">
        <v>0.64</v>
      </c>
      <c r="K667">
        <v>0.25369999999999998</v>
      </c>
      <c r="L667">
        <v>2</v>
      </c>
      <c r="M667">
        <v>5</v>
      </c>
      <c r="N667">
        <v>7</v>
      </c>
    </row>
    <row r="668" spans="1:14" x14ac:dyDescent="0.3">
      <c r="A668">
        <v>667</v>
      </c>
      <c r="B668" s="4">
        <v>40574</v>
      </c>
      <c r="C668" s="5">
        <v>8.3333333333333259E-2</v>
      </c>
      <c r="D668" t="s">
        <v>8</v>
      </c>
      <c r="E668" t="s">
        <v>9</v>
      </c>
      <c r="F668" t="s">
        <v>14</v>
      </c>
      <c r="G668" t="s">
        <v>18</v>
      </c>
      <c r="H668">
        <v>0.22</v>
      </c>
      <c r="I668" s="3">
        <v>0.2273</v>
      </c>
      <c r="J668">
        <v>0.64</v>
      </c>
      <c r="K668">
        <v>0.19400000000000001</v>
      </c>
      <c r="L668">
        <v>0</v>
      </c>
      <c r="M668">
        <v>1</v>
      </c>
      <c r="N668">
        <v>1</v>
      </c>
    </row>
    <row r="669" spans="1:14" x14ac:dyDescent="0.3">
      <c r="A669">
        <v>668</v>
      </c>
      <c r="B669" s="4">
        <v>40574</v>
      </c>
      <c r="C669" s="5">
        <v>0.125</v>
      </c>
      <c r="D669" t="s">
        <v>8</v>
      </c>
      <c r="E669" t="s">
        <v>9</v>
      </c>
      <c r="F669" t="s">
        <v>14</v>
      </c>
      <c r="G669" t="s">
        <v>18</v>
      </c>
      <c r="H669">
        <v>0.22</v>
      </c>
      <c r="I669" s="3">
        <v>0.2273</v>
      </c>
      <c r="J669">
        <v>0.64</v>
      </c>
      <c r="K669">
        <v>0.19400000000000001</v>
      </c>
      <c r="L669">
        <v>0</v>
      </c>
      <c r="M669">
        <v>2</v>
      </c>
      <c r="N669">
        <v>2</v>
      </c>
    </row>
    <row r="670" spans="1:14" x14ac:dyDescent="0.3">
      <c r="A670">
        <v>669</v>
      </c>
      <c r="B670" s="4">
        <v>40574</v>
      </c>
      <c r="C670" s="5">
        <v>0.16666666666666674</v>
      </c>
      <c r="D670" t="s">
        <v>8</v>
      </c>
      <c r="E670" t="s">
        <v>9</v>
      </c>
      <c r="F670" t="s">
        <v>14</v>
      </c>
      <c r="G670" t="s">
        <v>18</v>
      </c>
      <c r="H670">
        <v>0.2</v>
      </c>
      <c r="I670" s="3">
        <v>0.19700000000000001</v>
      </c>
      <c r="J670">
        <v>0.59</v>
      </c>
      <c r="K670">
        <v>0.22389999999999999</v>
      </c>
      <c r="L670">
        <v>0</v>
      </c>
      <c r="M670">
        <v>2</v>
      </c>
      <c r="N670">
        <v>2</v>
      </c>
    </row>
    <row r="671" spans="1:14" x14ac:dyDescent="0.3">
      <c r="A671">
        <v>670</v>
      </c>
      <c r="B671" s="4">
        <v>40574</v>
      </c>
      <c r="C671" s="5">
        <v>0.20833333333333326</v>
      </c>
      <c r="D671" t="s">
        <v>8</v>
      </c>
      <c r="E671" t="s">
        <v>9</v>
      </c>
      <c r="F671" t="s">
        <v>14</v>
      </c>
      <c r="G671" t="s">
        <v>18</v>
      </c>
      <c r="H671">
        <v>0.18</v>
      </c>
      <c r="I671" s="3">
        <v>0.16669999999999999</v>
      </c>
      <c r="J671">
        <v>0.64</v>
      </c>
      <c r="K671">
        <v>0.28360000000000002</v>
      </c>
      <c r="L671">
        <v>0</v>
      </c>
      <c r="M671">
        <v>8</v>
      </c>
      <c r="N671">
        <v>8</v>
      </c>
    </row>
    <row r="672" spans="1:14" x14ac:dyDescent="0.3">
      <c r="A672">
        <v>671</v>
      </c>
      <c r="B672" s="4">
        <v>40574</v>
      </c>
      <c r="C672" s="5">
        <v>0.25</v>
      </c>
      <c r="D672" t="s">
        <v>8</v>
      </c>
      <c r="E672" t="s">
        <v>9</v>
      </c>
      <c r="F672" t="s">
        <v>14</v>
      </c>
      <c r="G672" t="s">
        <v>18</v>
      </c>
      <c r="H672">
        <v>0.16</v>
      </c>
      <c r="I672" s="3">
        <v>0.13639999999999999</v>
      </c>
      <c r="J672">
        <v>0.69</v>
      </c>
      <c r="K672">
        <v>0.32840000000000003</v>
      </c>
      <c r="L672">
        <v>0</v>
      </c>
      <c r="M672">
        <v>37</v>
      </c>
      <c r="N672">
        <v>37</v>
      </c>
    </row>
    <row r="673" spans="1:14" x14ac:dyDescent="0.3">
      <c r="A673">
        <v>672</v>
      </c>
      <c r="B673" s="4">
        <v>40574</v>
      </c>
      <c r="C673" s="5">
        <v>0.29166666666666674</v>
      </c>
      <c r="D673" t="s">
        <v>8</v>
      </c>
      <c r="E673" t="s">
        <v>9</v>
      </c>
      <c r="F673" t="s">
        <v>14</v>
      </c>
      <c r="G673" t="s">
        <v>19</v>
      </c>
      <c r="H673">
        <v>0.16</v>
      </c>
      <c r="I673" s="3">
        <v>0.13639999999999999</v>
      </c>
      <c r="J673">
        <v>0.64</v>
      </c>
      <c r="K673">
        <v>0.28360000000000002</v>
      </c>
      <c r="L673">
        <v>1</v>
      </c>
      <c r="M673">
        <v>71</v>
      </c>
      <c r="N673">
        <v>72</v>
      </c>
    </row>
    <row r="674" spans="1:14" x14ac:dyDescent="0.3">
      <c r="A674">
        <v>673</v>
      </c>
      <c r="B674" s="4">
        <v>40574</v>
      </c>
      <c r="C674" s="5">
        <v>0.33333333333333326</v>
      </c>
      <c r="D674" t="s">
        <v>8</v>
      </c>
      <c r="E674" t="s">
        <v>9</v>
      </c>
      <c r="F674" t="s">
        <v>14</v>
      </c>
      <c r="G674" t="s">
        <v>19</v>
      </c>
      <c r="H674">
        <v>0.16</v>
      </c>
      <c r="I674" s="3">
        <v>0.13639999999999999</v>
      </c>
      <c r="J674">
        <v>0.59</v>
      </c>
      <c r="K674">
        <v>0.28360000000000002</v>
      </c>
      <c r="L674">
        <v>3</v>
      </c>
      <c r="M674">
        <v>182</v>
      </c>
      <c r="N674">
        <v>185</v>
      </c>
    </row>
    <row r="675" spans="1:14" x14ac:dyDescent="0.3">
      <c r="A675">
        <v>674</v>
      </c>
      <c r="B675" s="4">
        <v>40574</v>
      </c>
      <c r="C675" s="5">
        <v>0.375</v>
      </c>
      <c r="D675" t="s">
        <v>8</v>
      </c>
      <c r="E675" t="s">
        <v>9</v>
      </c>
      <c r="F675" t="s">
        <v>14</v>
      </c>
      <c r="G675" t="s">
        <v>19</v>
      </c>
      <c r="H675">
        <v>0.16</v>
      </c>
      <c r="I675" s="3">
        <v>0.13639999999999999</v>
      </c>
      <c r="J675">
        <v>0.59</v>
      </c>
      <c r="K675">
        <v>0.29849999999999999</v>
      </c>
      <c r="L675">
        <v>0</v>
      </c>
      <c r="M675">
        <v>112</v>
      </c>
      <c r="N675">
        <v>112</v>
      </c>
    </row>
    <row r="676" spans="1:14" x14ac:dyDescent="0.3">
      <c r="A676">
        <v>675</v>
      </c>
      <c r="B676" s="4">
        <v>40574</v>
      </c>
      <c r="C676" s="5">
        <v>0.41666666666666674</v>
      </c>
      <c r="D676" t="s">
        <v>8</v>
      </c>
      <c r="E676" t="s">
        <v>9</v>
      </c>
      <c r="F676" t="s">
        <v>14</v>
      </c>
      <c r="G676" t="s">
        <v>19</v>
      </c>
      <c r="H676">
        <v>0.16</v>
      </c>
      <c r="I676" s="3">
        <v>0.1515</v>
      </c>
      <c r="J676">
        <v>0.59</v>
      </c>
      <c r="K676">
        <v>0.19400000000000001</v>
      </c>
      <c r="L676">
        <v>1</v>
      </c>
      <c r="M676">
        <v>68</v>
      </c>
      <c r="N676">
        <v>69</v>
      </c>
    </row>
    <row r="677" spans="1:14" x14ac:dyDescent="0.3">
      <c r="A677">
        <v>676</v>
      </c>
      <c r="B677" s="4">
        <v>40574</v>
      </c>
      <c r="C677" s="5">
        <v>0.45833333333333326</v>
      </c>
      <c r="D677" t="s">
        <v>8</v>
      </c>
      <c r="E677" t="s">
        <v>9</v>
      </c>
      <c r="F677" t="s">
        <v>14</v>
      </c>
      <c r="G677" t="s">
        <v>19</v>
      </c>
      <c r="H677">
        <v>0.16</v>
      </c>
      <c r="I677" s="3">
        <v>0.1515</v>
      </c>
      <c r="J677">
        <v>0.59</v>
      </c>
      <c r="K677">
        <v>0.19400000000000001</v>
      </c>
      <c r="L677">
        <v>2</v>
      </c>
      <c r="M677">
        <v>46</v>
      </c>
      <c r="N677">
        <v>48</v>
      </c>
    </row>
    <row r="678" spans="1:14" x14ac:dyDescent="0.3">
      <c r="A678">
        <v>677</v>
      </c>
      <c r="B678" s="4">
        <v>40574</v>
      </c>
      <c r="C678" s="5">
        <v>0.5</v>
      </c>
      <c r="D678" t="s">
        <v>8</v>
      </c>
      <c r="E678" t="s">
        <v>9</v>
      </c>
      <c r="F678" t="s">
        <v>14</v>
      </c>
      <c r="G678" t="s">
        <v>19</v>
      </c>
      <c r="H678">
        <v>0.18</v>
      </c>
      <c r="I678" s="3">
        <v>0.21210000000000001</v>
      </c>
      <c r="J678">
        <v>0.55000000000000004</v>
      </c>
      <c r="K678">
        <v>0.1045</v>
      </c>
      <c r="L678">
        <v>6</v>
      </c>
      <c r="M678">
        <v>62</v>
      </c>
      <c r="N678">
        <v>68</v>
      </c>
    </row>
    <row r="679" spans="1:14" x14ac:dyDescent="0.3">
      <c r="A679">
        <v>678</v>
      </c>
      <c r="B679" s="4">
        <v>40574</v>
      </c>
      <c r="C679" s="5">
        <v>0.54166666666666674</v>
      </c>
      <c r="D679" t="s">
        <v>8</v>
      </c>
      <c r="E679" t="s">
        <v>9</v>
      </c>
      <c r="F679" t="s">
        <v>14</v>
      </c>
      <c r="G679" t="s">
        <v>19</v>
      </c>
      <c r="H679">
        <v>0.16</v>
      </c>
      <c r="I679" s="3">
        <v>0.2273</v>
      </c>
      <c r="J679">
        <v>0.59</v>
      </c>
      <c r="K679">
        <v>0</v>
      </c>
      <c r="L679">
        <v>2</v>
      </c>
      <c r="M679">
        <v>52</v>
      </c>
      <c r="N679">
        <v>54</v>
      </c>
    </row>
    <row r="680" spans="1:14" x14ac:dyDescent="0.3">
      <c r="A680">
        <v>679</v>
      </c>
      <c r="B680" s="4">
        <v>40574</v>
      </c>
      <c r="C680" s="5">
        <v>0.58333333333333326</v>
      </c>
      <c r="D680" t="s">
        <v>8</v>
      </c>
      <c r="E680" t="s">
        <v>9</v>
      </c>
      <c r="F680" t="s">
        <v>14</v>
      </c>
      <c r="G680" t="s">
        <v>19</v>
      </c>
      <c r="H680">
        <v>0.18</v>
      </c>
      <c r="I680" s="3">
        <v>0.19700000000000001</v>
      </c>
      <c r="J680">
        <v>0.55000000000000004</v>
      </c>
      <c r="K680">
        <v>0.1343</v>
      </c>
      <c r="L680">
        <v>1</v>
      </c>
      <c r="M680">
        <v>85</v>
      </c>
      <c r="N680">
        <v>86</v>
      </c>
    </row>
    <row r="681" spans="1:14" x14ac:dyDescent="0.3">
      <c r="A681">
        <v>680</v>
      </c>
      <c r="B681" s="4">
        <v>40574</v>
      </c>
      <c r="C681" s="5">
        <v>0.625</v>
      </c>
      <c r="D681" t="s">
        <v>8</v>
      </c>
      <c r="E681" t="s">
        <v>9</v>
      </c>
      <c r="F681" t="s">
        <v>14</v>
      </c>
      <c r="G681" t="s">
        <v>19</v>
      </c>
      <c r="H681">
        <v>0.16</v>
      </c>
      <c r="I681" s="3">
        <v>0.18179999999999999</v>
      </c>
      <c r="J681">
        <v>0.59</v>
      </c>
      <c r="K681">
        <v>0.1343</v>
      </c>
      <c r="L681">
        <v>3</v>
      </c>
      <c r="M681">
        <v>41</v>
      </c>
      <c r="N681">
        <v>44</v>
      </c>
    </row>
    <row r="682" spans="1:14" x14ac:dyDescent="0.3">
      <c r="A682">
        <v>681</v>
      </c>
      <c r="B682" s="4">
        <v>40574</v>
      </c>
      <c r="C682" s="5">
        <v>0.66666666666666674</v>
      </c>
      <c r="D682" t="s">
        <v>8</v>
      </c>
      <c r="E682" t="s">
        <v>9</v>
      </c>
      <c r="F682" t="s">
        <v>14</v>
      </c>
      <c r="G682" t="s">
        <v>19</v>
      </c>
      <c r="H682">
        <v>0.16</v>
      </c>
      <c r="I682" s="3">
        <v>0.18179999999999999</v>
      </c>
      <c r="J682">
        <v>0.56000000000000005</v>
      </c>
      <c r="K682">
        <v>0.19400000000000001</v>
      </c>
      <c r="L682">
        <v>3</v>
      </c>
      <c r="M682">
        <v>83</v>
      </c>
      <c r="N682">
        <v>86</v>
      </c>
    </row>
    <row r="683" spans="1:14" x14ac:dyDescent="0.3">
      <c r="A683">
        <v>682</v>
      </c>
      <c r="B683" s="4">
        <v>40574</v>
      </c>
      <c r="C683" s="5">
        <v>0.70833333333333326</v>
      </c>
      <c r="D683" t="s">
        <v>8</v>
      </c>
      <c r="E683" t="s">
        <v>9</v>
      </c>
      <c r="F683" t="s">
        <v>14</v>
      </c>
      <c r="G683" t="s">
        <v>19</v>
      </c>
      <c r="H683">
        <v>0.16</v>
      </c>
      <c r="I683" s="3">
        <v>0.1515</v>
      </c>
      <c r="J683">
        <v>0.59</v>
      </c>
      <c r="K683">
        <v>0.19400000000000001</v>
      </c>
      <c r="L683">
        <v>6</v>
      </c>
      <c r="M683">
        <v>155</v>
      </c>
      <c r="N683">
        <v>161</v>
      </c>
    </row>
    <row r="684" spans="1:14" x14ac:dyDescent="0.3">
      <c r="A684">
        <v>683</v>
      </c>
      <c r="B684" s="4">
        <v>40574</v>
      </c>
      <c r="C684" s="5">
        <v>0.75</v>
      </c>
      <c r="D684" t="s">
        <v>8</v>
      </c>
      <c r="E684" t="s">
        <v>9</v>
      </c>
      <c r="F684" t="s">
        <v>14</v>
      </c>
      <c r="G684" t="s">
        <v>19</v>
      </c>
      <c r="H684">
        <v>0.16</v>
      </c>
      <c r="I684" s="3">
        <v>0.1515</v>
      </c>
      <c r="J684">
        <v>0.55000000000000004</v>
      </c>
      <c r="K684">
        <v>0.22389999999999999</v>
      </c>
      <c r="L684">
        <v>3</v>
      </c>
      <c r="M684">
        <v>153</v>
      </c>
      <c r="N684">
        <v>156</v>
      </c>
    </row>
    <row r="685" spans="1:14" x14ac:dyDescent="0.3">
      <c r="A685">
        <v>684</v>
      </c>
      <c r="B685" s="4">
        <v>40574</v>
      </c>
      <c r="C685" s="5">
        <v>0.79166666666666674</v>
      </c>
      <c r="D685" t="s">
        <v>8</v>
      </c>
      <c r="E685" t="s">
        <v>9</v>
      </c>
      <c r="F685" t="s">
        <v>14</v>
      </c>
      <c r="G685" t="s">
        <v>18</v>
      </c>
      <c r="H685">
        <v>0.3</v>
      </c>
      <c r="I685" s="3">
        <v>0.31819999999999998</v>
      </c>
      <c r="J685">
        <v>0.61</v>
      </c>
      <c r="K685">
        <v>0.1045</v>
      </c>
      <c r="L685">
        <v>3</v>
      </c>
      <c r="M685">
        <v>108</v>
      </c>
      <c r="N685">
        <v>111</v>
      </c>
    </row>
    <row r="686" spans="1:14" x14ac:dyDescent="0.3">
      <c r="A686">
        <v>685</v>
      </c>
      <c r="B686" s="4">
        <v>40574</v>
      </c>
      <c r="C686" s="5">
        <v>0.83333333333333326</v>
      </c>
      <c r="D686" t="s">
        <v>8</v>
      </c>
      <c r="E686" t="s">
        <v>9</v>
      </c>
      <c r="F686" t="s">
        <v>14</v>
      </c>
      <c r="G686" t="s">
        <v>20</v>
      </c>
      <c r="H686">
        <v>0.16</v>
      </c>
      <c r="I686" s="3">
        <v>0.16669999999999999</v>
      </c>
      <c r="J686">
        <v>0.59</v>
      </c>
      <c r="K686">
        <v>0.16420000000000001</v>
      </c>
      <c r="L686">
        <v>0</v>
      </c>
      <c r="M686">
        <v>78</v>
      </c>
      <c r="N686">
        <v>78</v>
      </c>
    </row>
    <row r="687" spans="1:14" x14ac:dyDescent="0.3">
      <c r="A687">
        <v>686</v>
      </c>
      <c r="B687" s="4">
        <v>40574</v>
      </c>
      <c r="C687" s="5">
        <v>0.875</v>
      </c>
      <c r="D687" t="s">
        <v>8</v>
      </c>
      <c r="E687" t="s">
        <v>9</v>
      </c>
      <c r="F687" t="s">
        <v>14</v>
      </c>
      <c r="G687" t="s">
        <v>20</v>
      </c>
      <c r="H687">
        <v>0.16</v>
      </c>
      <c r="I687" s="3">
        <v>0.19700000000000001</v>
      </c>
      <c r="J687">
        <v>0.59</v>
      </c>
      <c r="K687">
        <v>8.9599999999999999E-2</v>
      </c>
      <c r="L687">
        <v>3</v>
      </c>
      <c r="M687">
        <v>53</v>
      </c>
      <c r="N687">
        <v>56</v>
      </c>
    </row>
    <row r="688" spans="1:14" x14ac:dyDescent="0.3">
      <c r="A688">
        <v>687</v>
      </c>
      <c r="B688" s="4">
        <v>40574</v>
      </c>
      <c r="C688" s="5">
        <v>0.91666666666666674</v>
      </c>
      <c r="D688" t="s">
        <v>8</v>
      </c>
      <c r="E688" t="s">
        <v>9</v>
      </c>
      <c r="F688" t="s">
        <v>14</v>
      </c>
      <c r="G688" t="s">
        <v>19</v>
      </c>
      <c r="H688">
        <v>0.16</v>
      </c>
      <c r="I688" s="3">
        <v>0.18179999999999999</v>
      </c>
      <c r="J688">
        <v>0.59</v>
      </c>
      <c r="K688">
        <v>0.1045</v>
      </c>
      <c r="L688">
        <v>0</v>
      </c>
      <c r="M688">
        <v>34</v>
      </c>
      <c r="N688">
        <v>34</v>
      </c>
    </row>
    <row r="689" spans="1:14" x14ac:dyDescent="0.3">
      <c r="A689">
        <v>688</v>
      </c>
      <c r="B689" s="4">
        <v>40574</v>
      </c>
      <c r="C689" s="5">
        <v>0.95833333333333326</v>
      </c>
      <c r="D689" t="s">
        <v>8</v>
      </c>
      <c r="E689" t="s">
        <v>9</v>
      </c>
      <c r="F689" t="s">
        <v>14</v>
      </c>
      <c r="G689" t="s">
        <v>19</v>
      </c>
      <c r="H689">
        <v>0.16</v>
      </c>
      <c r="I689" s="3">
        <v>0.19700000000000001</v>
      </c>
      <c r="J689">
        <v>0.64</v>
      </c>
      <c r="K689">
        <v>8.9599999999999999E-2</v>
      </c>
      <c r="L689">
        <v>2</v>
      </c>
      <c r="M689">
        <v>15</v>
      </c>
      <c r="N689">
        <v>17</v>
      </c>
    </row>
    <row r="690" spans="1:14" x14ac:dyDescent="0.3">
      <c r="A690">
        <v>689</v>
      </c>
      <c r="B690" s="4">
        <v>40575</v>
      </c>
      <c r="C690" s="5">
        <v>0</v>
      </c>
      <c r="D690" t="s">
        <v>8</v>
      </c>
      <c r="E690" t="s">
        <v>9</v>
      </c>
      <c r="F690" t="s">
        <v>15</v>
      </c>
      <c r="G690" t="s">
        <v>19</v>
      </c>
      <c r="H690">
        <v>0.16</v>
      </c>
      <c r="I690" s="3">
        <v>0.18179999999999999</v>
      </c>
      <c r="J690">
        <v>0.64</v>
      </c>
      <c r="K690">
        <v>0.1045</v>
      </c>
      <c r="L690">
        <v>2</v>
      </c>
      <c r="M690">
        <v>6</v>
      </c>
      <c r="N690">
        <v>8</v>
      </c>
    </row>
    <row r="691" spans="1:14" x14ac:dyDescent="0.3">
      <c r="A691">
        <v>690</v>
      </c>
      <c r="B691" s="4">
        <v>40575</v>
      </c>
      <c r="C691" s="5">
        <v>4.1666666666666741E-2</v>
      </c>
      <c r="D691" t="s">
        <v>8</v>
      </c>
      <c r="E691" t="s">
        <v>9</v>
      </c>
      <c r="F691" t="s">
        <v>15</v>
      </c>
      <c r="G691" t="s">
        <v>19</v>
      </c>
      <c r="H691">
        <v>0.16</v>
      </c>
      <c r="I691" s="3">
        <v>0.18179999999999999</v>
      </c>
      <c r="J691">
        <v>0.69</v>
      </c>
      <c r="K691">
        <v>0.1045</v>
      </c>
      <c r="L691">
        <v>0</v>
      </c>
      <c r="M691">
        <v>3</v>
      </c>
      <c r="N691">
        <v>3</v>
      </c>
    </row>
    <row r="692" spans="1:14" x14ac:dyDescent="0.3">
      <c r="A692">
        <v>691</v>
      </c>
      <c r="B692" s="4">
        <v>40575</v>
      </c>
      <c r="C692" s="5">
        <v>8.3333333333333259E-2</v>
      </c>
      <c r="D692" t="s">
        <v>8</v>
      </c>
      <c r="E692" t="s">
        <v>9</v>
      </c>
      <c r="F692" t="s">
        <v>15</v>
      </c>
      <c r="G692" t="s">
        <v>19</v>
      </c>
      <c r="H692">
        <v>0.16</v>
      </c>
      <c r="I692" s="3">
        <v>0.2273</v>
      </c>
      <c r="J692">
        <v>0.69</v>
      </c>
      <c r="K692">
        <v>0</v>
      </c>
      <c r="L692">
        <v>0</v>
      </c>
      <c r="M692">
        <v>2</v>
      </c>
      <c r="N692">
        <v>2</v>
      </c>
    </row>
    <row r="693" spans="1:14" x14ac:dyDescent="0.3">
      <c r="A693">
        <v>692</v>
      </c>
      <c r="B693" s="4">
        <v>40575</v>
      </c>
      <c r="C693" s="5">
        <v>0.125</v>
      </c>
      <c r="D693" t="s">
        <v>8</v>
      </c>
      <c r="E693" t="s">
        <v>9</v>
      </c>
      <c r="F693" t="s">
        <v>15</v>
      </c>
      <c r="G693" t="s">
        <v>19</v>
      </c>
      <c r="H693">
        <v>0.16</v>
      </c>
      <c r="I693" s="3">
        <v>0.2273</v>
      </c>
      <c r="J693">
        <v>0.69</v>
      </c>
      <c r="K693">
        <v>0</v>
      </c>
      <c r="L693">
        <v>0</v>
      </c>
      <c r="M693">
        <v>2</v>
      </c>
      <c r="N693">
        <v>2</v>
      </c>
    </row>
    <row r="694" spans="1:14" x14ac:dyDescent="0.3">
      <c r="A694">
        <v>693</v>
      </c>
      <c r="B694" s="4">
        <v>40575</v>
      </c>
      <c r="C694" s="5">
        <v>0.20833333333333326</v>
      </c>
      <c r="D694" t="s">
        <v>8</v>
      </c>
      <c r="E694" t="s">
        <v>9</v>
      </c>
      <c r="F694" t="s">
        <v>15</v>
      </c>
      <c r="G694" t="s">
        <v>20</v>
      </c>
      <c r="H694">
        <v>0.14000000000000001</v>
      </c>
      <c r="I694" s="3">
        <v>0.21210000000000001</v>
      </c>
      <c r="J694">
        <v>0.93</v>
      </c>
      <c r="K694">
        <v>0</v>
      </c>
      <c r="L694">
        <v>0</v>
      </c>
      <c r="M694">
        <v>3</v>
      </c>
      <c r="N694">
        <v>3</v>
      </c>
    </row>
    <row r="695" spans="1:14" x14ac:dyDescent="0.3">
      <c r="A695">
        <v>694</v>
      </c>
      <c r="B695" s="4">
        <v>40575</v>
      </c>
      <c r="C695" s="5">
        <v>0.25</v>
      </c>
      <c r="D695" t="s">
        <v>8</v>
      </c>
      <c r="E695" t="s">
        <v>9</v>
      </c>
      <c r="F695" t="s">
        <v>15</v>
      </c>
      <c r="G695" t="s">
        <v>20</v>
      </c>
      <c r="H695">
        <v>0.14000000000000001</v>
      </c>
      <c r="I695" s="3">
        <v>0.21210000000000001</v>
      </c>
      <c r="J695">
        <v>0.93</v>
      </c>
      <c r="K695">
        <v>0</v>
      </c>
      <c r="L695">
        <v>0</v>
      </c>
      <c r="M695">
        <v>22</v>
      </c>
      <c r="N695">
        <v>22</v>
      </c>
    </row>
    <row r="696" spans="1:14" x14ac:dyDescent="0.3">
      <c r="A696">
        <v>695</v>
      </c>
      <c r="B696" s="4">
        <v>40575</v>
      </c>
      <c r="C696" s="5">
        <v>0.29166666666666674</v>
      </c>
      <c r="D696" t="s">
        <v>8</v>
      </c>
      <c r="E696" t="s">
        <v>9</v>
      </c>
      <c r="F696" t="s">
        <v>15</v>
      </c>
      <c r="G696" t="s">
        <v>20</v>
      </c>
      <c r="H696">
        <v>0.16</v>
      </c>
      <c r="I696" s="3">
        <v>0.2273</v>
      </c>
      <c r="J696">
        <v>0.93</v>
      </c>
      <c r="K696">
        <v>0</v>
      </c>
      <c r="L696">
        <v>0</v>
      </c>
      <c r="M696">
        <v>52</v>
      </c>
      <c r="N696">
        <v>52</v>
      </c>
    </row>
    <row r="697" spans="1:14" x14ac:dyDescent="0.3">
      <c r="A697">
        <v>696</v>
      </c>
      <c r="B697" s="4">
        <v>40575</v>
      </c>
      <c r="C697" s="5">
        <v>0.33333333333333326</v>
      </c>
      <c r="D697" t="s">
        <v>8</v>
      </c>
      <c r="E697" t="s">
        <v>9</v>
      </c>
      <c r="F697" t="s">
        <v>15</v>
      </c>
      <c r="G697" t="s">
        <v>20</v>
      </c>
      <c r="H697">
        <v>0.16</v>
      </c>
      <c r="I697" s="3">
        <v>0.2273</v>
      </c>
      <c r="J697">
        <v>0.93</v>
      </c>
      <c r="K697">
        <v>0</v>
      </c>
      <c r="L697">
        <v>3</v>
      </c>
      <c r="M697">
        <v>132</v>
      </c>
      <c r="N697">
        <v>135</v>
      </c>
    </row>
    <row r="698" spans="1:14" x14ac:dyDescent="0.3">
      <c r="A698">
        <v>697</v>
      </c>
      <c r="B698" s="4">
        <v>40575</v>
      </c>
      <c r="C698" s="5">
        <v>0.375</v>
      </c>
      <c r="D698" t="s">
        <v>8</v>
      </c>
      <c r="E698" t="s">
        <v>9</v>
      </c>
      <c r="F698" t="s">
        <v>15</v>
      </c>
      <c r="G698" t="s">
        <v>19</v>
      </c>
      <c r="H698">
        <v>0.16</v>
      </c>
      <c r="I698" s="3">
        <v>0.2273</v>
      </c>
      <c r="J698">
        <v>0.93</v>
      </c>
      <c r="K698">
        <v>0</v>
      </c>
      <c r="L698">
        <v>2</v>
      </c>
      <c r="M698">
        <v>114</v>
      </c>
      <c r="N698">
        <v>116</v>
      </c>
    </row>
    <row r="699" spans="1:14" x14ac:dyDescent="0.3">
      <c r="A699">
        <v>698</v>
      </c>
      <c r="B699" s="4">
        <v>40575</v>
      </c>
      <c r="C699" s="5">
        <v>0.41666666666666674</v>
      </c>
      <c r="D699" t="s">
        <v>8</v>
      </c>
      <c r="E699" t="s">
        <v>9</v>
      </c>
      <c r="F699" t="s">
        <v>15</v>
      </c>
      <c r="G699" t="s">
        <v>19</v>
      </c>
      <c r="H699">
        <v>0.16</v>
      </c>
      <c r="I699" s="3">
        <v>0.2273</v>
      </c>
      <c r="J699">
        <v>0.93</v>
      </c>
      <c r="K699">
        <v>0</v>
      </c>
      <c r="L699">
        <v>0</v>
      </c>
      <c r="M699">
        <v>47</v>
      </c>
      <c r="N699">
        <v>47</v>
      </c>
    </row>
    <row r="700" spans="1:14" x14ac:dyDescent="0.3">
      <c r="A700">
        <v>699</v>
      </c>
      <c r="B700" s="4">
        <v>40575</v>
      </c>
      <c r="C700" s="5">
        <v>0.45833333333333326</v>
      </c>
      <c r="D700" t="s">
        <v>8</v>
      </c>
      <c r="E700" t="s">
        <v>9</v>
      </c>
      <c r="F700" t="s">
        <v>15</v>
      </c>
      <c r="G700" t="s">
        <v>19</v>
      </c>
      <c r="H700">
        <v>0.18</v>
      </c>
      <c r="I700" s="3">
        <v>0.2424</v>
      </c>
      <c r="J700">
        <v>0.86</v>
      </c>
      <c r="K700">
        <v>0</v>
      </c>
      <c r="L700">
        <v>2</v>
      </c>
      <c r="M700">
        <v>49</v>
      </c>
      <c r="N700">
        <v>51</v>
      </c>
    </row>
    <row r="701" spans="1:14" x14ac:dyDescent="0.3">
      <c r="A701">
        <v>700</v>
      </c>
      <c r="B701" s="4">
        <v>40575</v>
      </c>
      <c r="C701" s="5">
        <v>0.5</v>
      </c>
      <c r="D701" t="s">
        <v>8</v>
      </c>
      <c r="E701" t="s">
        <v>9</v>
      </c>
      <c r="F701" t="s">
        <v>15</v>
      </c>
      <c r="G701" t="s">
        <v>19</v>
      </c>
      <c r="H701">
        <v>0.2</v>
      </c>
      <c r="I701" s="3">
        <v>0.2576</v>
      </c>
      <c r="J701">
        <v>0.86</v>
      </c>
      <c r="K701">
        <v>0</v>
      </c>
      <c r="L701">
        <v>2</v>
      </c>
      <c r="M701">
        <v>53</v>
      </c>
      <c r="N701">
        <v>55</v>
      </c>
    </row>
    <row r="702" spans="1:14" x14ac:dyDescent="0.3">
      <c r="A702">
        <v>701</v>
      </c>
      <c r="B702" s="4">
        <v>40575</v>
      </c>
      <c r="C702" s="5">
        <v>0.54166666666666674</v>
      </c>
      <c r="D702" t="s">
        <v>8</v>
      </c>
      <c r="E702" t="s">
        <v>9</v>
      </c>
      <c r="F702" t="s">
        <v>15</v>
      </c>
      <c r="G702" t="s">
        <v>19</v>
      </c>
      <c r="H702">
        <v>0.2</v>
      </c>
      <c r="I702" s="3">
        <v>0.2576</v>
      </c>
      <c r="J702">
        <v>0.86</v>
      </c>
      <c r="K702">
        <v>0</v>
      </c>
      <c r="L702">
        <v>3</v>
      </c>
      <c r="M702">
        <v>49</v>
      </c>
      <c r="N702">
        <v>52</v>
      </c>
    </row>
    <row r="703" spans="1:14" x14ac:dyDescent="0.3">
      <c r="A703">
        <v>702</v>
      </c>
      <c r="B703" s="4">
        <v>40575</v>
      </c>
      <c r="C703" s="5">
        <v>0.58333333333333326</v>
      </c>
      <c r="D703" t="s">
        <v>8</v>
      </c>
      <c r="E703" t="s">
        <v>9</v>
      </c>
      <c r="F703" t="s">
        <v>15</v>
      </c>
      <c r="G703" t="s">
        <v>19</v>
      </c>
      <c r="H703">
        <v>0.22</v>
      </c>
      <c r="I703" s="3">
        <v>0.2576</v>
      </c>
      <c r="J703">
        <v>0.8</v>
      </c>
      <c r="K703">
        <v>8.9599999999999999E-2</v>
      </c>
      <c r="L703">
        <v>5</v>
      </c>
      <c r="M703">
        <v>49</v>
      </c>
      <c r="N703">
        <v>54</v>
      </c>
    </row>
    <row r="704" spans="1:14" x14ac:dyDescent="0.3">
      <c r="A704">
        <v>703</v>
      </c>
      <c r="B704" s="4">
        <v>40575</v>
      </c>
      <c r="C704" s="5">
        <v>0.625</v>
      </c>
      <c r="D704" t="s">
        <v>8</v>
      </c>
      <c r="E704" t="s">
        <v>9</v>
      </c>
      <c r="F704" t="s">
        <v>15</v>
      </c>
      <c r="G704" t="s">
        <v>19</v>
      </c>
      <c r="H704">
        <v>0.24</v>
      </c>
      <c r="I704" s="3">
        <v>0.28789999999999999</v>
      </c>
      <c r="J704">
        <v>0.75</v>
      </c>
      <c r="K704">
        <v>0</v>
      </c>
      <c r="L704">
        <v>7</v>
      </c>
      <c r="M704">
        <v>45</v>
      </c>
      <c r="N704">
        <v>52</v>
      </c>
    </row>
    <row r="705" spans="1:14" x14ac:dyDescent="0.3">
      <c r="A705">
        <v>704</v>
      </c>
      <c r="B705" s="4">
        <v>40575</v>
      </c>
      <c r="C705" s="5">
        <v>0.66666666666666674</v>
      </c>
      <c r="D705" t="s">
        <v>8</v>
      </c>
      <c r="E705" t="s">
        <v>9</v>
      </c>
      <c r="F705" t="s">
        <v>15</v>
      </c>
      <c r="G705" t="s">
        <v>19</v>
      </c>
      <c r="H705">
        <v>0.24</v>
      </c>
      <c r="I705" s="3">
        <v>0.2424</v>
      </c>
      <c r="J705">
        <v>0.75</v>
      </c>
      <c r="K705">
        <v>0.1343</v>
      </c>
      <c r="L705">
        <v>3</v>
      </c>
      <c r="M705">
        <v>61</v>
      </c>
      <c r="N705">
        <v>64</v>
      </c>
    </row>
    <row r="706" spans="1:14" x14ac:dyDescent="0.3">
      <c r="A706">
        <v>705</v>
      </c>
      <c r="B706" s="4">
        <v>40575</v>
      </c>
      <c r="C706" s="5">
        <v>0.70833333333333326</v>
      </c>
      <c r="D706" t="s">
        <v>8</v>
      </c>
      <c r="E706" t="s">
        <v>9</v>
      </c>
      <c r="F706" t="s">
        <v>15</v>
      </c>
      <c r="G706" t="s">
        <v>19</v>
      </c>
      <c r="H706">
        <v>0.24</v>
      </c>
      <c r="I706" s="3">
        <v>0.28789999999999999</v>
      </c>
      <c r="J706">
        <v>0.75</v>
      </c>
      <c r="K706">
        <v>0</v>
      </c>
      <c r="L706">
        <v>4</v>
      </c>
      <c r="M706">
        <v>172</v>
      </c>
      <c r="N706">
        <v>176</v>
      </c>
    </row>
    <row r="707" spans="1:14" x14ac:dyDescent="0.3">
      <c r="A707">
        <v>706</v>
      </c>
      <c r="B707" s="4">
        <v>40575</v>
      </c>
      <c r="C707" s="5">
        <v>0.75</v>
      </c>
      <c r="D707" t="s">
        <v>8</v>
      </c>
      <c r="E707" t="s">
        <v>9</v>
      </c>
      <c r="F707" t="s">
        <v>15</v>
      </c>
      <c r="G707" t="s">
        <v>19</v>
      </c>
      <c r="H707">
        <v>0.24</v>
      </c>
      <c r="I707" s="3">
        <v>0.2576</v>
      </c>
      <c r="J707">
        <v>0.81</v>
      </c>
      <c r="K707">
        <v>0.1045</v>
      </c>
      <c r="L707">
        <v>3</v>
      </c>
      <c r="M707">
        <v>165</v>
      </c>
      <c r="N707">
        <v>168</v>
      </c>
    </row>
    <row r="708" spans="1:14" x14ac:dyDescent="0.3">
      <c r="A708">
        <v>707</v>
      </c>
      <c r="B708" s="4">
        <v>40575</v>
      </c>
      <c r="C708" s="5">
        <v>0.79166666666666674</v>
      </c>
      <c r="D708" t="s">
        <v>8</v>
      </c>
      <c r="E708" t="s">
        <v>9</v>
      </c>
      <c r="F708" t="s">
        <v>15</v>
      </c>
      <c r="G708" t="s">
        <v>19</v>
      </c>
      <c r="H708">
        <v>0.24</v>
      </c>
      <c r="I708" s="3">
        <v>0.2424</v>
      </c>
      <c r="J708">
        <v>0.81</v>
      </c>
      <c r="K708">
        <v>0.1343</v>
      </c>
      <c r="L708">
        <v>3</v>
      </c>
      <c r="M708">
        <v>105</v>
      </c>
      <c r="N708">
        <v>108</v>
      </c>
    </row>
    <row r="709" spans="1:14" x14ac:dyDescent="0.3">
      <c r="A709">
        <v>708</v>
      </c>
      <c r="B709" s="4">
        <v>40575</v>
      </c>
      <c r="C709" s="5">
        <v>0.83333333333333326</v>
      </c>
      <c r="D709" t="s">
        <v>8</v>
      </c>
      <c r="E709" t="s">
        <v>9</v>
      </c>
      <c r="F709" t="s">
        <v>15</v>
      </c>
      <c r="G709" t="s">
        <v>19</v>
      </c>
      <c r="H709">
        <v>0.22</v>
      </c>
      <c r="I709" s="3">
        <v>0.2273</v>
      </c>
      <c r="J709">
        <v>0.87</v>
      </c>
      <c r="K709">
        <v>0.1343</v>
      </c>
      <c r="L709">
        <v>5</v>
      </c>
      <c r="M709">
        <v>69</v>
      </c>
      <c r="N709">
        <v>74</v>
      </c>
    </row>
    <row r="710" spans="1:14" x14ac:dyDescent="0.3">
      <c r="A710">
        <v>709</v>
      </c>
      <c r="B710" s="4">
        <v>40575</v>
      </c>
      <c r="C710" s="5">
        <v>0.875</v>
      </c>
      <c r="D710" t="s">
        <v>8</v>
      </c>
      <c r="E710" t="s">
        <v>9</v>
      </c>
      <c r="F710" t="s">
        <v>15</v>
      </c>
      <c r="G710" t="s">
        <v>19</v>
      </c>
      <c r="H710">
        <v>0.22</v>
      </c>
      <c r="I710" s="3">
        <v>0.2273</v>
      </c>
      <c r="J710">
        <v>0.87</v>
      </c>
      <c r="K710">
        <v>0.1343</v>
      </c>
      <c r="L710">
        <v>0</v>
      </c>
      <c r="M710">
        <v>64</v>
      </c>
      <c r="N710">
        <v>64</v>
      </c>
    </row>
    <row r="711" spans="1:14" x14ac:dyDescent="0.3">
      <c r="A711">
        <v>710</v>
      </c>
      <c r="B711" s="4">
        <v>40575</v>
      </c>
      <c r="C711" s="5">
        <v>0.91666666666666674</v>
      </c>
      <c r="D711" t="s">
        <v>8</v>
      </c>
      <c r="E711" t="s">
        <v>9</v>
      </c>
      <c r="F711" t="s">
        <v>15</v>
      </c>
      <c r="G711" t="s">
        <v>19</v>
      </c>
      <c r="H711">
        <v>0.22</v>
      </c>
      <c r="I711" s="3">
        <v>0.2576</v>
      </c>
      <c r="J711">
        <v>0.87</v>
      </c>
      <c r="K711">
        <v>8.9599999999999999E-2</v>
      </c>
      <c r="L711">
        <v>2</v>
      </c>
      <c r="M711">
        <v>34</v>
      </c>
      <c r="N711">
        <v>36</v>
      </c>
    </row>
    <row r="712" spans="1:14" x14ac:dyDescent="0.3">
      <c r="A712">
        <v>711</v>
      </c>
      <c r="B712" s="4">
        <v>40575</v>
      </c>
      <c r="C712" s="5">
        <v>0.95833333333333326</v>
      </c>
      <c r="D712" t="s">
        <v>8</v>
      </c>
      <c r="E712" t="s">
        <v>9</v>
      </c>
      <c r="F712" t="s">
        <v>15</v>
      </c>
      <c r="G712" t="s">
        <v>20</v>
      </c>
      <c r="H712">
        <v>0.2</v>
      </c>
      <c r="I712" s="3">
        <v>0.19700000000000001</v>
      </c>
      <c r="J712">
        <v>0.93</v>
      </c>
      <c r="K712">
        <v>0.19400000000000001</v>
      </c>
      <c r="L712">
        <v>1</v>
      </c>
      <c r="M712">
        <v>15</v>
      </c>
      <c r="N712">
        <v>16</v>
      </c>
    </row>
    <row r="713" spans="1:14" x14ac:dyDescent="0.3">
      <c r="A713">
        <v>712</v>
      </c>
      <c r="B713" s="4">
        <v>40576</v>
      </c>
      <c r="C713" s="5">
        <v>0</v>
      </c>
      <c r="D713" t="s">
        <v>8</v>
      </c>
      <c r="E713" t="s">
        <v>9</v>
      </c>
      <c r="F713" t="s">
        <v>16</v>
      </c>
      <c r="G713" t="s">
        <v>20</v>
      </c>
      <c r="H713">
        <v>0.22</v>
      </c>
      <c r="I713" s="3">
        <v>0.2424</v>
      </c>
      <c r="J713">
        <v>0.93</v>
      </c>
      <c r="K713">
        <v>0.1045</v>
      </c>
      <c r="L713">
        <v>0</v>
      </c>
      <c r="M713">
        <v>2</v>
      </c>
      <c r="N713">
        <v>2</v>
      </c>
    </row>
    <row r="714" spans="1:14" x14ac:dyDescent="0.3">
      <c r="A714">
        <v>713</v>
      </c>
      <c r="B714" s="4">
        <v>40576</v>
      </c>
      <c r="C714" s="5">
        <v>4.1666666666666741E-2</v>
      </c>
      <c r="D714" t="s">
        <v>8</v>
      </c>
      <c r="E714" t="s">
        <v>9</v>
      </c>
      <c r="F714" t="s">
        <v>16</v>
      </c>
      <c r="G714" t="s">
        <v>20</v>
      </c>
      <c r="H714">
        <v>0.22</v>
      </c>
      <c r="I714" s="3">
        <v>0.2273</v>
      </c>
      <c r="J714">
        <v>0.93</v>
      </c>
      <c r="K714">
        <v>0.19400000000000001</v>
      </c>
      <c r="L714">
        <v>0</v>
      </c>
      <c r="M714">
        <v>3</v>
      </c>
      <c r="N714">
        <v>3</v>
      </c>
    </row>
    <row r="715" spans="1:14" x14ac:dyDescent="0.3">
      <c r="A715">
        <v>714</v>
      </c>
      <c r="B715" s="4">
        <v>40576</v>
      </c>
      <c r="C715" s="5">
        <v>8.3333333333333259E-2</v>
      </c>
      <c r="D715" t="s">
        <v>8</v>
      </c>
      <c r="E715" t="s">
        <v>9</v>
      </c>
      <c r="F715" t="s">
        <v>16</v>
      </c>
      <c r="G715" t="s">
        <v>20</v>
      </c>
      <c r="H715">
        <v>0.22</v>
      </c>
      <c r="I715" s="3">
        <v>0.2273</v>
      </c>
      <c r="J715">
        <v>0.93</v>
      </c>
      <c r="K715">
        <v>0.1343</v>
      </c>
      <c r="L715">
        <v>4</v>
      </c>
      <c r="M715">
        <v>0</v>
      </c>
      <c r="N715">
        <v>4</v>
      </c>
    </row>
    <row r="716" spans="1:14" x14ac:dyDescent="0.3">
      <c r="A716">
        <v>715</v>
      </c>
      <c r="B716" s="4">
        <v>40576</v>
      </c>
      <c r="C716" s="5">
        <v>0.125</v>
      </c>
      <c r="D716" t="s">
        <v>8</v>
      </c>
      <c r="E716" t="s">
        <v>9</v>
      </c>
      <c r="F716" t="s">
        <v>16</v>
      </c>
      <c r="G716" t="s">
        <v>20</v>
      </c>
      <c r="H716">
        <v>0.22</v>
      </c>
      <c r="I716" s="3">
        <v>0.2273</v>
      </c>
      <c r="J716">
        <v>0.93</v>
      </c>
      <c r="K716">
        <v>0.1343</v>
      </c>
      <c r="L716">
        <v>0</v>
      </c>
      <c r="M716">
        <v>1</v>
      </c>
      <c r="N716">
        <v>1</v>
      </c>
    </row>
    <row r="717" spans="1:14" x14ac:dyDescent="0.3">
      <c r="A717">
        <v>716</v>
      </c>
      <c r="B717" s="4">
        <v>40576</v>
      </c>
      <c r="C717" s="5">
        <v>0.16666666666666674</v>
      </c>
      <c r="D717" t="s">
        <v>8</v>
      </c>
      <c r="E717" t="s">
        <v>9</v>
      </c>
      <c r="F717" t="s">
        <v>16</v>
      </c>
      <c r="G717" t="s">
        <v>20</v>
      </c>
      <c r="H717">
        <v>0.22</v>
      </c>
      <c r="I717" s="3">
        <v>0.21210000000000001</v>
      </c>
      <c r="J717">
        <v>0.93</v>
      </c>
      <c r="K717">
        <v>0.28360000000000002</v>
      </c>
      <c r="L717">
        <v>0</v>
      </c>
      <c r="M717">
        <v>1</v>
      </c>
      <c r="N717">
        <v>1</v>
      </c>
    </row>
    <row r="718" spans="1:14" x14ac:dyDescent="0.3">
      <c r="A718">
        <v>717</v>
      </c>
      <c r="B718" s="4">
        <v>40576</v>
      </c>
      <c r="C718" s="5">
        <v>0.20833333333333326</v>
      </c>
      <c r="D718" t="s">
        <v>8</v>
      </c>
      <c r="E718" t="s">
        <v>9</v>
      </c>
      <c r="F718" t="s">
        <v>16</v>
      </c>
      <c r="G718" t="s">
        <v>20</v>
      </c>
      <c r="H718">
        <v>0.22</v>
      </c>
      <c r="I718" s="3">
        <v>0.2424</v>
      </c>
      <c r="J718">
        <v>0.93</v>
      </c>
      <c r="K718">
        <v>0.1045</v>
      </c>
      <c r="L718">
        <v>0</v>
      </c>
      <c r="M718">
        <v>3</v>
      </c>
      <c r="N718">
        <v>3</v>
      </c>
    </row>
    <row r="719" spans="1:14" x14ac:dyDescent="0.3">
      <c r="A719">
        <v>718</v>
      </c>
      <c r="B719" s="4">
        <v>40576</v>
      </c>
      <c r="C719" s="5">
        <v>0.25</v>
      </c>
      <c r="D719" t="s">
        <v>8</v>
      </c>
      <c r="E719" t="s">
        <v>9</v>
      </c>
      <c r="F719" t="s">
        <v>16</v>
      </c>
      <c r="G719" t="s">
        <v>20</v>
      </c>
      <c r="H719">
        <v>0.22</v>
      </c>
      <c r="I719" s="3">
        <v>0.2424</v>
      </c>
      <c r="J719">
        <v>0.93</v>
      </c>
      <c r="K719">
        <v>0.1045</v>
      </c>
      <c r="L719">
        <v>1</v>
      </c>
      <c r="M719">
        <v>17</v>
      </c>
      <c r="N719">
        <v>18</v>
      </c>
    </row>
    <row r="720" spans="1:14" x14ac:dyDescent="0.3">
      <c r="A720">
        <v>719</v>
      </c>
      <c r="B720" s="4">
        <v>40576</v>
      </c>
      <c r="C720" s="5">
        <v>0.29166666666666674</v>
      </c>
      <c r="D720" t="s">
        <v>8</v>
      </c>
      <c r="E720" t="s">
        <v>9</v>
      </c>
      <c r="F720" t="s">
        <v>16</v>
      </c>
      <c r="G720" t="s">
        <v>20</v>
      </c>
      <c r="H720">
        <v>0.22</v>
      </c>
      <c r="I720" s="3">
        <v>0.21210000000000001</v>
      </c>
      <c r="J720">
        <v>0.93</v>
      </c>
      <c r="K720">
        <v>0.22389999999999999</v>
      </c>
      <c r="L720">
        <v>1</v>
      </c>
      <c r="M720">
        <v>48</v>
      </c>
      <c r="N720">
        <v>49</v>
      </c>
    </row>
    <row r="721" spans="1:14" x14ac:dyDescent="0.3">
      <c r="A721">
        <v>720</v>
      </c>
      <c r="B721" s="4">
        <v>40576</v>
      </c>
      <c r="C721" s="5">
        <v>0.33333333333333326</v>
      </c>
      <c r="D721" t="s">
        <v>8</v>
      </c>
      <c r="E721" t="s">
        <v>9</v>
      </c>
      <c r="F721" t="s">
        <v>16</v>
      </c>
      <c r="G721" t="s">
        <v>20</v>
      </c>
      <c r="H721">
        <v>0.22</v>
      </c>
      <c r="I721" s="3">
        <v>0.21210000000000001</v>
      </c>
      <c r="J721">
        <v>0.93</v>
      </c>
      <c r="K721">
        <v>0.22389999999999999</v>
      </c>
      <c r="L721">
        <v>1</v>
      </c>
      <c r="M721">
        <v>154</v>
      </c>
      <c r="N721">
        <v>155</v>
      </c>
    </row>
    <row r="722" spans="1:14" x14ac:dyDescent="0.3">
      <c r="A722">
        <v>721</v>
      </c>
      <c r="B722" s="4">
        <v>40576</v>
      </c>
      <c r="C722" s="5">
        <v>0.375</v>
      </c>
      <c r="D722" t="s">
        <v>8</v>
      </c>
      <c r="E722" t="s">
        <v>9</v>
      </c>
      <c r="F722" t="s">
        <v>16</v>
      </c>
      <c r="G722" t="s">
        <v>19</v>
      </c>
      <c r="H722">
        <v>0.24</v>
      </c>
      <c r="I722" s="3">
        <v>0.2576</v>
      </c>
      <c r="J722">
        <v>0.93</v>
      </c>
      <c r="K722">
        <v>8.9599999999999999E-2</v>
      </c>
      <c r="L722">
        <v>4</v>
      </c>
      <c r="M722">
        <v>119</v>
      </c>
      <c r="N722">
        <v>123</v>
      </c>
    </row>
    <row r="723" spans="1:14" x14ac:dyDescent="0.3">
      <c r="A723">
        <v>722</v>
      </c>
      <c r="B723" s="4">
        <v>40576</v>
      </c>
      <c r="C723" s="5">
        <v>0.41666666666666674</v>
      </c>
      <c r="D723" t="s">
        <v>8</v>
      </c>
      <c r="E723" t="s">
        <v>9</v>
      </c>
      <c r="F723" t="s">
        <v>16</v>
      </c>
      <c r="G723" t="s">
        <v>19</v>
      </c>
      <c r="H723">
        <v>0.22</v>
      </c>
      <c r="I723" s="3">
        <v>0.2727</v>
      </c>
      <c r="J723">
        <v>1</v>
      </c>
      <c r="K723">
        <v>0</v>
      </c>
      <c r="L723">
        <v>2</v>
      </c>
      <c r="M723">
        <v>59</v>
      </c>
      <c r="N723">
        <v>61</v>
      </c>
    </row>
    <row r="724" spans="1:14" x14ac:dyDescent="0.3">
      <c r="A724">
        <v>723</v>
      </c>
      <c r="B724" s="4">
        <v>40576</v>
      </c>
      <c r="C724" s="5">
        <v>0.45833333333333326</v>
      </c>
      <c r="D724" t="s">
        <v>8</v>
      </c>
      <c r="E724" t="s">
        <v>9</v>
      </c>
      <c r="F724" t="s">
        <v>16</v>
      </c>
      <c r="G724" t="s">
        <v>19</v>
      </c>
      <c r="H724">
        <v>0.24</v>
      </c>
      <c r="I724" s="3">
        <v>0.2273</v>
      </c>
      <c r="J724">
        <v>0.93</v>
      </c>
      <c r="K724">
        <v>0.19400000000000001</v>
      </c>
      <c r="L724">
        <v>5</v>
      </c>
      <c r="M724">
        <v>47</v>
      </c>
      <c r="N724">
        <v>52</v>
      </c>
    </row>
    <row r="725" spans="1:14" x14ac:dyDescent="0.3">
      <c r="A725">
        <v>724</v>
      </c>
      <c r="B725" s="4">
        <v>40576</v>
      </c>
      <c r="C725" s="5">
        <v>0.5</v>
      </c>
      <c r="D725" t="s">
        <v>8</v>
      </c>
      <c r="E725" t="s">
        <v>9</v>
      </c>
      <c r="F725" t="s">
        <v>16</v>
      </c>
      <c r="G725" t="s">
        <v>19</v>
      </c>
      <c r="H725">
        <v>0.24</v>
      </c>
      <c r="I725" s="3">
        <v>0.2273</v>
      </c>
      <c r="J725">
        <v>0.93</v>
      </c>
      <c r="K725">
        <v>0.22389999999999999</v>
      </c>
      <c r="L725">
        <v>3</v>
      </c>
      <c r="M725">
        <v>61</v>
      </c>
      <c r="N725">
        <v>64</v>
      </c>
    </row>
    <row r="726" spans="1:14" x14ac:dyDescent="0.3">
      <c r="A726">
        <v>725</v>
      </c>
      <c r="B726" s="4">
        <v>40576</v>
      </c>
      <c r="C726" s="5">
        <v>0.54166666666666674</v>
      </c>
      <c r="D726" t="s">
        <v>8</v>
      </c>
      <c r="E726" t="s">
        <v>9</v>
      </c>
      <c r="F726" t="s">
        <v>16</v>
      </c>
      <c r="G726" t="s">
        <v>18</v>
      </c>
      <c r="H726">
        <v>0.34</v>
      </c>
      <c r="I726" s="3">
        <v>0.33329999999999999</v>
      </c>
      <c r="J726">
        <v>0.93</v>
      </c>
      <c r="K726">
        <v>0.16420000000000001</v>
      </c>
      <c r="L726">
        <v>1</v>
      </c>
      <c r="M726">
        <v>74</v>
      </c>
      <c r="N726">
        <v>75</v>
      </c>
    </row>
    <row r="727" spans="1:14" x14ac:dyDescent="0.3">
      <c r="A727">
        <v>726</v>
      </c>
      <c r="B727" s="4">
        <v>40576</v>
      </c>
      <c r="C727" s="5">
        <v>0.58333333333333326</v>
      </c>
      <c r="D727" t="s">
        <v>8</v>
      </c>
      <c r="E727" t="s">
        <v>9</v>
      </c>
      <c r="F727" t="s">
        <v>16</v>
      </c>
      <c r="G727" t="s">
        <v>18</v>
      </c>
      <c r="H727">
        <v>0.38</v>
      </c>
      <c r="I727" s="3">
        <v>0.39389999999999997</v>
      </c>
      <c r="J727">
        <v>0.82</v>
      </c>
      <c r="K727">
        <v>0.3881</v>
      </c>
      <c r="L727">
        <v>2</v>
      </c>
      <c r="M727">
        <v>61</v>
      </c>
      <c r="N727">
        <v>63</v>
      </c>
    </row>
    <row r="728" spans="1:14" x14ac:dyDescent="0.3">
      <c r="A728">
        <v>727</v>
      </c>
      <c r="B728" s="4">
        <v>40576</v>
      </c>
      <c r="C728" s="5">
        <v>0.625</v>
      </c>
      <c r="D728" t="s">
        <v>8</v>
      </c>
      <c r="E728" t="s">
        <v>9</v>
      </c>
      <c r="F728" t="s">
        <v>16</v>
      </c>
      <c r="G728" t="s">
        <v>18</v>
      </c>
      <c r="H728">
        <v>0.38</v>
      </c>
      <c r="I728" s="3">
        <v>0.39389999999999997</v>
      </c>
      <c r="J728">
        <v>0.76</v>
      </c>
      <c r="K728">
        <v>0.32840000000000003</v>
      </c>
      <c r="L728">
        <v>10</v>
      </c>
      <c r="M728">
        <v>66</v>
      </c>
      <c r="N728">
        <v>76</v>
      </c>
    </row>
    <row r="729" spans="1:14" x14ac:dyDescent="0.3">
      <c r="A729">
        <v>728</v>
      </c>
      <c r="B729" s="4">
        <v>40576</v>
      </c>
      <c r="C729" s="5">
        <v>0.66666666666666674</v>
      </c>
      <c r="D729" t="s">
        <v>8</v>
      </c>
      <c r="E729" t="s">
        <v>9</v>
      </c>
      <c r="F729" t="s">
        <v>16</v>
      </c>
      <c r="G729" t="s">
        <v>18</v>
      </c>
      <c r="H729">
        <v>0.36</v>
      </c>
      <c r="I729" s="3">
        <v>0.33329999999999999</v>
      </c>
      <c r="J729">
        <v>0.71</v>
      </c>
      <c r="K729">
        <v>0.29849999999999999</v>
      </c>
      <c r="L729">
        <v>8</v>
      </c>
      <c r="M729">
        <v>95</v>
      </c>
      <c r="N729">
        <v>103</v>
      </c>
    </row>
    <row r="730" spans="1:14" x14ac:dyDescent="0.3">
      <c r="A730">
        <v>729</v>
      </c>
      <c r="B730" s="4">
        <v>40576</v>
      </c>
      <c r="C730" s="5">
        <v>0.70833333333333326</v>
      </c>
      <c r="D730" t="s">
        <v>8</v>
      </c>
      <c r="E730" t="s">
        <v>9</v>
      </c>
      <c r="F730" t="s">
        <v>16</v>
      </c>
      <c r="G730" t="s">
        <v>18</v>
      </c>
      <c r="H730">
        <v>0.36</v>
      </c>
      <c r="I730" s="3">
        <v>0.31819999999999998</v>
      </c>
      <c r="J730">
        <v>0.53</v>
      </c>
      <c r="K730">
        <v>0.52239999999999998</v>
      </c>
      <c r="L730">
        <v>7</v>
      </c>
      <c r="M730">
        <v>183</v>
      </c>
      <c r="N730">
        <v>190</v>
      </c>
    </row>
    <row r="731" spans="1:14" x14ac:dyDescent="0.3">
      <c r="A731">
        <v>730</v>
      </c>
      <c r="B731" s="4">
        <v>40576</v>
      </c>
      <c r="C731" s="5">
        <v>0.75</v>
      </c>
      <c r="D731" t="s">
        <v>8</v>
      </c>
      <c r="E731" t="s">
        <v>9</v>
      </c>
      <c r="F731" t="s">
        <v>16</v>
      </c>
      <c r="G731" t="s">
        <v>18</v>
      </c>
      <c r="H731">
        <v>0.34</v>
      </c>
      <c r="I731" s="3">
        <v>0.28789999999999999</v>
      </c>
      <c r="J731">
        <v>0.42</v>
      </c>
      <c r="K731">
        <v>0.55220000000000002</v>
      </c>
      <c r="L731">
        <v>7</v>
      </c>
      <c r="M731">
        <v>175</v>
      </c>
      <c r="N731">
        <v>182</v>
      </c>
    </row>
    <row r="732" spans="1:14" x14ac:dyDescent="0.3">
      <c r="A732">
        <v>731</v>
      </c>
      <c r="B732" s="4">
        <v>40576</v>
      </c>
      <c r="C732" s="5">
        <v>0.79166666666666674</v>
      </c>
      <c r="D732" t="s">
        <v>8</v>
      </c>
      <c r="E732" t="s">
        <v>9</v>
      </c>
      <c r="F732" t="s">
        <v>16</v>
      </c>
      <c r="G732" t="s">
        <v>18</v>
      </c>
      <c r="H732">
        <v>0.28000000000000003</v>
      </c>
      <c r="I732" s="3">
        <v>0.2424</v>
      </c>
      <c r="J732">
        <v>0.45</v>
      </c>
      <c r="K732">
        <v>0.49249999999999999</v>
      </c>
      <c r="L732">
        <v>3</v>
      </c>
      <c r="M732">
        <v>88</v>
      </c>
      <c r="N732">
        <v>91</v>
      </c>
    </row>
    <row r="733" spans="1:14" x14ac:dyDescent="0.3">
      <c r="A733">
        <v>732</v>
      </c>
      <c r="B733" s="4">
        <v>40576</v>
      </c>
      <c r="C733" s="5">
        <v>0.83333333333333326</v>
      </c>
      <c r="D733" t="s">
        <v>8</v>
      </c>
      <c r="E733" t="s">
        <v>9</v>
      </c>
      <c r="F733" t="s">
        <v>16</v>
      </c>
      <c r="G733" t="s">
        <v>18</v>
      </c>
      <c r="H733">
        <v>0.24</v>
      </c>
      <c r="I733" s="3">
        <v>0.19700000000000001</v>
      </c>
      <c r="J733">
        <v>0.48</v>
      </c>
      <c r="K733">
        <v>0.55220000000000002</v>
      </c>
      <c r="L733">
        <v>4</v>
      </c>
      <c r="M733">
        <v>71</v>
      </c>
      <c r="N733">
        <v>75</v>
      </c>
    </row>
    <row r="734" spans="1:14" x14ac:dyDescent="0.3">
      <c r="A734">
        <v>733</v>
      </c>
      <c r="B734" s="4">
        <v>40576</v>
      </c>
      <c r="C734" s="5">
        <v>0.875</v>
      </c>
      <c r="D734" t="s">
        <v>8</v>
      </c>
      <c r="E734" t="s">
        <v>9</v>
      </c>
      <c r="F734" t="s">
        <v>16</v>
      </c>
      <c r="G734" t="s">
        <v>18</v>
      </c>
      <c r="H734">
        <v>0.22</v>
      </c>
      <c r="I734" s="3">
        <v>0.19700000000000001</v>
      </c>
      <c r="J734">
        <v>0.47</v>
      </c>
      <c r="K734">
        <v>0.32840000000000003</v>
      </c>
      <c r="L734">
        <v>1</v>
      </c>
      <c r="M734">
        <v>62</v>
      </c>
      <c r="N734">
        <v>63</v>
      </c>
    </row>
    <row r="735" spans="1:14" x14ac:dyDescent="0.3">
      <c r="A735">
        <v>734</v>
      </c>
      <c r="B735" s="4">
        <v>40576</v>
      </c>
      <c r="C735" s="5">
        <v>0.91666666666666674</v>
      </c>
      <c r="D735" t="s">
        <v>8</v>
      </c>
      <c r="E735" t="s">
        <v>9</v>
      </c>
      <c r="F735" t="s">
        <v>16</v>
      </c>
      <c r="G735" t="s">
        <v>18</v>
      </c>
      <c r="H735">
        <v>0.22</v>
      </c>
      <c r="I735" s="3">
        <v>0.21210000000000001</v>
      </c>
      <c r="J735">
        <v>0.44</v>
      </c>
      <c r="K735">
        <v>0.25369999999999998</v>
      </c>
      <c r="L735">
        <v>5</v>
      </c>
      <c r="M735">
        <v>35</v>
      </c>
      <c r="N735">
        <v>40</v>
      </c>
    </row>
    <row r="736" spans="1:14" x14ac:dyDescent="0.3">
      <c r="A736">
        <v>735</v>
      </c>
      <c r="B736" s="4">
        <v>40576</v>
      </c>
      <c r="C736" s="5">
        <v>0.95833333333333326</v>
      </c>
      <c r="D736" t="s">
        <v>8</v>
      </c>
      <c r="E736" t="s">
        <v>9</v>
      </c>
      <c r="F736" t="s">
        <v>16</v>
      </c>
      <c r="G736" t="s">
        <v>18</v>
      </c>
      <c r="H736">
        <v>0.2</v>
      </c>
      <c r="I736" s="3">
        <v>0.16669999999999999</v>
      </c>
      <c r="J736">
        <v>0.44</v>
      </c>
      <c r="K736">
        <v>0.44779999999999998</v>
      </c>
      <c r="L736">
        <v>3</v>
      </c>
      <c r="M736">
        <v>29</v>
      </c>
      <c r="N736">
        <v>32</v>
      </c>
    </row>
    <row r="737" spans="1:14" x14ac:dyDescent="0.3">
      <c r="A737">
        <v>736</v>
      </c>
      <c r="B737" s="4">
        <v>40577</v>
      </c>
      <c r="C737" s="5">
        <v>0</v>
      </c>
      <c r="D737" t="s">
        <v>8</v>
      </c>
      <c r="E737" t="s">
        <v>9</v>
      </c>
      <c r="F737" t="s">
        <v>17</v>
      </c>
      <c r="G737" t="s">
        <v>18</v>
      </c>
      <c r="H737">
        <v>0.2</v>
      </c>
      <c r="I737" s="3">
        <v>0.16669999999999999</v>
      </c>
      <c r="J737">
        <v>0.4</v>
      </c>
      <c r="K737">
        <v>0.44779999999999998</v>
      </c>
      <c r="L737">
        <v>1</v>
      </c>
      <c r="M737">
        <v>11</v>
      </c>
      <c r="N737">
        <v>12</v>
      </c>
    </row>
    <row r="738" spans="1:14" x14ac:dyDescent="0.3">
      <c r="A738">
        <v>737</v>
      </c>
      <c r="B738" s="4">
        <v>40577</v>
      </c>
      <c r="C738" s="5">
        <v>4.1666666666666741E-2</v>
      </c>
      <c r="D738" t="s">
        <v>8</v>
      </c>
      <c r="E738" t="s">
        <v>9</v>
      </c>
      <c r="F738" t="s">
        <v>17</v>
      </c>
      <c r="G738" t="s">
        <v>18</v>
      </c>
      <c r="H738">
        <v>0.2</v>
      </c>
      <c r="I738" s="3">
        <v>0.1515</v>
      </c>
      <c r="J738">
        <v>0.44</v>
      </c>
      <c r="K738">
        <v>0.52239999999999998</v>
      </c>
      <c r="L738">
        <v>0</v>
      </c>
      <c r="M738">
        <v>5</v>
      </c>
      <c r="N738">
        <v>5</v>
      </c>
    </row>
    <row r="739" spans="1:14" x14ac:dyDescent="0.3">
      <c r="A739">
        <v>738</v>
      </c>
      <c r="B739" s="4">
        <v>40577</v>
      </c>
      <c r="C739" s="5">
        <v>8.3333333333333259E-2</v>
      </c>
      <c r="D739" t="s">
        <v>8</v>
      </c>
      <c r="E739" t="s">
        <v>9</v>
      </c>
      <c r="F739" t="s">
        <v>17</v>
      </c>
      <c r="G739" t="s">
        <v>18</v>
      </c>
      <c r="H739">
        <v>0.18</v>
      </c>
      <c r="I739" s="3">
        <v>0.16669999999999999</v>
      </c>
      <c r="J739">
        <v>0.43</v>
      </c>
      <c r="K739">
        <v>0.25369999999999998</v>
      </c>
      <c r="L739">
        <v>0</v>
      </c>
      <c r="M739">
        <v>2</v>
      </c>
      <c r="N739">
        <v>2</v>
      </c>
    </row>
    <row r="740" spans="1:14" x14ac:dyDescent="0.3">
      <c r="A740">
        <v>739</v>
      </c>
      <c r="B740" s="4">
        <v>40577</v>
      </c>
      <c r="C740" s="5">
        <v>0.125</v>
      </c>
      <c r="D740" t="s">
        <v>8</v>
      </c>
      <c r="E740" t="s">
        <v>9</v>
      </c>
      <c r="F740" t="s">
        <v>17</v>
      </c>
      <c r="G740" t="s">
        <v>18</v>
      </c>
      <c r="H740">
        <v>0.18</v>
      </c>
      <c r="I740" s="3">
        <v>0.16669999999999999</v>
      </c>
      <c r="J740">
        <v>0.43</v>
      </c>
      <c r="K740">
        <v>0.25369999999999998</v>
      </c>
      <c r="L740">
        <v>0</v>
      </c>
      <c r="M740">
        <v>1</v>
      </c>
      <c r="N740">
        <v>1</v>
      </c>
    </row>
    <row r="741" spans="1:14" x14ac:dyDescent="0.3">
      <c r="A741">
        <v>740</v>
      </c>
      <c r="B741" s="4">
        <v>40577</v>
      </c>
      <c r="C741" s="5">
        <v>0.20833333333333326</v>
      </c>
      <c r="D741" t="s">
        <v>8</v>
      </c>
      <c r="E741" t="s">
        <v>9</v>
      </c>
      <c r="F741" t="s">
        <v>17</v>
      </c>
      <c r="G741" t="s">
        <v>18</v>
      </c>
      <c r="H741">
        <v>0.16</v>
      </c>
      <c r="I741" s="3">
        <v>0.13639999999999999</v>
      </c>
      <c r="J741">
        <v>0.5</v>
      </c>
      <c r="K741">
        <v>0.29849999999999999</v>
      </c>
      <c r="L741">
        <v>0</v>
      </c>
      <c r="M741">
        <v>2</v>
      </c>
      <c r="N741">
        <v>2</v>
      </c>
    </row>
    <row r="742" spans="1:14" x14ac:dyDescent="0.3">
      <c r="A742">
        <v>741</v>
      </c>
      <c r="B742" s="4">
        <v>40577</v>
      </c>
      <c r="C742" s="5">
        <v>0.25</v>
      </c>
      <c r="D742" t="s">
        <v>8</v>
      </c>
      <c r="E742" t="s">
        <v>9</v>
      </c>
      <c r="F742" t="s">
        <v>17</v>
      </c>
      <c r="G742" t="s">
        <v>18</v>
      </c>
      <c r="H742">
        <v>0.16</v>
      </c>
      <c r="I742" s="3">
        <v>0.13639999999999999</v>
      </c>
      <c r="J742">
        <v>0.43</v>
      </c>
      <c r="K742">
        <v>0.35820000000000002</v>
      </c>
      <c r="L742">
        <v>0</v>
      </c>
      <c r="M742">
        <v>39</v>
      </c>
      <c r="N742">
        <v>39</v>
      </c>
    </row>
    <row r="743" spans="1:14" x14ac:dyDescent="0.3">
      <c r="A743">
        <v>742</v>
      </c>
      <c r="B743" s="4">
        <v>40577</v>
      </c>
      <c r="C743" s="5">
        <v>0.29166666666666674</v>
      </c>
      <c r="D743" t="s">
        <v>8</v>
      </c>
      <c r="E743" t="s">
        <v>9</v>
      </c>
      <c r="F743" t="s">
        <v>17</v>
      </c>
      <c r="G743" t="s">
        <v>18</v>
      </c>
      <c r="H743">
        <v>0.14000000000000001</v>
      </c>
      <c r="I743" s="3">
        <v>0.1212</v>
      </c>
      <c r="J743">
        <v>0.5</v>
      </c>
      <c r="K743">
        <v>0.32840000000000003</v>
      </c>
      <c r="L743">
        <v>1</v>
      </c>
      <c r="M743">
        <v>86</v>
      </c>
      <c r="N743">
        <v>87</v>
      </c>
    </row>
    <row r="744" spans="1:14" x14ac:dyDescent="0.3">
      <c r="A744">
        <v>743</v>
      </c>
      <c r="B744" s="4">
        <v>40577</v>
      </c>
      <c r="C744" s="5">
        <v>0.33333333333333326</v>
      </c>
      <c r="D744" t="s">
        <v>8</v>
      </c>
      <c r="E744" t="s">
        <v>9</v>
      </c>
      <c r="F744" t="s">
        <v>17</v>
      </c>
      <c r="G744" t="s">
        <v>18</v>
      </c>
      <c r="H744">
        <v>0.14000000000000001</v>
      </c>
      <c r="I744" s="3">
        <v>0.1212</v>
      </c>
      <c r="J744">
        <v>0.5</v>
      </c>
      <c r="K744">
        <v>0.35820000000000002</v>
      </c>
      <c r="L744">
        <v>4</v>
      </c>
      <c r="M744">
        <v>184</v>
      </c>
      <c r="N744">
        <v>188</v>
      </c>
    </row>
    <row r="745" spans="1:14" x14ac:dyDescent="0.3">
      <c r="A745">
        <v>744</v>
      </c>
      <c r="B745" s="4">
        <v>40577</v>
      </c>
      <c r="C745" s="5">
        <v>0.375</v>
      </c>
      <c r="D745" t="s">
        <v>8</v>
      </c>
      <c r="E745" t="s">
        <v>9</v>
      </c>
      <c r="F745" t="s">
        <v>17</v>
      </c>
      <c r="G745" t="s">
        <v>18</v>
      </c>
      <c r="H745">
        <v>0.16</v>
      </c>
      <c r="I745" s="3">
        <v>0.13639999999999999</v>
      </c>
      <c r="J745">
        <v>0.47</v>
      </c>
      <c r="K745">
        <v>0.29849999999999999</v>
      </c>
      <c r="L745">
        <v>6</v>
      </c>
      <c r="M745">
        <v>127</v>
      </c>
      <c r="N745">
        <v>133</v>
      </c>
    </row>
    <row r="746" spans="1:14" x14ac:dyDescent="0.3">
      <c r="A746">
        <v>745</v>
      </c>
      <c r="B746" s="4">
        <v>40577</v>
      </c>
      <c r="C746" s="5">
        <v>0.41666666666666674</v>
      </c>
      <c r="D746" t="s">
        <v>8</v>
      </c>
      <c r="E746" t="s">
        <v>9</v>
      </c>
      <c r="F746" t="s">
        <v>17</v>
      </c>
      <c r="G746" t="s">
        <v>18</v>
      </c>
      <c r="H746">
        <v>0.18</v>
      </c>
      <c r="I746" s="3">
        <v>0.1515</v>
      </c>
      <c r="J746">
        <v>0.43</v>
      </c>
      <c r="K746">
        <v>0.32840000000000003</v>
      </c>
      <c r="L746">
        <v>2</v>
      </c>
      <c r="M746">
        <v>50</v>
      </c>
      <c r="N746">
        <v>52</v>
      </c>
    </row>
    <row r="747" spans="1:14" x14ac:dyDescent="0.3">
      <c r="A747">
        <v>746</v>
      </c>
      <c r="B747" s="4">
        <v>40577</v>
      </c>
      <c r="C747" s="5">
        <v>0.45833333333333326</v>
      </c>
      <c r="D747" t="s">
        <v>8</v>
      </c>
      <c r="E747" t="s">
        <v>9</v>
      </c>
      <c r="F747" t="s">
        <v>17</v>
      </c>
      <c r="G747" t="s">
        <v>18</v>
      </c>
      <c r="H747">
        <v>0.18</v>
      </c>
      <c r="I747" s="3">
        <v>0.13639999999999999</v>
      </c>
      <c r="J747">
        <v>0.43</v>
      </c>
      <c r="K747">
        <v>0.44779999999999998</v>
      </c>
      <c r="L747">
        <v>9</v>
      </c>
      <c r="M747">
        <v>55</v>
      </c>
      <c r="N747">
        <v>64</v>
      </c>
    </row>
    <row r="748" spans="1:14" x14ac:dyDescent="0.3">
      <c r="A748">
        <v>747</v>
      </c>
      <c r="B748" s="4">
        <v>40577</v>
      </c>
      <c r="C748" s="5">
        <v>0.5</v>
      </c>
      <c r="D748" t="s">
        <v>8</v>
      </c>
      <c r="E748" t="s">
        <v>9</v>
      </c>
      <c r="F748" t="s">
        <v>17</v>
      </c>
      <c r="G748" t="s">
        <v>18</v>
      </c>
      <c r="H748">
        <v>0.2</v>
      </c>
      <c r="I748" s="3">
        <v>0.18179999999999999</v>
      </c>
      <c r="J748">
        <v>0.4</v>
      </c>
      <c r="K748">
        <v>0.35820000000000002</v>
      </c>
      <c r="L748">
        <v>2</v>
      </c>
      <c r="M748">
        <v>67</v>
      </c>
      <c r="N748">
        <v>69</v>
      </c>
    </row>
    <row r="749" spans="1:14" x14ac:dyDescent="0.3">
      <c r="A749">
        <v>748</v>
      </c>
      <c r="B749" s="4">
        <v>40577</v>
      </c>
      <c r="C749" s="5">
        <v>0.54166666666666674</v>
      </c>
      <c r="D749" t="s">
        <v>8</v>
      </c>
      <c r="E749" t="s">
        <v>9</v>
      </c>
      <c r="F749" t="s">
        <v>17</v>
      </c>
      <c r="G749" t="s">
        <v>18</v>
      </c>
      <c r="H749">
        <v>0.2</v>
      </c>
      <c r="I749" s="3">
        <v>0.16669999999999999</v>
      </c>
      <c r="J749">
        <v>0.4</v>
      </c>
      <c r="K749">
        <v>0.41789999999999999</v>
      </c>
      <c r="L749">
        <v>4</v>
      </c>
      <c r="M749">
        <v>47</v>
      </c>
      <c r="N749">
        <v>51</v>
      </c>
    </row>
    <row r="750" spans="1:14" x14ac:dyDescent="0.3">
      <c r="A750">
        <v>749</v>
      </c>
      <c r="B750" s="4">
        <v>40577</v>
      </c>
      <c r="C750" s="5">
        <v>0.58333333333333326</v>
      </c>
      <c r="D750" t="s">
        <v>8</v>
      </c>
      <c r="E750" t="s">
        <v>9</v>
      </c>
      <c r="F750" t="s">
        <v>17</v>
      </c>
      <c r="G750" t="s">
        <v>18</v>
      </c>
      <c r="H750">
        <v>0.22</v>
      </c>
      <c r="I750" s="3">
        <v>0.19700000000000001</v>
      </c>
      <c r="J750">
        <v>0.37</v>
      </c>
      <c r="K750">
        <v>0.3881</v>
      </c>
      <c r="L750">
        <v>4</v>
      </c>
      <c r="M750">
        <v>43</v>
      </c>
      <c r="N750">
        <v>47</v>
      </c>
    </row>
    <row r="751" spans="1:14" x14ac:dyDescent="0.3">
      <c r="A751">
        <v>750</v>
      </c>
      <c r="B751" s="4">
        <v>40577</v>
      </c>
      <c r="C751" s="5">
        <v>0.625</v>
      </c>
      <c r="D751" t="s">
        <v>8</v>
      </c>
      <c r="E751" t="s">
        <v>9</v>
      </c>
      <c r="F751" t="s">
        <v>17</v>
      </c>
      <c r="G751" t="s">
        <v>18</v>
      </c>
      <c r="H751">
        <v>0.22</v>
      </c>
      <c r="I751" s="3">
        <v>0.19700000000000001</v>
      </c>
      <c r="J751">
        <v>0.37</v>
      </c>
      <c r="K751">
        <v>0.32840000000000003</v>
      </c>
      <c r="L751">
        <v>4</v>
      </c>
      <c r="M751">
        <v>56</v>
      </c>
      <c r="N751">
        <v>60</v>
      </c>
    </row>
    <row r="752" spans="1:14" x14ac:dyDescent="0.3">
      <c r="A752">
        <v>751</v>
      </c>
      <c r="B752" s="4">
        <v>40577</v>
      </c>
      <c r="C752" s="5">
        <v>0.66666666666666674</v>
      </c>
      <c r="D752" t="s">
        <v>8</v>
      </c>
      <c r="E752" t="s">
        <v>9</v>
      </c>
      <c r="F752" t="s">
        <v>17</v>
      </c>
      <c r="G752" t="s">
        <v>18</v>
      </c>
      <c r="H752">
        <v>0.22</v>
      </c>
      <c r="I752" s="3">
        <v>0.21210000000000001</v>
      </c>
      <c r="J752">
        <v>0.37</v>
      </c>
      <c r="K752">
        <v>0.25369999999999998</v>
      </c>
      <c r="L752">
        <v>5</v>
      </c>
      <c r="M752">
        <v>73</v>
      </c>
      <c r="N752">
        <v>78</v>
      </c>
    </row>
    <row r="753" spans="1:14" x14ac:dyDescent="0.3">
      <c r="A753">
        <v>752</v>
      </c>
      <c r="B753" s="4">
        <v>40577</v>
      </c>
      <c r="C753" s="5">
        <v>0.70833333333333326</v>
      </c>
      <c r="D753" t="s">
        <v>8</v>
      </c>
      <c r="E753" t="s">
        <v>9</v>
      </c>
      <c r="F753" t="s">
        <v>17</v>
      </c>
      <c r="G753" t="s">
        <v>18</v>
      </c>
      <c r="H753">
        <v>0.2</v>
      </c>
      <c r="I753" s="3">
        <v>0.19700000000000001</v>
      </c>
      <c r="J753">
        <v>0.4</v>
      </c>
      <c r="K753">
        <v>0.19400000000000001</v>
      </c>
      <c r="L753">
        <v>5</v>
      </c>
      <c r="M753">
        <v>170</v>
      </c>
      <c r="N753">
        <v>175</v>
      </c>
    </row>
    <row r="754" spans="1:14" x14ac:dyDescent="0.3">
      <c r="A754">
        <v>753</v>
      </c>
      <c r="B754" s="4">
        <v>40577</v>
      </c>
      <c r="C754" s="5">
        <v>0.75</v>
      </c>
      <c r="D754" t="s">
        <v>8</v>
      </c>
      <c r="E754" t="s">
        <v>9</v>
      </c>
      <c r="F754" t="s">
        <v>17</v>
      </c>
      <c r="G754" t="s">
        <v>18</v>
      </c>
      <c r="H754">
        <v>0.2</v>
      </c>
      <c r="I754" s="3">
        <v>0.21210000000000001</v>
      </c>
      <c r="J754">
        <v>0.4</v>
      </c>
      <c r="K754">
        <v>0.16420000000000001</v>
      </c>
      <c r="L754">
        <v>2</v>
      </c>
      <c r="M754">
        <v>145</v>
      </c>
      <c r="N754">
        <v>147</v>
      </c>
    </row>
    <row r="755" spans="1:14" x14ac:dyDescent="0.3">
      <c r="A755">
        <v>754</v>
      </c>
      <c r="B755" s="4">
        <v>40577</v>
      </c>
      <c r="C755" s="5">
        <v>0.79166666666666674</v>
      </c>
      <c r="D755" t="s">
        <v>8</v>
      </c>
      <c r="E755" t="s">
        <v>9</v>
      </c>
      <c r="F755" t="s">
        <v>17</v>
      </c>
      <c r="G755" t="s">
        <v>18</v>
      </c>
      <c r="H755">
        <v>0.2</v>
      </c>
      <c r="I755" s="3">
        <v>0.2576</v>
      </c>
      <c r="J755">
        <v>0.4</v>
      </c>
      <c r="K755">
        <v>0</v>
      </c>
      <c r="L755">
        <v>4</v>
      </c>
      <c r="M755">
        <v>92</v>
      </c>
      <c r="N755">
        <v>96</v>
      </c>
    </row>
    <row r="756" spans="1:14" x14ac:dyDescent="0.3">
      <c r="A756">
        <v>755</v>
      </c>
      <c r="B756" s="4">
        <v>40577</v>
      </c>
      <c r="C756" s="5">
        <v>0.83333333333333326</v>
      </c>
      <c r="D756" t="s">
        <v>8</v>
      </c>
      <c r="E756" t="s">
        <v>9</v>
      </c>
      <c r="F756" t="s">
        <v>17</v>
      </c>
      <c r="G756" t="s">
        <v>18</v>
      </c>
      <c r="H756">
        <v>0.2</v>
      </c>
      <c r="I756" s="3">
        <v>0.2273</v>
      </c>
      <c r="J756">
        <v>0.47</v>
      </c>
      <c r="K756">
        <v>8.9599999999999999E-2</v>
      </c>
      <c r="L756">
        <v>1</v>
      </c>
      <c r="M756">
        <v>108</v>
      </c>
      <c r="N756">
        <v>109</v>
      </c>
    </row>
    <row r="757" spans="1:14" x14ac:dyDescent="0.3">
      <c r="A757">
        <v>756</v>
      </c>
      <c r="B757" s="4">
        <v>40577</v>
      </c>
      <c r="C757" s="5">
        <v>0.875</v>
      </c>
      <c r="D757" t="s">
        <v>8</v>
      </c>
      <c r="E757" t="s">
        <v>9</v>
      </c>
      <c r="F757" t="s">
        <v>17</v>
      </c>
      <c r="G757" t="s">
        <v>18</v>
      </c>
      <c r="H757">
        <v>0.18</v>
      </c>
      <c r="I757" s="3">
        <v>0.21210000000000001</v>
      </c>
      <c r="J757">
        <v>0.55000000000000004</v>
      </c>
      <c r="K757">
        <v>0.1045</v>
      </c>
      <c r="L757">
        <v>1</v>
      </c>
      <c r="M757">
        <v>53</v>
      </c>
      <c r="N757">
        <v>54</v>
      </c>
    </row>
    <row r="758" spans="1:14" x14ac:dyDescent="0.3">
      <c r="A758">
        <v>757</v>
      </c>
      <c r="B758" s="4">
        <v>40577</v>
      </c>
      <c r="C758" s="5">
        <v>0.91666666666666674</v>
      </c>
      <c r="D758" t="s">
        <v>8</v>
      </c>
      <c r="E758" t="s">
        <v>9</v>
      </c>
      <c r="F758" t="s">
        <v>17</v>
      </c>
      <c r="G758" t="s">
        <v>18</v>
      </c>
      <c r="H758">
        <v>0.18</v>
      </c>
      <c r="I758" s="3">
        <v>0.21210000000000001</v>
      </c>
      <c r="J758">
        <v>0.51</v>
      </c>
      <c r="K758">
        <v>8.9599999999999999E-2</v>
      </c>
      <c r="L758">
        <v>2</v>
      </c>
      <c r="M758">
        <v>39</v>
      </c>
      <c r="N758">
        <v>41</v>
      </c>
    </row>
    <row r="759" spans="1:14" x14ac:dyDescent="0.3">
      <c r="A759">
        <v>758</v>
      </c>
      <c r="B759" s="4">
        <v>40577</v>
      </c>
      <c r="C759" s="5">
        <v>0.95833333333333326</v>
      </c>
      <c r="D759" t="s">
        <v>8</v>
      </c>
      <c r="E759" t="s">
        <v>9</v>
      </c>
      <c r="F759" t="s">
        <v>17</v>
      </c>
      <c r="G759" t="s">
        <v>18</v>
      </c>
      <c r="H759">
        <v>0.2</v>
      </c>
      <c r="I759" s="3">
        <v>0.2273</v>
      </c>
      <c r="J759">
        <v>0.47</v>
      </c>
      <c r="K759">
        <v>0.1045</v>
      </c>
      <c r="L759">
        <v>4</v>
      </c>
      <c r="M759">
        <v>34</v>
      </c>
      <c r="N759">
        <v>38</v>
      </c>
    </row>
    <row r="760" spans="1:14" x14ac:dyDescent="0.3">
      <c r="A760">
        <v>759</v>
      </c>
      <c r="B760" s="4">
        <v>40578</v>
      </c>
      <c r="C760" s="5">
        <v>0</v>
      </c>
      <c r="D760" t="s">
        <v>8</v>
      </c>
      <c r="E760" t="s">
        <v>9</v>
      </c>
      <c r="F760" t="s">
        <v>11</v>
      </c>
      <c r="G760" t="s">
        <v>19</v>
      </c>
      <c r="H760">
        <v>0.2</v>
      </c>
      <c r="I760" s="3">
        <v>0.2576</v>
      </c>
      <c r="J760">
        <v>0.44</v>
      </c>
      <c r="K760">
        <v>0</v>
      </c>
      <c r="L760">
        <v>3</v>
      </c>
      <c r="M760">
        <v>10</v>
      </c>
      <c r="N760">
        <v>13</v>
      </c>
    </row>
    <row r="761" spans="1:14" x14ac:dyDescent="0.3">
      <c r="A761">
        <v>760</v>
      </c>
      <c r="B761" s="4">
        <v>40578</v>
      </c>
      <c r="C761" s="5">
        <v>4.1666666666666741E-2</v>
      </c>
      <c r="D761" t="s">
        <v>8</v>
      </c>
      <c r="E761" t="s">
        <v>9</v>
      </c>
      <c r="F761" t="s">
        <v>11</v>
      </c>
      <c r="G761" t="s">
        <v>19</v>
      </c>
      <c r="H761">
        <v>0.16</v>
      </c>
      <c r="I761" s="3">
        <v>0.2273</v>
      </c>
      <c r="J761">
        <v>0.59</v>
      </c>
      <c r="K761">
        <v>0</v>
      </c>
      <c r="L761">
        <v>0</v>
      </c>
      <c r="M761">
        <v>7</v>
      </c>
      <c r="N761">
        <v>7</v>
      </c>
    </row>
    <row r="762" spans="1:14" x14ac:dyDescent="0.3">
      <c r="A762">
        <v>761</v>
      </c>
      <c r="B762" s="4">
        <v>40578</v>
      </c>
      <c r="C762" s="5">
        <v>8.3333333333333259E-2</v>
      </c>
      <c r="D762" t="s">
        <v>8</v>
      </c>
      <c r="E762" t="s">
        <v>9</v>
      </c>
      <c r="F762" t="s">
        <v>11</v>
      </c>
      <c r="G762" t="s">
        <v>19</v>
      </c>
      <c r="H762">
        <v>0.14000000000000001</v>
      </c>
      <c r="I762" s="3">
        <v>0.16669999999999999</v>
      </c>
      <c r="J762">
        <v>0.63</v>
      </c>
      <c r="K762">
        <v>0.1045</v>
      </c>
      <c r="L762">
        <v>0</v>
      </c>
      <c r="M762">
        <v>1</v>
      </c>
      <c r="N762">
        <v>1</v>
      </c>
    </row>
    <row r="763" spans="1:14" x14ac:dyDescent="0.3">
      <c r="A763">
        <v>762</v>
      </c>
      <c r="B763" s="4">
        <v>40578</v>
      </c>
      <c r="C763" s="5">
        <v>0.125</v>
      </c>
      <c r="D763" t="s">
        <v>8</v>
      </c>
      <c r="E763" t="s">
        <v>9</v>
      </c>
      <c r="F763" t="s">
        <v>11</v>
      </c>
      <c r="G763" t="s">
        <v>19</v>
      </c>
      <c r="H763">
        <v>0.14000000000000001</v>
      </c>
      <c r="I763" s="3">
        <v>0.16669999999999999</v>
      </c>
      <c r="J763">
        <v>0.63</v>
      </c>
      <c r="K763">
        <v>0.1045</v>
      </c>
      <c r="L763">
        <v>0</v>
      </c>
      <c r="M763">
        <v>1</v>
      </c>
      <c r="N763">
        <v>1</v>
      </c>
    </row>
    <row r="764" spans="1:14" x14ac:dyDescent="0.3">
      <c r="A764">
        <v>763</v>
      </c>
      <c r="B764" s="4">
        <v>40578</v>
      </c>
      <c r="C764" s="5">
        <v>0.20833333333333326</v>
      </c>
      <c r="D764" t="s">
        <v>8</v>
      </c>
      <c r="E764" t="s">
        <v>9</v>
      </c>
      <c r="F764" t="s">
        <v>11</v>
      </c>
      <c r="G764" t="s">
        <v>19</v>
      </c>
      <c r="H764">
        <v>0.14000000000000001</v>
      </c>
      <c r="I764" s="3">
        <v>0.1515</v>
      </c>
      <c r="J764">
        <v>0.63</v>
      </c>
      <c r="K764">
        <v>0.1343</v>
      </c>
      <c r="L764">
        <v>0</v>
      </c>
      <c r="M764">
        <v>7</v>
      </c>
      <c r="N764">
        <v>7</v>
      </c>
    </row>
    <row r="765" spans="1:14" x14ac:dyDescent="0.3">
      <c r="A765">
        <v>764</v>
      </c>
      <c r="B765" s="4">
        <v>40578</v>
      </c>
      <c r="C765" s="5">
        <v>0.25</v>
      </c>
      <c r="D765" t="s">
        <v>8</v>
      </c>
      <c r="E765" t="s">
        <v>9</v>
      </c>
      <c r="F765" t="s">
        <v>11</v>
      </c>
      <c r="G765" t="s">
        <v>19</v>
      </c>
      <c r="H765">
        <v>0.16</v>
      </c>
      <c r="I765" s="3">
        <v>0.2273</v>
      </c>
      <c r="J765">
        <v>0.55000000000000004</v>
      </c>
      <c r="K765">
        <v>0</v>
      </c>
      <c r="L765">
        <v>2</v>
      </c>
      <c r="M765">
        <v>26</v>
      </c>
      <c r="N765">
        <v>28</v>
      </c>
    </row>
    <row r="766" spans="1:14" x14ac:dyDescent="0.3">
      <c r="A766">
        <v>765</v>
      </c>
      <c r="B766" s="4">
        <v>40578</v>
      </c>
      <c r="C766" s="5">
        <v>0.29166666666666674</v>
      </c>
      <c r="D766" t="s">
        <v>8</v>
      </c>
      <c r="E766" t="s">
        <v>9</v>
      </c>
      <c r="F766" t="s">
        <v>11</v>
      </c>
      <c r="G766" t="s">
        <v>18</v>
      </c>
      <c r="H766">
        <v>0.14000000000000001</v>
      </c>
      <c r="I766" s="3">
        <v>0.21210000000000001</v>
      </c>
      <c r="J766">
        <v>0.59</v>
      </c>
      <c r="K766">
        <v>0</v>
      </c>
      <c r="L766">
        <v>0</v>
      </c>
      <c r="M766">
        <v>87</v>
      </c>
      <c r="N766">
        <v>87</v>
      </c>
    </row>
    <row r="767" spans="1:14" x14ac:dyDescent="0.3">
      <c r="A767">
        <v>766</v>
      </c>
      <c r="B767" s="4">
        <v>40578</v>
      </c>
      <c r="C767" s="5">
        <v>0.33333333333333326</v>
      </c>
      <c r="D767" t="s">
        <v>8</v>
      </c>
      <c r="E767" t="s">
        <v>9</v>
      </c>
      <c r="F767" t="s">
        <v>11</v>
      </c>
      <c r="G767" t="s">
        <v>18</v>
      </c>
      <c r="H767">
        <v>0.14000000000000001</v>
      </c>
      <c r="I767" s="3">
        <v>0.1515</v>
      </c>
      <c r="J767">
        <v>0.74</v>
      </c>
      <c r="K767">
        <v>0.1343</v>
      </c>
      <c r="L767">
        <v>3</v>
      </c>
      <c r="M767">
        <v>217</v>
      </c>
      <c r="N767">
        <v>220</v>
      </c>
    </row>
    <row r="768" spans="1:14" x14ac:dyDescent="0.3">
      <c r="A768">
        <v>767</v>
      </c>
      <c r="B768" s="4">
        <v>40578</v>
      </c>
      <c r="C768" s="5">
        <v>0.375</v>
      </c>
      <c r="D768" t="s">
        <v>8</v>
      </c>
      <c r="E768" t="s">
        <v>9</v>
      </c>
      <c r="F768" t="s">
        <v>11</v>
      </c>
      <c r="G768" t="s">
        <v>19</v>
      </c>
      <c r="H768">
        <v>0.16</v>
      </c>
      <c r="I768" s="3">
        <v>0.18179999999999999</v>
      </c>
      <c r="J768">
        <v>0.8</v>
      </c>
      <c r="K768">
        <v>0.1343</v>
      </c>
      <c r="L768">
        <v>3</v>
      </c>
      <c r="M768">
        <v>124</v>
      </c>
      <c r="N768">
        <v>127</v>
      </c>
    </row>
    <row r="769" spans="1:14" x14ac:dyDescent="0.3">
      <c r="A769">
        <v>768</v>
      </c>
      <c r="B769" s="4">
        <v>40578</v>
      </c>
      <c r="C769" s="5">
        <v>0.41666666666666674</v>
      </c>
      <c r="D769" t="s">
        <v>8</v>
      </c>
      <c r="E769" t="s">
        <v>9</v>
      </c>
      <c r="F769" t="s">
        <v>11</v>
      </c>
      <c r="G769" t="s">
        <v>19</v>
      </c>
      <c r="H769">
        <v>0.2</v>
      </c>
      <c r="I769" s="3">
        <v>0.21210000000000001</v>
      </c>
      <c r="J769">
        <v>0.51</v>
      </c>
      <c r="K769">
        <v>0.1343</v>
      </c>
      <c r="L769">
        <v>5</v>
      </c>
      <c r="M769">
        <v>46</v>
      </c>
      <c r="N769">
        <v>51</v>
      </c>
    </row>
    <row r="770" spans="1:14" x14ac:dyDescent="0.3">
      <c r="A770">
        <v>769</v>
      </c>
      <c r="B770" s="4">
        <v>40578</v>
      </c>
      <c r="C770" s="5">
        <v>0.45833333333333326</v>
      </c>
      <c r="D770" t="s">
        <v>8</v>
      </c>
      <c r="E770" t="s">
        <v>9</v>
      </c>
      <c r="F770" t="s">
        <v>11</v>
      </c>
      <c r="G770" t="s">
        <v>18</v>
      </c>
      <c r="H770">
        <v>0.22</v>
      </c>
      <c r="I770" s="3">
        <v>0.2273</v>
      </c>
      <c r="J770">
        <v>0.51</v>
      </c>
      <c r="K770">
        <v>0.16420000000000001</v>
      </c>
      <c r="L770">
        <v>3</v>
      </c>
      <c r="M770">
        <v>61</v>
      </c>
      <c r="N770">
        <v>64</v>
      </c>
    </row>
    <row r="771" spans="1:14" x14ac:dyDescent="0.3">
      <c r="A771">
        <v>770</v>
      </c>
      <c r="B771" s="4">
        <v>40578</v>
      </c>
      <c r="C771" s="5">
        <v>0.5</v>
      </c>
      <c r="D771" t="s">
        <v>8</v>
      </c>
      <c r="E771" t="s">
        <v>9</v>
      </c>
      <c r="F771" t="s">
        <v>11</v>
      </c>
      <c r="G771" t="s">
        <v>19</v>
      </c>
      <c r="H771">
        <v>0.24</v>
      </c>
      <c r="I771" s="3">
        <v>0.2424</v>
      </c>
      <c r="J771">
        <v>0.48</v>
      </c>
      <c r="K771">
        <v>0.16420000000000001</v>
      </c>
      <c r="L771">
        <v>8</v>
      </c>
      <c r="M771">
        <v>78</v>
      </c>
      <c r="N771">
        <v>86</v>
      </c>
    </row>
    <row r="772" spans="1:14" x14ac:dyDescent="0.3">
      <c r="A772">
        <v>771</v>
      </c>
      <c r="B772" s="4">
        <v>40578</v>
      </c>
      <c r="C772" s="5">
        <v>0.54166666666666674</v>
      </c>
      <c r="D772" t="s">
        <v>8</v>
      </c>
      <c r="E772" t="s">
        <v>9</v>
      </c>
      <c r="F772" t="s">
        <v>11</v>
      </c>
      <c r="G772" t="s">
        <v>19</v>
      </c>
      <c r="H772">
        <v>0.26</v>
      </c>
      <c r="I772" s="3">
        <v>0.2576</v>
      </c>
      <c r="J772">
        <v>0.5</v>
      </c>
      <c r="K772">
        <v>0.22389999999999999</v>
      </c>
      <c r="L772">
        <v>9</v>
      </c>
      <c r="M772">
        <v>73</v>
      </c>
      <c r="N772">
        <v>82</v>
      </c>
    </row>
    <row r="773" spans="1:14" x14ac:dyDescent="0.3">
      <c r="A773">
        <v>772</v>
      </c>
      <c r="B773" s="4">
        <v>40578</v>
      </c>
      <c r="C773" s="5">
        <v>0.58333333333333326</v>
      </c>
      <c r="D773" t="s">
        <v>8</v>
      </c>
      <c r="E773" t="s">
        <v>9</v>
      </c>
      <c r="F773" t="s">
        <v>11</v>
      </c>
      <c r="G773" t="s">
        <v>19</v>
      </c>
      <c r="H773">
        <v>0.28000000000000003</v>
      </c>
      <c r="I773" s="3">
        <v>0.2727</v>
      </c>
      <c r="J773">
        <v>0.45</v>
      </c>
      <c r="K773">
        <v>0.16420000000000001</v>
      </c>
      <c r="L773">
        <v>15</v>
      </c>
      <c r="M773">
        <v>76</v>
      </c>
      <c r="N773">
        <v>91</v>
      </c>
    </row>
    <row r="774" spans="1:14" x14ac:dyDescent="0.3">
      <c r="A774">
        <v>773</v>
      </c>
      <c r="B774" s="4">
        <v>40578</v>
      </c>
      <c r="C774" s="5">
        <v>0.625</v>
      </c>
      <c r="D774" t="s">
        <v>8</v>
      </c>
      <c r="E774" t="s">
        <v>9</v>
      </c>
      <c r="F774" t="s">
        <v>11</v>
      </c>
      <c r="G774" t="s">
        <v>19</v>
      </c>
      <c r="H774">
        <v>0.28000000000000003</v>
      </c>
      <c r="I774" s="3">
        <v>0.2727</v>
      </c>
      <c r="J774">
        <v>0.48</v>
      </c>
      <c r="K774">
        <v>0.25369999999999998</v>
      </c>
      <c r="L774">
        <v>9</v>
      </c>
      <c r="M774">
        <v>81</v>
      </c>
      <c r="N774">
        <v>90</v>
      </c>
    </row>
    <row r="775" spans="1:14" x14ac:dyDescent="0.3">
      <c r="A775">
        <v>774</v>
      </c>
      <c r="B775" s="4">
        <v>40578</v>
      </c>
      <c r="C775" s="5">
        <v>0.66666666666666674</v>
      </c>
      <c r="D775" t="s">
        <v>8</v>
      </c>
      <c r="E775" t="s">
        <v>9</v>
      </c>
      <c r="F775" t="s">
        <v>11</v>
      </c>
      <c r="G775" t="s">
        <v>19</v>
      </c>
      <c r="H775">
        <v>0.3</v>
      </c>
      <c r="I775" s="3">
        <v>0.28789999999999999</v>
      </c>
      <c r="J775">
        <v>0.42</v>
      </c>
      <c r="K775">
        <v>0.22389999999999999</v>
      </c>
      <c r="L775">
        <v>8</v>
      </c>
      <c r="M775">
        <v>91</v>
      </c>
      <c r="N775">
        <v>99</v>
      </c>
    </row>
    <row r="776" spans="1:14" x14ac:dyDescent="0.3">
      <c r="A776">
        <v>775</v>
      </c>
      <c r="B776" s="4">
        <v>40578</v>
      </c>
      <c r="C776" s="5">
        <v>0.70833333333333326</v>
      </c>
      <c r="D776" t="s">
        <v>8</v>
      </c>
      <c r="E776" t="s">
        <v>9</v>
      </c>
      <c r="F776" t="s">
        <v>11</v>
      </c>
      <c r="G776" t="s">
        <v>19</v>
      </c>
      <c r="H776">
        <v>0.26</v>
      </c>
      <c r="I776" s="3">
        <v>0.2727</v>
      </c>
      <c r="J776">
        <v>0.56000000000000005</v>
      </c>
      <c r="K776">
        <v>0.1343</v>
      </c>
      <c r="L776">
        <v>10</v>
      </c>
      <c r="M776">
        <v>195</v>
      </c>
      <c r="N776">
        <v>205</v>
      </c>
    </row>
    <row r="777" spans="1:14" x14ac:dyDescent="0.3">
      <c r="A777">
        <v>776</v>
      </c>
      <c r="B777" s="4">
        <v>40578</v>
      </c>
      <c r="C777" s="5">
        <v>0.75</v>
      </c>
      <c r="D777" t="s">
        <v>8</v>
      </c>
      <c r="E777" t="s">
        <v>9</v>
      </c>
      <c r="F777" t="s">
        <v>11</v>
      </c>
      <c r="G777" t="s">
        <v>19</v>
      </c>
      <c r="H777">
        <v>0.24</v>
      </c>
      <c r="I777" s="3">
        <v>0.2576</v>
      </c>
      <c r="J777">
        <v>0.6</v>
      </c>
      <c r="K777">
        <v>0.1045</v>
      </c>
      <c r="L777">
        <v>3</v>
      </c>
      <c r="M777">
        <v>152</v>
      </c>
      <c r="N777">
        <v>155</v>
      </c>
    </row>
    <row r="778" spans="1:14" x14ac:dyDescent="0.3">
      <c r="A778">
        <v>777</v>
      </c>
      <c r="B778" s="4">
        <v>40578</v>
      </c>
      <c r="C778" s="5">
        <v>0.79166666666666674</v>
      </c>
      <c r="D778" t="s">
        <v>8</v>
      </c>
      <c r="E778" t="s">
        <v>9</v>
      </c>
      <c r="F778" t="s">
        <v>11</v>
      </c>
      <c r="G778" t="s">
        <v>19</v>
      </c>
      <c r="H778">
        <v>0.24</v>
      </c>
      <c r="I778" s="3">
        <v>0.2424</v>
      </c>
      <c r="J778">
        <v>0.65</v>
      </c>
      <c r="K778">
        <v>0.1343</v>
      </c>
      <c r="L778">
        <v>1</v>
      </c>
      <c r="M778">
        <v>102</v>
      </c>
      <c r="N778">
        <v>103</v>
      </c>
    </row>
    <row r="779" spans="1:14" x14ac:dyDescent="0.3">
      <c r="A779">
        <v>778</v>
      </c>
      <c r="B779" s="4">
        <v>40578</v>
      </c>
      <c r="C779" s="5">
        <v>0.83333333333333326</v>
      </c>
      <c r="D779" t="s">
        <v>8</v>
      </c>
      <c r="E779" t="s">
        <v>9</v>
      </c>
      <c r="F779" t="s">
        <v>11</v>
      </c>
      <c r="G779" t="s">
        <v>19</v>
      </c>
      <c r="H779">
        <v>0.24</v>
      </c>
      <c r="I779" s="3">
        <v>0.2424</v>
      </c>
      <c r="J779">
        <v>0.65</v>
      </c>
      <c r="K779">
        <v>0.16420000000000001</v>
      </c>
      <c r="L779">
        <v>2</v>
      </c>
      <c r="M779">
        <v>69</v>
      </c>
      <c r="N779">
        <v>71</v>
      </c>
    </row>
    <row r="780" spans="1:14" x14ac:dyDescent="0.3">
      <c r="A780">
        <v>779</v>
      </c>
      <c r="B780" s="4">
        <v>40578</v>
      </c>
      <c r="C780" s="5">
        <v>0.875</v>
      </c>
      <c r="D780" t="s">
        <v>8</v>
      </c>
      <c r="E780" t="s">
        <v>9</v>
      </c>
      <c r="F780" t="s">
        <v>11</v>
      </c>
      <c r="G780" t="s">
        <v>19</v>
      </c>
      <c r="H780">
        <v>0.24</v>
      </c>
      <c r="I780" s="3">
        <v>0.2424</v>
      </c>
      <c r="J780">
        <v>0.7</v>
      </c>
      <c r="K780">
        <v>0.16420000000000001</v>
      </c>
      <c r="L780">
        <v>2</v>
      </c>
      <c r="M780">
        <v>41</v>
      </c>
      <c r="N780">
        <v>43</v>
      </c>
    </row>
    <row r="781" spans="1:14" x14ac:dyDescent="0.3">
      <c r="A781">
        <v>780</v>
      </c>
      <c r="B781" s="4">
        <v>40578</v>
      </c>
      <c r="C781" s="5">
        <v>0.91666666666666674</v>
      </c>
      <c r="D781" t="s">
        <v>8</v>
      </c>
      <c r="E781" t="s">
        <v>9</v>
      </c>
      <c r="F781" t="s">
        <v>11</v>
      </c>
      <c r="G781" t="s">
        <v>19</v>
      </c>
      <c r="H781">
        <v>0.24</v>
      </c>
      <c r="I781" s="3">
        <v>0.2424</v>
      </c>
      <c r="J781">
        <v>0.65</v>
      </c>
      <c r="K781">
        <v>0.16420000000000001</v>
      </c>
      <c r="L781">
        <v>1</v>
      </c>
      <c r="M781">
        <v>45</v>
      </c>
      <c r="N781">
        <v>46</v>
      </c>
    </row>
    <row r="782" spans="1:14" x14ac:dyDescent="0.3">
      <c r="A782">
        <v>781</v>
      </c>
      <c r="B782" s="4">
        <v>40578</v>
      </c>
      <c r="C782" s="5">
        <v>0.95833333333333326</v>
      </c>
      <c r="D782" t="s">
        <v>8</v>
      </c>
      <c r="E782" t="s">
        <v>9</v>
      </c>
      <c r="F782" t="s">
        <v>11</v>
      </c>
      <c r="G782" t="s">
        <v>19</v>
      </c>
      <c r="H782">
        <v>0.24</v>
      </c>
      <c r="I782" s="3">
        <v>0.2424</v>
      </c>
      <c r="J782">
        <v>0.7</v>
      </c>
      <c r="K782">
        <v>0.1343</v>
      </c>
      <c r="L782">
        <v>1</v>
      </c>
      <c r="M782">
        <v>30</v>
      </c>
      <c r="N782">
        <v>31</v>
      </c>
    </row>
    <row r="783" spans="1:14" x14ac:dyDescent="0.3">
      <c r="A783">
        <v>782</v>
      </c>
      <c r="B783" s="4">
        <v>40579</v>
      </c>
      <c r="C783" s="5">
        <v>0</v>
      </c>
      <c r="D783" t="s">
        <v>8</v>
      </c>
      <c r="E783" t="s">
        <v>9</v>
      </c>
      <c r="F783" t="s">
        <v>12</v>
      </c>
      <c r="G783" t="s">
        <v>19</v>
      </c>
      <c r="H783">
        <v>0.24</v>
      </c>
      <c r="I783" s="3">
        <v>0.2424</v>
      </c>
      <c r="J783">
        <v>0.7</v>
      </c>
      <c r="K783">
        <v>0.16420000000000001</v>
      </c>
      <c r="L783">
        <v>3</v>
      </c>
      <c r="M783">
        <v>36</v>
      </c>
      <c r="N783">
        <v>39</v>
      </c>
    </row>
    <row r="784" spans="1:14" x14ac:dyDescent="0.3">
      <c r="A784">
        <v>783</v>
      </c>
      <c r="B784" s="4">
        <v>40579</v>
      </c>
      <c r="C784" s="5">
        <v>4.1666666666666741E-2</v>
      </c>
      <c r="D784" t="s">
        <v>8</v>
      </c>
      <c r="E784" t="s">
        <v>9</v>
      </c>
      <c r="F784" t="s">
        <v>12</v>
      </c>
      <c r="G784" t="s">
        <v>19</v>
      </c>
      <c r="H784">
        <v>0.24</v>
      </c>
      <c r="I784" s="3">
        <v>0.2424</v>
      </c>
      <c r="J784">
        <v>0.65</v>
      </c>
      <c r="K784">
        <v>0.16420000000000001</v>
      </c>
      <c r="L784">
        <v>1</v>
      </c>
      <c r="M784">
        <v>17</v>
      </c>
      <c r="N784">
        <v>18</v>
      </c>
    </row>
    <row r="785" spans="1:14" x14ac:dyDescent="0.3">
      <c r="A785">
        <v>784</v>
      </c>
      <c r="B785" s="4">
        <v>40579</v>
      </c>
      <c r="C785" s="5">
        <v>8.3333333333333259E-2</v>
      </c>
      <c r="D785" t="s">
        <v>8</v>
      </c>
      <c r="E785" t="s">
        <v>9</v>
      </c>
      <c r="F785" t="s">
        <v>12</v>
      </c>
      <c r="G785" t="s">
        <v>19</v>
      </c>
      <c r="H785">
        <v>0.24</v>
      </c>
      <c r="I785" s="3">
        <v>0.2424</v>
      </c>
      <c r="J785">
        <v>0.75</v>
      </c>
      <c r="K785">
        <v>0.16420000000000001</v>
      </c>
      <c r="L785">
        <v>5</v>
      </c>
      <c r="M785">
        <v>12</v>
      </c>
      <c r="N785">
        <v>17</v>
      </c>
    </row>
    <row r="786" spans="1:14" x14ac:dyDescent="0.3">
      <c r="A786">
        <v>785</v>
      </c>
      <c r="B786" s="4">
        <v>40579</v>
      </c>
      <c r="C786" s="5">
        <v>0.125</v>
      </c>
      <c r="D786" t="s">
        <v>8</v>
      </c>
      <c r="E786" t="s">
        <v>9</v>
      </c>
      <c r="F786" t="s">
        <v>12</v>
      </c>
      <c r="G786" t="s">
        <v>19</v>
      </c>
      <c r="H786">
        <v>0.24</v>
      </c>
      <c r="I786" s="3">
        <v>0.2424</v>
      </c>
      <c r="J786">
        <v>0.75</v>
      </c>
      <c r="K786">
        <v>0.16420000000000001</v>
      </c>
      <c r="L786">
        <v>1</v>
      </c>
      <c r="M786">
        <v>10</v>
      </c>
      <c r="N786">
        <v>11</v>
      </c>
    </row>
    <row r="787" spans="1:14" x14ac:dyDescent="0.3">
      <c r="A787">
        <v>786</v>
      </c>
      <c r="B787" s="4">
        <v>40579</v>
      </c>
      <c r="C787" s="5">
        <v>0.16666666666666674</v>
      </c>
      <c r="D787" t="s">
        <v>8</v>
      </c>
      <c r="E787" t="s">
        <v>9</v>
      </c>
      <c r="F787" t="s">
        <v>12</v>
      </c>
      <c r="G787" t="s">
        <v>20</v>
      </c>
      <c r="H787">
        <v>0.22</v>
      </c>
      <c r="I787" s="3">
        <v>0.2273</v>
      </c>
      <c r="J787">
        <v>0.93</v>
      </c>
      <c r="K787">
        <v>0.1343</v>
      </c>
      <c r="L787">
        <v>0</v>
      </c>
      <c r="M787">
        <v>8</v>
      </c>
      <c r="N787">
        <v>8</v>
      </c>
    </row>
    <row r="788" spans="1:14" x14ac:dyDescent="0.3">
      <c r="A788">
        <v>787</v>
      </c>
      <c r="B788" s="4">
        <v>40579</v>
      </c>
      <c r="C788" s="5">
        <v>0.20833333333333326</v>
      </c>
      <c r="D788" t="s">
        <v>8</v>
      </c>
      <c r="E788" t="s">
        <v>9</v>
      </c>
      <c r="F788" t="s">
        <v>12</v>
      </c>
      <c r="G788" t="s">
        <v>20</v>
      </c>
      <c r="H788">
        <v>0.2</v>
      </c>
      <c r="I788" s="3">
        <v>0.2273</v>
      </c>
      <c r="J788">
        <v>1</v>
      </c>
      <c r="K788">
        <v>8.9599999999999999E-2</v>
      </c>
      <c r="L788">
        <v>0</v>
      </c>
      <c r="M788">
        <v>9</v>
      </c>
      <c r="N788">
        <v>9</v>
      </c>
    </row>
    <row r="789" spans="1:14" x14ac:dyDescent="0.3">
      <c r="A789">
        <v>788</v>
      </c>
      <c r="B789" s="4">
        <v>40579</v>
      </c>
      <c r="C789" s="5">
        <v>0.25</v>
      </c>
      <c r="D789" t="s">
        <v>8</v>
      </c>
      <c r="E789" t="s">
        <v>9</v>
      </c>
      <c r="F789" t="s">
        <v>12</v>
      </c>
      <c r="G789" t="s">
        <v>20</v>
      </c>
      <c r="H789">
        <v>0.2</v>
      </c>
      <c r="I789" s="3">
        <v>0.2576</v>
      </c>
      <c r="J789">
        <v>1</v>
      </c>
      <c r="K789">
        <v>0</v>
      </c>
      <c r="L789">
        <v>0</v>
      </c>
      <c r="M789">
        <v>4</v>
      </c>
      <c r="N789">
        <v>4</v>
      </c>
    </row>
    <row r="790" spans="1:14" x14ac:dyDescent="0.3">
      <c r="A790">
        <v>789</v>
      </c>
      <c r="B790" s="4">
        <v>40579</v>
      </c>
      <c r="C790" s="5">
        <v>0.29166666666666674</v>
      </c>
      <c r="D790" t="s">
        <v>8</v>
      </c>
      <c r="E790" t="s">
        <v>9</v>
      </c>
      <c r="F790" t="s">
        <v>12</v>
      </c>
      <c r="G790" t="s">
        <v>20</v>
      </c>
      <c r="H790">
        <v>0.22</v>
      </c>
      <c r="I790" s="3">
        <v>0.2576</v>
      </c>
      <c r="J790">
        <v>0.93</v>
      </c>
      <c r="K790">
        <v>8.9599999999999999E-2</v>
      </c>
      <c r="L790">
        <v>0</v>
      </c>
      <c r="M790">
        <v>4</v>
      </c>
      <c r="N790">
        <v>4</v>
      </c>
    </row>
    <row r="791" spans="1:14" x14ac:dyDescent="0.3">
      <c r="A791">
        <v>790</v>
      </c>
      <c r="B791" s="4">
        <v>40579</v>
      </c>
      <c r="C791" s="5">
        <v>0.33333333333333326</v>
      </c>
      <c r="D791" t="s">
        <v>8</v>
      </c>
      <c r="E791" t="s">
        <v>9</v>
      </c>
      <c r="F791" t="s">
        <v>12</v>
      </c>
      <c r="G791" t="s">
        <v>20</v>
      </c>
      <c r="H791">
        <v>0.2</v>
      </c>
      <c r="I791" s="3">
        <v>0.2273</v>
      </c>
      <c r="J791">
        <v>1</v>
      </c>
      <c r="K791">
        <v>8.9599999999999999E-2</v>
      </c>
      <c r="L791">
        <v>0</v>
      </c>
      <c r="M791">
        <v>10</v>
      </c>
      <c r="N791">
        <v>10</v>
      </c>
    </row>
    <row r="792" spans="1:14" x14ac:dyDescent="0.3">
      <c r="A792">
        <v>791</v>
      </c>
      <c r="B792" s="4">
        <v>40579</v>
      </c>
      <c r="C792" s="5">
        <v>0.375</v>
      </c>
      <c r="D792" t="s">
        <v>8</v>
      </c>
      <c r="E792" t="s">
        <v>9</v>
      </c>
      <c r="F792" t="s">
        <v>12</v>
      </c>
      <c r="G792" t="s">
        <v>20</v>
      </c>
      <c r="H792">
        <v>0.2</v>
      </c>
      <c r="I792" s="3">
        <v>0.2273</v>
      </c>
      <c r="J792">
        <v>1</v>
      </c>
      <c r="K792">
        <v>8.9599999999999999E-2</v>
      </c>
      <c r="L792">
        <v>3</v>
      </c>
      <c r="M792">
        <v>17</v>
      </c>
      <c r="N792">
        <v>20</v>
      </c>
    </row>
    <row r="793" spans="1:14" x14ac:dyDescent="0.3">
      <c r="A793">
        <v>792</v>
      </c>
      <c r="B793" s="4">
        <v>40579</v>
      </c>
      <c r="C793" s="5">
        <v>0.41666666666666674</v>
      </c>
      <c r="D793" t="s">
        <v>8</v>
      </c>
      <c r="E793" t="s">
        <v>9</v>
      </c>
      <c r="F793" t="s">
        <v>12</v>
      </c>
      <c r="G793" t="s">
        <v>20</v>
      </c>
      <c r="H793">
        <v>0.2</v>
      </c>
      <c r="I793" s="3">
        <v>0.21210000000000001</v>
      </c>
      <c r="J793">
        <v>1</v>
      </c>
      <c r="K793">
        <v>0.1343</v>
      </c>
      <c r="L793">
        <v>3</v>
      </c>
      <c r="M793">
        <v>31</v>
      </c>
      <c r="N793">
        <v>34</v>
      </c>
    </row>
    <row r="794" spans="1:14" x14ac:dyDescent="0.3">
      <c r="A794">
        <v>793</v>
      </c>
      <c r="B794" s="4">
        <v>40579</v>
      </c>
      <c r="C794" s="5">
        <v>0.45833333333333326</v>
      </c>
      <c r="D794" t="s">
        <v>8</v>
      </c>
      <c r="E794" t="s">
        <v>9</v>
      </c>
      <c r="F794" t="s">
        <v>12</v>
      </c>
      <c r="G794" t="s">
        <v>20</v>
      </c>
      <c r="H794">
        <v>0.22</v>
      </c>
      <c r="I794" s="3">
        <v>0.2273</v>
      </c>
      <c r="J794">
        <v>1</v>
      </c>
      <c r="K794">
        <v>0.1343</v>
      </c>
      <c r="L794">
        <v>1</v>
      </c>
      <c r="M794">
        <v>46</v>
      </c>
      <c r="N794">
        <v>47</v>
      </c>
    </row>
    <row r="795" spans="1:14" x14ac:dyDescent="0.3">
      <c r="A795">
        <v>794</v>
      </c>
      <c r="B795" s="4">
        <v>40579</v>
      </c>
      <c r="C795" s="5">
        <v>0.5</v>
      </c>
      <c r="D795" t="s">
        <v>8</v>
      </c>
      <c r="E795" t="s">
        <v>9</v>
      </c>
      <c r="F795" t="s">
        <v>12</v>
      </c>
      <c r="G795" t="s">
        <v>20</v>
      </c>
      <c r="H795">
        <v>0.22</v>
      </c>
      <c r="I795" s="3">
        <v>0.2273</v>
      </c>
      <c r="J795">
        <v>1</v>
      </c>
      <c r="K795">
        <v>0.16420000000000001</v>
      </c>
      <c r="L795">
        <v>10</v>
      </c>
      <c r="M795">
        <v>42</v>
      </c>
      <c r="N795">
        <v>52</v>
      </c>
    </row>
    <row r="796" spans="1:14" x14ac:dyDescent="0.3">
      <c r="A796">
        <v>795</v>
      </c>
      <c r="B796" s="4">
        <v>40579</v>
      </c>
      <c r="C796" s="5">
        <v>0.54166666666666674</v>
      </c>
      <c r="D796" t="s">
        <v>8</v>
      </c>
      <c r="E796" t="s">
        <v>9</v>
      </c>
      <c r="F796" t="s">
        <v>12</v>
      </c>
      <c r="G796" t="s">
        <v>20</v>
      </c>
      <c r="H796">
        <v>0.22</v>
      </c>
      <c r="I796" s="3">
        <v>0.2273</v>
      </c>
      <c r="J796">
        <v>1</v>
      </c>
      <c r="K796">
        <v>0.16420000000000001</v>
      </c>
      <c r="L796">
        <v>10</v>
      </c>
      <c r="M796">
        <v>62</v>
      </c>
      <c r="N796">
        <v>72</v>
      </c>
    </row>
    <row r="797" spans="1:14" x14ac:dyDescent="0.3">
      <c r="A797">
        <v>796</v>
      </c>
      <c r="B797" s="4">
        <v>40579</v>
      </c>
      <c r="C797" s="5">
        <v>0.58333333333333326</v>
      </c>
      <c r="D797" t="s">
        <v>8</v>
      </c>
      <c r="E797" t="s">
        <v>9</v>
      </c>
      <c r="F797" t="s">
        <v>12</v>
      </c>
      <c r="G797" t="s">
        <v>20</v>
      </c>
      <c r="H797">
        <v>0.22</v>
      </c>
      <c r="I797" s="3">
        <v>0.2727</v>
      </c>
      <c r="J797">
        <v>1</v>
      </c>
      <c r="K797">
        <v>0</v>
      </c>
      <c r="L797">
        <v>5</v>
      </c>
      <c r="M797">
        <v>50</v>
      </c>
      <c r="N797">
        <v>55</v>
      </c>
    </row>
    <row r="798" spans="1:14" x14ac:dyDescent="0.3">
      <c r="A798">
        <v>797</v>
      </c>
      <c r="B798" s="4">
        <v>40579</v>
      </c>
      <c r="C798" s="5">
        <v>0.625</v>
      </c>
      <c r="D798" t="s">
        <v>8</v>
      </c>
      <c r="E798" t="s">
        <v>9</v>
      </c>
      <c r="F798" t="s">
        <v>12</v>
      </c>
      <c r="G798" t="s">
        <v>20</v>
      </c>
      <c r="H798">
        <v>0.22</v>
      </c>
      <c r="I798" s="3">
        <v>0.2727</v>
      </c>
      <c r="J798">
        <v>1</v>
      </c>
      <c r="K798">
        <v>0</v>
      </c>
      <c r="L798">
        <v>11</v>
      </c>
      <c r="M798">
        <v>49</v>
      </c>
      <c r="N798">
        <v>60</v>
      </c>
    </row>
    <row r="799" spans="1:14" x14ac:dyDescent="0.3">
      <c r="A799">
        <v>798</v>
      </c>
      <c r="B799" s="4">
        <v>40579</v>
      </c>
      <c r="C799" s="5">
        <v>0.66666666666666674</v>
      </c>
      <c r="D799" t="s">
        <v>8</v>
      </c>
      <c r="E799" t="s">
        <v>9</v>
      </c>
      <c r="F799" t="s">
        <v>12</v>
      </c>
      <c r="G799" t="s">
        <v>20</v>
      </c>
      <c r="H799">
        <v>0.22</v>
      </c>
      <c r="I799" s="3">
        <v>0.2273</v>
      </c>
      <c r="J799">
        <v>1</v>
      </c>
      <c r="K799">
        <v>0.1343</v>
      </c>
      <c r="L799">
        <v>8</v>
      </c>
      <c r="M799">
        <v>63</v>
      </c>
      <c r="N799">
        <v>71</v>
      </c>
    </row>
    <row r="800" spans="1:14" x14ac:dyDescent="0.3">
      <c r="A800">
        <v>799</v>
      </c>
      <c r="B800" s="4">
        <v>40579</v>
      </c>
      <c r="C800" s="5">
        <v>0.70833333333333326</v>
      </c>
      <c r="D800" t="s">
        <v>8</v>
      </c>
      <c r="E800" t="s">
        <v>9</v>
      </c>
      <c r="F800" t="s">
        <v>12</v>
      </c>
      <c r="G800" t="s">
        <v>19</v>
      </c>
      <c r="H800">
        <v>0.24</v>
      </c>
      <c r="I800" s="3">
        <v>0.21210000000000001</v>
      </c>
      <c r="J800">
        <v>1</v>
      </c>
      <c r="K800">
        <v>0.28360000000000002</v>
      </c>
      <c r="L800">
        <v>14</v>
      </c>
      <c r="M800">
        <v>64</v>
      </c>
      <c r="N800">
        <v>78</v>
      </c>
    </row>
    <row r="801" spans="1:14" x14ac:dyDescent="0.3">
      <c r="A801">
        <v>800</v>
      </c>
      <c r="B801" s="4">
        <v>40579</v>
      </c>
      <c r="C801" s="5">
        <v>0.75</v>
      </c>
      <c r="D801" t="s">
        <v>8</v>
      </c>
      <c r="E801" t="s">
        <v>9</v>
      </c>
      <c r="F801" t="s">
        <v>12</v>
      </c>
      <c r="G801" t="s">
        <v>19</v>
      </c>
      <c r="H801">
        <v>0.28000000000000003</v>
      </c>
      <c r="I801" s="3">
        <v>0.2424</v>
      </c>
      <c r="J801">
        <v>0.93</v>
      </c>
      <c r="K801">
        <v>0.44779999999999998</v>
      </c>
      <c r="L801">
        <v>2</v>
      </c>
      <c r="M801">
        <v>81</v>
      </c>
      <c r="N801">
        <v>83</v>
      </c>
    </row>
    <row r="802" spans="1:14" x14ac:dyDescent="0.3">
      <c r="A802">
        <v>801</v>
      </c>
      <c r="B802" s="4">
        <v>40579</v>
      </c>
      <c r="C802" s="5">
        <v>0.79166666666666674</v>
      </c>
      <c r="D802" t="s">
        <v>8</v>
      </c>
      <c r="E802" t="s">
        <v>9</v>
      </c>
      <c r="F802" t="s">
        <v>12</v>
      </c>
      <c r="G802" t="s">
        <v>19</v>
      </c>
      <c r="H802">
        <v>0.28000000000000003</v>
      </c>
      <c r="I802" s="3">
        <v>0.2424</v>
      </c>
      <c r="J802">
        <v>0.93</v>
      </c>
      <c r="K802">
        <v>0.44779999999999998</v>
      </c>
      <c r="L802">
        <v>6</v>
      </c>
      <c r="M802">
        <v>78</v>
      </c>
      <c r="N802">
        <v>84</v>
      </c>
    </row>
    <row r="803" spans="1:14" x14ac:dyDescent="0.3">
      <c r="A803">
        <v>802</v>
      </c>
      <c r="B803" s="4">
        <v>40579</v>
      </c>
      <c r="C803" s="5">
        <v>0.83333333333333326</v>
      </c>
      <c r="D803" t="s">
        <v>8</v>
      </c>
      <c r="E803" t="s">
        <v>9</v>
      </c>
      <c r="F803" t="s">
        <v>12</v>
      </c>
      <c r="G803" t="s">
        <v>18</v>
      </c>
      <c r="H803">
        <v>0.3</v>
      </c>
      <c r="I803" s="3">
        <v>0.28789999999999999</v>
      </c>
      <c r="J803">
        <v>0.87</v>
      </c>
      <c r="K803">
        <v>0.25369999999999998</v>
      </c>
      <c r="L803">
        <v>5</v>
      </c>
      <c r="M803">
        <v>64</v>
      </c>
      <c r="N803">
        <v>69</v>
      </c>
    </row>
    <row r="804" spans="1:14" x14ac:dyDescent="0.3">
      <c r="A804">
        <v>803</v>
      </c>
      <c r="B804" s="4">
        <v>40579</v>
      </c>
      <c r="C804" s="5">
        <v>0.875</v>
      </c>
      <c r="D804" t="s">
        <v>8</v>
      </c>
      <c r="E804" t="s">
        <v>9</v>
      </c>
      <c r="F804" t="s">
        <v>12</v>
      </c>
      <c r="G804" t="s">
        <v>18</v>
      </c>
      <c r="H804">
        <v>0.26</v>
      </c>
      <c r="I804" s="3">
        <v>0.2576</v>
      </c>
      <c r="J804">
        <v>1</v>
      </c>
      <c r="K804">
        <v>0.19400000000000001</v>
      </c>
      <c r="L804">
        <v>3</v>
      </c>
      <c r="M804">
        <v>53</v>
      </c>
      <c r="N804">
        <v>56</v>
      </c>
    </row>
    <row r="805" spans="1:14" x14ac:dyDescent="0.3">
      <c r="A805">
        <v>804</v>
      </c>
      <c r="B805" s="4">
        <v>40579</v>
      </c>
      <c r="C805" s="5">
        <v>0.91666666666666674</v>
      </c>
      <c r="D805" t="s">
        <v>8</v>
      </c>
      <c r="E805" t="s">
        <v>9</v>
      </c>
      <c r="F805" t="s">
        <v>12</v>
      </c>
      <c r="G805" t="s">
        <v>18</v>
      </c>
      <c r="H805">
        <v>0.26</v>
      </c>
      <c r="I805" s="3">
        <v>0.2727</v>
      </c>
      <c r="J805">
        <v>0.93</v>
      </c>
      <c r="K805">
        <v>0.1343</v>
      </c>
      <c r="L805">
        <v>2</v>
      </c>
      <c r="M805">
        <v>43</v>
      </c>
      <c r="N805">
        <v>45</v>
      </c>
    </row>
    <row r="806" spans="1:14" x14ac:dyDescent="0.3">
      <c r="A806">
        <v>805</v>
      </c>
      <c r="B806" s="4">
        <v>40579</v>
      </c>
      <c r="C806" s="5">
        <v>0.95833333333333326</v>
      </c>
      <c r="D806" t="s">
        <v>8</v>
      </c>
      <c r="E806" t="s">
        <v>9</v>
      </c>
      <c r="F806" t="s">
        <v>12</v>
      </c>
      <c r="G806" t="s">
        <v>18</v>
      </c>
      <c r="H806">
        <v>0.26</v>
      </c>
      <c r="I806" s="3">
        <v>0.2576</v>
      </c>
      <c r="J806">
        <v>0.93</v>
      </c>
      <c r="K806">
        <v>0.22389999999999999</v>
      </c>
      <c r="L806">
        <v>7</v>
      </c>
      <c r="M806">
        <v>52</v>
      </c>
      <c r="N806">
        <v>59</v>
      </c>
    </row>
    <row r="807" spans="1:14" x14ac:dyDescent="0.3">
      <c r="A807">
        <v>806</v>
      </c>
      <c r="B807" s="4">
        <v>40580</v>
      </c>
      <c r="C807" s="5">
        <v>0</v>
      </c>
      <c r="D807" t="s">
        <v>8</v>
      </c>
      <c r="E807" t="s">
        <v>9</v>
      </c>
      <c r="F807" t="s">
        <v>13</v>
      </c>
      <c r="G807" t="s">
        <v>18</v>
      </c>
      <c r="H807">
        <v>0.26</v>
      </c>
      <c r="I807" s="3">
        <v>0.2576</v>
      </c>
      <c r="J807">
        <v>0.7</v>
      </c>
      <c r="K807">
        <v>0.19400000000000001</v>
      </c>
      <c r="L807">
        <v>2</v>
      </c>
      <c r="M807">
        <v>37</v>
      </c>
      <c r="N807">
        <v>39</v>
      </c>
    </row>
    <row r="808" spans="1:14" x14ac:dyDescent="0.3">
      <c r="A808">
        <v>807</v>
      </c>
      <c r="B808" s="4">
        <v>40580</v>
      </c>
      <c r="C808" s="5">
        <v>4.1666666666666741E-2</v>
      </c>
      <c r="D808" t="s">
        <v>8</v>
      </c>
      <c r="E808" t="s">
        <v>9</v>
      </c>
      <c r="F808" t="s">
        <v>13</v>
      </c>
      <c r="G808" t="s">
        <v>18</v>
      </c>
      <c r="H808">
        <v>0.26</v>
      </c>
      <c r="I808" s="3">
        <v>0.2273</v>
      </c>
      <c r="J808">
        <v>0.65</v>
      </c>
      <c r="K808">
        <v>0.41789999999999999</v>
      </c>
      <c r="L808">
        <v>4</v>
      </c>
      <c r="M808">
        <v>40</v>
      </c>
      <c r="N808">
        <v>44</v>
      </c>
    </row>
    <row r="809" spans="1:14" x14ac:dyDescent="0.3">
      <c r="A809">
        <v>808</v>
      </c>
      <c r="B809" s="4">
        <v>40580</v>
      </c>
      <c r="C809" s="5">
        <v>8.3333333333333259E-2</v>
      </c>
      <c r="D809" t="s">
        <v>8</v>
      </c>
      <c r="E809" t="s">
        <v>9</v>
      </c>
      <c r="F809" t="s">
        <v>13</v>
      </c>
      <c r="G809" t="s">
        <v>18</v>
      </c>
      <c r="H809">
        <v>0.26</v>
      </c>
      <c r="I809" s="3">
        <v>0.2273</v>
      </c>
      <c r="J809">
        <v>0.6</v>
      </c>
      <c r="K809">
        <v>0.32840000000000003</v>
      </c>
      <c r="L809">
        <v>0</v>
      </c>
      <c r="M809">
        <v>20</v>
      </c>
      <c r="N809">
        <v>20</v>
      </c>
    </row>
    <row r="810" spans="1:14" x14ac:dyDescent="0.3">
      <c r="A810">
        <v>809</v>
      </c>
      <c r="B810" s="4">
        <v>40580</v>
      </c>
      <c r="C810" s="5">
        <v>0.125</v>
      </c>
      <c r="D810" t="s">
        <v>8</v>
      </c>
      <c r="E810" t="s">
        <v>9</v>
      </c>
      <c r="F810" t="s">
        <v>13</v>
      </c>
      <c r="G810" t="s">
        <v>18</v>
      </c>
      <c r="H810">
        <v>0.26</v>
      </c>
      <c r="I810" s="3">
        <v>0.28789999999999999</v>
      </c>
      <c r="J810">
        <v>0.6</v>
      </c>
      <c r="K810">
        <v>8.9599999999999999E-2</v>
      </c>
      <c r="L810">
        <v>3</v>
      </c>
      <c r="M810">
        <v>10</v>
      </c>
      <c r="N810">
        <v>13</v>
      </c>
    </row>
    <row r="811" spans="1:14" x14ac:dyDescent="0.3">
      <c r="A811">
        <v>810</v>
      </c>
      <c r="B811" s="4">
        <v>40580</v>
      </c>
      <c r="C811" s="5">
        <v>0.16666666666666674</v>
      </c>
      <c r="D811" t="s">
        <v>8</v>
      </c>
      <c r="E811" t="s">
        <v>9</v>
      </c>
      <c r="F811" t="s">
        <v>13</v>
      </c>
      <c r="G811" t="s">
        <v>18</v>
      </c>
      <c r="H811">
        <v>0.26</v>
      </c>
      <c r="I811" s="3">
        <v>0.2273</v>
      </c>
      <c r="J811">
        <v>0.6</v>
      </c>
      <c r="K811">
        <v>0.35820000000000002</v>
      </c>
      <c r="L811">
        <v>0</v>
      </c>
      <c r="M811">
        <v>2</v>
      </c>
      <c r="N811">
        <v>2</v>
      </c>
    </row>
    <row r="812" spans="1:14" x14ac:dyDescent="0.3">
      <c r="A812">
        <v>811</v>
      </c>
      <c r="B812" s="4">
        <v>40580</v>
      </c>
      <c r="C812" s="5">
        <v>0.20833333333333326</v>
      </c>
      <c r="D812" t="s">
        <v>8</v>
      </c>
      <c r="E812" t="s">
        <v>9</v>
      </c>
      <c r="F812" t="s">
        <v>13</v>
      </c>
      <c r="G812" t="s">
        <v>18</v>
      </c>
      <c r="H812">
        <v>0.26</v>
      </c>
      <c r="I812" s="3">
        <v>0.2576</v>
      </c>
      <c r="J812">
        <v>0.6</v>
      </c>
      <c r="K812">
        <v>0.22389999999999999</v>
      </c>
      <c r="L812">
        <v>0</v>
      </c>
      <c r="M812">
        <v>1</v>
      </c>
      <c r="N812">
        <v>1</v>
      </c>
    </row>
    <row r="813" spans="1:14" x14ac:dyDescent="0.3">
      <c r="A813">
        <v>812</v>
      </c>
      <c r="B813" s="4">
        <v>40580</v>
      </c>
      <c r="C813" s="5">
        <v>0.25</v>
      </c>
      <c r="D813" t="s">
        <v>8</v>
      </c>
      <c r="E813" t="s">
        <v>9</v>
      </c>
      <c r="F813" t="s">
        <v>13</v>
      </c>
      <c r="G813" t="s">
        <v>18</v>
      </c>
      <c r="H813">
        <v>0.26</v>
      </c>
      <c r="I813" s="3">
        <v>0.2576</v>
      </c>
      <c r="J813">
        <v>0.6</v>
      </c>
      <c r="K813">
        <v>0.22389999999999999</v>
      </c>
      <c r="L813">
        <v>0</v>
      </c>
      <c r="M813">
        <v>1</v>
      </c>
      <c r="N813">
        <v>1</v>
      </c>
    </row>
    <row r="814" spans="1:14" x14ac:dyDescent="0.3">
      <c r="A814">
        <v>813</v>
      </c>
      <c r="B814" s="4">
        <v>40580</v>
      </c>
      <c r="C814" s="5">
        <v>0.29166666666666674</v>
      </c>
      <c r="D814" t="s">
        <v>8</v>
      </c>
      <c r="E814" t="s">
        <v>9</v>
      </c>
      <c r="F814" t="s">
        <v>13</v>
      </c>
      <c r="G814" t="s">
        <v>18</v>
      </c>
      <c r="H814">
        <v>0.24</v>
      </c>
      <c r="I814" s="3">
        <v>0.2424</v>
      </c>
      <c r="J814">
        <v>0.65</v>
      </c>
      <c r="K814">
        <v>0.16420000000000001</v>
      </c>
      <c r="L814">
        <v>0</v>
      </c>
      <c r="M814">
        <v>8</v>
      </c>
      <c r="N814">
        <v>8</v>
      </c>
    </row>
    <row r="815" spans="1:14" x14ac:dyDescent="0.3">
      <c r="A815">
        <v>814</v>
      </c>
      <c r="B815" s="4">
        <v>40580</v>
      </c>
      <c r="C815" s="5">
        <v>0.33333333333333326</v>
      </c>
      <c r="D815" t="s">
        <v>8</v>
      </c>
      <c r="E815" t="s">
        <v>9</v>
      </c>
      <c r="F815" t="s">
        <v>13</v>
      </c>
      <c r="G815" t="s">
        <v>18</v>
      </c>
      <c r="H815">
        <v>0.24</v>
      </c>
      <c r="I815" s="3">
        <v>0.2576</v>
      </c>
      <c r="J815">
        <v>0.65</v>
      </c>
      <c r="K815">
        <v>0.1045</v>
      </c>
      <c r="L815">
        <v>2</v>
      </c>
      <c r="M815">
        <v>21</v>
      </c>
      <c r="N815">
        <v>23</v>
      </c>
    </row>
    <row r="816" spans="1:14" x14ac:dyDescent="0.3">
      <c r="A816">
        <v>815</v>
      </c>
      <c r="B816" s="4">
        <v>40580</v>
      </c>
      <c r="C816" s="5">
        <v>0.375</v>
      </c>
      <c r="D816" t="s">
        <v>8</v>
      </c>
      <c r="E816" t="s">
        <v>9</v>
      </c>
      <c r="F816" t="s">
        <v>13</v>
      </c>
      <c r="G816" t="s">
        <v>18</v>
      </c>
      <c r="H816">
        <v>0.28000000000000003</v>
      </c>
      <c r="I816" s="3">
        <v>0.28789999999999999</v>
      </c>
      <c r="J816">
        <v>0.56000000000000005</v>
      </c>
      <c r="K816">
        <v>0.1045</v>
      </c>
      <c r="L816">
        <v>7</v>
      </c>
      <c r="M816">
        <v>38</v>
      </c>
      <c r="N816">
        <v>45</v>
      </c>
    </row>
    <row r="817" spans="1:14" x14ac:dyDescent="0.3">
      <c r="A817">
        <v>816</v>
      </c>
      <c r="B817" s="4">
        <v>40580</v>
      </c>
      <c r="C817" s="5">
        <v>0.41666666666666674</v>
      </c>
      <c r="D817" t="s">
        <v>8</v>
      </c>
      <c r="E817" t="s">
        <v>9</v>
      </c>
      <c r="F817" t="s">
        <v>13</v>
      </c>
      <c r="G817" t="s">
        <v>18</v>
      </c>
      <c r="H817">
        <v>0.3</v>
      </c>
      <c r="I817" s="3">
        <v>0.28789999999999999</v>
      </c>
      <c r="J817">
        <v>0.52</v>
      </c>
      <c r="K817">
        <v>0.25369999999999998</v>
      </c>
      <c r="L817">
        <v>15</v>
      </c>
      <c r="M817">
        <v>74</v>
      </c>
      <c r="N817">
        <v>89</v>
      </c>
    </row>
    <row r="818" spans="1:14" x14ac:dyDescent="0.3">
      <c r="A818">
        <v>817</v>
      </c>
      <c r="B818" s="4">
        <v>40580</v>
      </c>
      <c r="C818" s="5">
        <v>0.45833333333333326</v>
      </c>
      <c r="D818" t="s">
        <v>8</v>
      </c>
      <c r="E818" t="s">
        <v>9</v>
      </c>
      <c r="F818" t="s">
        <v>13</v>
      </c>
      <c r="G818" t="s">
        <v>18</v>
      </c>
      <c r="H818">
        <v>0.32</v>
      </c>
      <c r="I818" s="3">
        <v>0.30299999999999999</v>
      </c>
      <c r="J818">
        <v>0.49</v>
      </c>
      <c r="K818">
        <v>0.25369999999999998</v>
      </c>
      <c r="L818">
        <v>28</v>
      </c>
      <c r="M818">
        <v>89</v>
      </c>
      <c r="N818">
        <v>117</v>
      </c>
    </row>
    <row r="819" spans="1:14" x14ac:dyDescent="0.3">
      <c r="A819">
        <v>818</v>
      </c>
      <c r="B819" s="4">
        <v>40580</v>
      </c>
      <c r="C819" s="5">
        <v>0.5</v>
      </c>
      <c r="D819" t="s">
        <v>8</v>
      </c>
      <c r="E819" t="s">
        <v>9</v>
      </c>
      <c r="F819" t="s">
        <v>13</v>
      </c>
      <c r="G819" t="s">
        <v>18</v>
      </c>
      <c r="H819">
        <v>0.34</v>
      </c>
      <c r="I819" s="3">
        <v>0.33329999999999999</v>
      </c>
      <c r="J819">
        <v>0.46</v>
      </c>
      <c r="K819">
        <v>0</v>
      </c>
      <c r="L819">
        <v>48</v>
      </c>
      <c r="M819">
        <v>126</v>
      </c>
      <c r="N819">
        <v>174</v>
      </c>
    </row>
    <row r="820" spans="1:14" x14ac:dyDescent="0.3">
      <c r="A820">
        <v>819</v>
      </c>
      <c r="B820" s="4">
        <v>40580</v>
      </c>
      <c r="C820" s="5">
        <v>0.54166666666666674</v>
      </c>
      <c r="D820" t="s">
        <v>8</v>
      </c>
      <c r="E820" t="s">
        <v>9</v>
      </c>
      <c r="F820" t="s">
        <v>13</v>
      </c>
      <c r="G820" t="s">
        <v>18</v>
      </c>
      <c r="H820">
        <v>0.34</v>
      </c>
      <c r="I820" s="3">
        <v>0.36359999999999998</v>
      </c>
      <c r="J820">
        <v>0.46</v>
      </c>
      <c r="K820">
        <v>0</v>
      </c>
      <c r="L820">
        <v>47</v>
      </c>
      <c r="M820">
        <v>135</v>
      </c>
      <c r="N820">
        <v>182</v>
      </c>
    </row>
    <row r="821" spans="1:14" x14ac:dyDescent="0.3">
      <c r="A821">
        <v>820</v>
      </c>
      <c r="B821" s="4">
        <v>40580</v>
      </c>
      <c r="C821" s="5">
        <v>0.58333333333333326</v>
      </c>
      <c r="D821" t="s">
        <v>8</v>
      </c>
      <c r="E821" t="s">
        <v>9</v>
      </c>
      <c r="F821" t="s">
        <v>13</v>
      </c>
      <c r="G821" t="s">
        <v>18</v>
      </c>
      <c r="H821">
        <v>0.34</v>
      </c>
      <c r="I821" s="3">
        <v>0.34849999999999998</v>
      </c>
      <c r="J821">
        <v>0.46</v>
      </c>
      <c r="K821">
        <v>8.9599999999999999E-2</v>
      </c>
      <c r="L821">
        <v>47</v>
      </c>
      <c r="M821">
        <v>114</v>
      </c>
      <c r="N821">
        <v>161</v>
      </c>
    </row>
    <row r="822" spans="1:14" x14ac:dyDescent="0.3">
      <c r="A822">
        <v>821</v>
      </c>
      <c r="B822" s="4">
        <v>40580</v>
      </c>
      <c r="C822" s="5">
        <v>0.625</v>
      </c>
      <c r="D822" t="s">
        <v>8</v>
      </c>
      <c r="E822" t="s">
        <v>9</v>
      </c>
      <c r="F822" t="s">
        <v>13</v>
      </c>
      <c r="G822" t="s">
        <v>18</v>
      </c>
      <c r="H822">
        <v>0.34</v>
      </c>
      <c r="I822" s="3">
        <v>0.34849999999999998</v>
      </c>
      <c r="J822">
        <v>0.46</v>
      </c>
      <c r="K822">
        <v>8.9599999999999999E-2</v>
      </c>
      <c r="L822">
        <v>52</v>
      </c>
      <c r="M822">
        <v>130</v>
      </c>
      <c r="N822">
        <v>182</v>
      </c>
    </row>
    <row r="823" spans="1:14" x14ac:dyDescent="0.3">
      <c r="A823">
        <v>822</v>
      </c>
      <c r="B823" s="4">
        <v>40580</v>
      </c>
      <c r="C823" s="5">
        <v>0.66666666666666674</v>
      </c>
      <c r="D823" t="s">
        <v>8</v>
      </c>
      <c r="E823" t="s">
        <v>9</v>
      </c>
      <c r="F823" t="s">
        <v>13</v>
      </c>
      <c r="G823" t="s">
        <v>18</v>
      </c>
      <c r="H823">
        <v>0.34</v>
      </c>
      <c r="I823" s="3">
        <v>0.34849999999999998</v>
      </c>
      <c r="J823">
        <v>0.49</v>
      </c>
      <c r="K823">
        <v>0.1045</v>
      </c>
      <c r="L823">
        <v>42</v>
      </c>
      <c r="M823">
        <v>115</v>
      </c>
      <c r="N823">
        <v>157</v>
      </c>
    </row>
    <row r="824" spans="1:14" x14ac:dyDescent="0.3">
      <c r="A824">
        <v>823</v>
      </c>
      <c r="B824" s="4">
        <v>40580</v>
      </c>
      <c r="C824" s="5">
        <v>0.70833333333333326</v>
      </c>
      <c r="D824" t="s">
        <v>8</v>
      </c>
      <c r="E824" t="s">
        <v>9</v>
      </c>
      <c r="F824" t="s">
        <v>13</v>
      </c>
      <c r="G824" t="s">
        <v>18</v>
      </c>
      <c r="H824">
        <v>0.34</v>
      </c>
      <c r="I824" s="3">
        <v>0.36359999999999998</v>
      </c>
      <c r="J824">
        <v>0.46</v>
      </c>
      <c r="K824">
        <v>0</v>
      </c>
      <c r="L824">
        <v>24</v>
      </c>
      <c r="M824">
        <v>97</v>
      </c>
      <c r="N824">
        <v>121</v>
      </c>
    </row>
    <row r="825" spans="1:14" x14ac:dyDescent="0.3">
      <c r="A825">
        <v>824</v>
      </c>
      <c r="B825" s="4">
        <v>40580</v>
      </c>
      <c r="C825" s="5">
        <v>0.75</v>
      </c>
      <c r="D825" t="s">
        <v>8</v>
      </c>
      <c r="E825" t="s">
        <v>9</v>
      </c>
      <c r="F825" t="s">
        <v>13</v>
      </c>
      <c r="G825" t="s">
        <v>18</v>
      </c>
      <c r="H825">
        <v>0.3</v>
      </c>
      <c r="I825" s="3">
        <v>0.30299999999999999</v>
      </c>
      <c r="J825">
        <v>0.56000000000000005</v>
      </c>
      <c r="K825">
        <v>0.16420000000000001</v>
      </c>
      <c r="L825">
        <v>13</v>
      </c>
      <c r="M825">
        <v>65</v>
      </c>
      <c r="N825">
        <v>78</v>
      </c>
    </row>
    <row r="826" spans="1:14" x14ac:dyDescent="0.3">
      <c r="A826">
        <v>825</v>
      </c>
      <c r="B826" s="4">
        <v>40580</v>
      </c>
      <c r="C826" s="5">
        <v>0.79166666666666674</v>
      </c>
      <c r="D826" t="s">
        <v>8</v>
      </c>
      <c r="E826" t="s">
        <v>9</v>
      </c>
      <c r="F826" t="s">
        <v>13</v>
      </c>
      <c r="G826" t="s">
        <v>18</v>
      </c>
      <c r="H826">
        <v>0.28000000000000003</v>
      </c>
      <c r="I826" s="3">
        <v>0.28789999999999999</v>
      </c>
      <c r="J826">
        <v>0.61</v>
      </c>
      <c r="K826">
        <v>0.1343</v>
      </c>
      <c r="L826">
        <v>1</v>
      </c>
      <c r="M826">
        <v>20</v>
      </c>
      <c r="N826">
        <v>21</v>
      </c>
    </row>
    <row r="827" spans="1:14" x14ac:dyDescent="0.3">
      <c r="A827">
        <v>826</v>
      </c>
      <c r="B827" s="4">
        <v>40580</v>
      </c>
      <c r="C827" s="5">
        <v>0.83333333333333326</v>
      </c>
      <c r="D827" t="s">
        <v>8</v>
      </c>
      <c r="E827" t="s">
        <v>9</v>
      </c>
      <c r="F827" t="s">
        <v>13</v>
      </c>
      <c r="G827" t="s">
        <v>18</v>
      </c>
      <c r="H827">
        <v>0.28000000000000003</v>
      </c>
      <c r="I827" s="3">
        <v>0.28789999999999999</v>
      </c>
      <c r="J827">
        <v>0.61</v>
      </c>
      <c r="K827">
        <v>0.1045</v>
      </c>
      <c r="L827">
        <v>5</v>
      </c>
      <c r="M827">
        <v>21</v>
      </c>
      <c r="N827">
        <v>26</v>
      </c>
    </row>
    <row r="828" spans="1:14" x14ac:dyDescent="0.3">
      <c r="A828">
        <v>827</v>
      </c>
      <c r="B828" s="4">
        <v>40580</v>
      </c>
      <c r="C828" s="5">
        <v>0.875</v>
      </c>
      <c r="D828" t="s">
        <v>8</v>
      </c>
      <c r="E828" t="s">
        <v>9</v>
      </c>
      <c r="F828" t="s">
        <v>13</v>
      </c>
      <c r="G828" t="s">
        <v>18</v>
      </c>
      <c r="H828">
        <v>0.26</v>
      </c>
      <c r="I828" s="3">
        <v>0.30299999999999999</v>
      </c>
      <c r="J828">
        <v>0.6</v>
      </c>
      <c r="K828">
        <v>0</v>
      </c>
      <c r="L828">
        <v>5</v>
      </c>
      <c r="M828">
        <v>22</v>
      </c>
      <c r="N828">
        <v>27</v>
      </c>
    </row>
    <row r="829" spans="1:14" x14ac:dyDescent="0.3">
      <c r="A829">
        <v>828</v>
      </c>
      <c r="B829" s="4">
        <v>40580</v>
      </c>
      <c r="C829" s="5">
        <v>0.91666666666666674</v>
      </c>
      <c r="D829" t="s">
        <v>8</v>
      </c>
      <c r="E829" t="s">
        <v>9</v>
      </c>
      <c r="F829" t="s">
        <v>13</v>
      </c>
      <c r="G829" t="s">
        <v>18</v>
      </c>
      <c r="H829">
        <v>0.26</v>
      </c>
      <c r="I829" s="3">
        <v>0.30299999999999999</v>
      </c>
      <c r="J829">
        <v>0.6</v>
      </c>
      <c r="K829">
        <v>0</v>
      </c>
      <c r="L829">
        <v>5</v>
      </c>
      <c r="M829">
        <v>57</v>
      </c>
      <c r="N829">
        <v>62</v>
      </c>
    </row>
    <row r="830" spans="1:14" x14ac:dyDescent="0.3">
      <c r="A830">
        <v>829</v>
      </c>
      <c r="B830" s="4">
        <v>40580</v>
      </c>
      <c r="C830" s="5">
        <v>0.95833333333333326</v>
      </c>
      <c r="D830" t="s">
        <v>8</v>
      </c>
      <c r="E830" t="s">
        <v>9</v>
      </c>
      <c r="F830" t="s">
        <v>13</v>
      </c>
      <c r="G830" t="s">
        <v>18</v>
      </c>
      <c r="H830">
        <v>0.24</v>
      </c>
      <c r="I830" s="3">
        <v>0.28789999999999999</v>
      </c>
      <c r="J830">
        <v>0.65</v>
      </c>
      <c r="K830">
        <v>0</v>
      </c>
      <c r="L830">
        <v>4</v>
      </c>
      <c r="M830">
        <v>26</v>
      </c>
      <c r="N830">
        <v>30</v>
      </c>
    </row>
    <row r="831" spans="1:14" x14ac:dyDescent="0.3">
      <c r="A831">
        <v>830</v>
      </c>
      <c r="B831" s="4">
        <v>40581</v>
      </c>
      <c r="C831" s="5">
        <v>0</v>
      </c>
      <c r="D831" t="s">
        <v>8</v>
      </c>
      <c r="E831" t="s">
        <v>9</v>
      </c>
      <c r="F831" t="s">
        <v>14</v>
      </c>
      <c r="G831" t="s">
        <v>18</v>
      </c>
      <c r="H831">
        <v>0.24</v>
      </c>
      <c r="I831" s="3">
        <v>0.28789999999999999</v>
      </c>
      <c r="J831">
        <v>0.65</v>
      </c>
      <c r="K831">
        <v>0</v>
      </c>
      <c r="L831">
        <v>1</v>
      </c>
      <c r="M831">
        <v>14</v>
      </c>
      <c r="N831">
        <v>15</v>
      </c>
    </row>
    <row r="832" spans="1:14" x14ac:dyDescent="0.3">
      <c r="A832">
        <v>831</v>
      </c>
      <c r="B832" s="4">
        <v>40581</v>
      </c>
      <c r="C832" s="5">
        <v>4.1666666666666741E-2</v>
      </c>
      <c r="D832" t="s">
        <v>8</v>
      </c>
      <c r="E832" t="s">
        <v>9</v>
      </c>
      <c r="F832" t="s">
        <v>14</v>
      </c>
      <c r="G832" t="s">
        <v>18</v>
      </c>
      <c r="H832">
        <v>0.22</v>
      </c>
      <c r="I832" s="3">
        <v>0.2727</v>
      </c>
      <c r="J832">
        <v>0.75</v>
      </c>
      <c r="K832">
        <v>0</v>
      </c>
      <c r="L832">
        <v>1</v>
      </c>
      <c r="M832">
        <v>4</v>
      </c>
      <c r="N832">
        <v>5</v>
      </c>
    </row>
    <row r="833" spans="1:14" x14ac:dyDescent="0.3">
      <c r="A833">
        <v>832</v>
      </c>
      <c r="B833" s="4">
        <v>40581</v>
      </c>
      <c r="C833" s="5">
        <v>8.3333333333333259E-2</v>
      </c>
      <c r="D833" t="s">
        <v>8</v>
      </c>
      <c r="E833" t="s">
        <v>9</v>
      </c>
      <c r="F833" t="s">
        <v>14</v>
      </c>
      <c r="G833" t="s">
        <v>18</v>
      </c>
      <c r="H833">
        <v>0.2</v>
      </c>
      <c r="I833" s="3">
        <v>0.2576</v>
      </c>
      <c r="J833">
        <v>0.8</v>
      </c>
      <c r="K833">
        <v>0</v>
      </c>
      <c r="L833">
        <v>0</v>
      </c>
      <c r="M833">
        <v>3</v>
      </c>
      <c r="N833">
        <v>3</v>
      </c>
    </row>
    <row r="834" spans="1:14" x14ac:dyDescent="0.3">
      <c r="A834">
        <v>833</v>
      </c>
      <c r="B834" s="4">
        <v>40581</v>
      </c>
      <c r="C834" s="5">
        <v>0.125</v>
      </c>
      <c r="D834" t="s">
        <v>8</v>
      </c>
      <c r="E834" t="s">
        <v>9</v>
      </c>
      <c r="F834" t="s">
        <v>14</v>
      </c>
      <c r="G834" t="s">
        <v>18</v>
      </c>
      <c r="H834">
        <v>0.2</v>
      </c>
      <c r="I834" s="3">
        <v>0.2576</v>
      </c>
      <c r="J834">
        <v>0.86</v>
      </c>
      <c r="K834">
        <v>0</v>
      </c>
      <c r="L834">
        <v>0</v>
      </c>
      <c r="M834">
        <v>1</v>
      </c>
      <c r="N834">
        <v>1</v>
      </c>
    </row>
    <row r="835" spans="1:14" x14ac:dyDescent="0.3">
      <c r="A835">
        <v>834</v>
      </c>
      <c r="B835" s="4">
        <v>40581</v>
      </c>
      <c r="C835" s="5">
        <v>0.16666666666666674</v>
      </c>
      <c r="D835" t="s">
        <v>8</v>
      </c>
      <c r="E835" t="s">
        <v>9</v>
      </c>
      <c r="F835" t="s">
        <v>14</v>
      </c>
      <c r="G835" t="s">
        <v>18</v>
      </c>
      <c r="H835">
        <v>0.2</v>
      </c>
      <c r="I835" s="3">
        <v>0.2576</v>
      </c>
      <c r="J835">
        <v>0.86</v>
      </c>
      <c r="K835">
        <v>0</v>
      </c>
      <c r="L835">
        <v>1</v>
      </c>
      <c r="M835">
        <v>1</v>
      </c>
      <c r="N835">
        <v>2</v>
      </c>
    </row>
    <row r="836" spans="1:14" x14ac:dyDescent="0.3">
      <c r="A836">
        <v>835</v>
      </c>
      <c r="B836" s="4">
        <v>40581</v>
      </c>
      <c r="C836" s="5">
        <v>0.20833333333333326</v>
      </c>
      <c r="D836" t="s">
        <v>8</v>
      </c>
      <c r="E836" t="s">
        <v>9</v>
      </c>
      <c r="F836" t="s">
        <v>14</v>
      </c>
      <c r="G836" t="s">
        <v>18</v>
      </c>
      <c r="H836">
        <v>0.2</v>
      </c>
      <c r="I836" s="3">
        <v>0.2576</v>
      </c>
      <c r="J836">
        <v>0.86</v>
      </c>
      <c r="K836">
        <v>0</v>
      </c>
      <c r="L836">
        <v>1</v>
      </c>
      <c r="M836">
        <v>9</v>
      </c>
      <c r="N836">
        <v>10</v>
      </c>
    </row>
    <row r="837" spans="1:14" x14ac:dyDescent="0.3">
      <c r="A837">
        <v>836</v>
      </c>
      <c r="B837" s="4">
        <v>40581</v>
      </c>
      <c r="C837" s="5">
        <v>0.25</v>
      </c>
      <c r="D837" t="s">
        <v>8</v>
      </c>
      <c r="E837" t="s">
        <v>9</v>
      </c>
      <c r="F837" t="s">
        <v>14</v>
      </c>
      <c r="G837" t="s">
        <v>18</v>
      </c>
      <c r="H837">
        <v>0.18</v>
      </c>
      <c r="I837" s="3">
        <v>0.2424</v>
      </c>
      <c r="J837">
        <v>0.93</v>
      </c>
      <c r="K837">
        <v>0</v>
      </c>
      <c r="L837">
        <v>1</v>
      </c>
      <c r="M837">
        <v>29</v>
      </c>
      <c r="N837">
        <v>30</v>
      </c>
    </row>
    <row r="838" spans="1:14" x14ac:dyDescent="0.3">
      <c r="A838">
        <v>837</v>
      </c>
      <c r="B838" s="4">
        <v>40581</v>
      </c>
      <c r="C838" s="5">
        <v>0.29166666666666674</v>
      </c>
      <c r="D838" t="s">
        <v>8</v>
      </c>
      <c r="E838" t="s">
        <v>9</v>
      </c>
      <c r="F838" t="s">
        <v>14</v>
      </c>
      <c r="G838" t="s">
        <v>18</v>
      </c>
      <c r="H838">
        <v>0.18</v>
      </c>
      <c r="I838" s="3">
        <v>0.2424</v>
      </c>
      <c r="J838">
        <v>0.86</v>
      </c>
      <c r="K838">
        <v>0</v>
      </c>
      <c r="L838">
        <v>6</v>
      </c>
      <c r="M838">
        <v>89</v>
      </c>
      <c r="N838">
        <v>95</v>
      </c>
    </row>
    <row r="839" spans="1:14" x14ac:dyDescent="0.3">
      <c r="A839">
        <v>838</v>
      </c>
      <c r="B839" s="4">
        <v>40581</v>
      </c>
      <c r="C839" s="5">
        <v>0.33333333333333326</v>
      </c>
      <c r="D839" t="s">
        <v>8</v>
      </c>
      <c r="E839" t="s">
        <v>9</v>
      </c>
      <c r="F839" t="s">
        <v>14</v>
      </c>
      <c r="G839" t="s">
        <v>19</v>
      </c>
      <c r="H839">
        <v>0.16</v>
      </c>
      <c r="I839" s="3">
        <v>0.2273</v>
      </c>
      <c r="J839">
        <v>1</v>
      </c>
      <c r="K839">
        <v>0</v>
      </c>
      <c r="L839">
        <v>7</v>
      </c>
      <c r="M839">
        <v>223</v>
      </c>
      <c r="N839">
        <v>230</v>
      </c>
    </row>
    <row r="840" spans="1:14" x14ac:dyDescent="0.3">
      <c r="A840">
        <v>839</v>
      </c>
      <c r="B840" s="4">
        <v>40581</v>
      </c>
      <c r="C840" s="5">
        <v>0.375</v>
      </c>
      <c r="D840" t="s">
        <v>8</v>
      </c>
      <c r="E840" t="s">
        <v>9</v>
      </c>
      <c r="F840" t="s">
        <v>14</v>
      </c>
      <c r="G840" t="s">
        <v>18</v>
      </c>
      <c r="H840">
        <v>0.22</v>
      </c>
      <c r="I840" s="3">
        <v>0.2727</v>
      </c>
      <c r="J840">
        <v>0.8</v>
      </c>
      <c r="K840">
        <v>0</v>
      </c>
      <c r="L840">
        <v>3</v>
      </c>
      <c r="M840">
        <v>115</v>
      </c>
      <c r="N840">
        <v>118</v>
      </c>
    </row>
    <row r="841" spans="1:14" x14ac:dyDescent="0.3">
      <c r="A841">
        <v>840</v>
      </c>
      <c r="B841" s="4">
        <v>40581</v>
      </c>
      <c r="C841" s="5">
        <v>0.41666666666666674</v>
      </c>
      <c r="D841" t="s">
        <v>8</v>
      </c>
      <c r="E841" t="s">
        <v>9</v>
      </c>
      <c r="F841" t="s">
        <v>14</v>
      </c>
      <c r="G841" t="s">
        <v>18</v>
      </c>
      <c r="H841">
        <v>0.24</v>
      </c>
      <c r="I841" s="3">
        <v>0.2576</v>
      </c>
      <c r="J841">
        <v>0.75</v>
      </c>
      <c r="K841">
        <v>0.1045</v>
      </c>
      <c r="L841">
        <v>6</v>
      </c>
      <c r="M841">
        <v>49</v>
      </c>
      <c r="N841">
        <v>55</v>
      </c>
    </row>
    <row r="842" spans="1:14" x14ac:dyDescent="0.3">
      <c r="A842">
        <v>841</v>
      </c>
      <c r="B842" s="4">
        <v>40581</v>
      </c>
      <c r="C842" s="5">
        <v>0.45833333333333326</v>
      </c>
      <c r="D842" t="s">
        <v>8</v>
      </c>
      <c r="E842" t="s">
        <v>9</v>
      </c>
      <c r="F842" t="s">
        <v>14</v>
      </c>
      <c r="G842" t="s">
        <v>18</v>
      </c>
      <c r="H842">
        <v>0.3</v>
      </c>
      <c r="I842" s="3">
        <v>0.31819999999999998</v>
      </c>
      <c r="J842">
        <v>0.65</v>
      </c>
      <c r="K842">
        <v>8.9599999999999999E-2</v>
      </c>
      <c r="L842">
        <v>11</v>
      </c>
      <c r="M842">
        <v>36</v>
      </c>
      <c r="N842">
        <v>47</v>
      </c>
    </row>
    <row r="843" spans="1:14" x14ac:dyDescent="0.3">
      <c r="A843">
        <v>842</v>
      </c>
      <c r="B843" s="4">
        <v>40581</v>
      </c>
      <c r="C843" s="5">
        <v>0.5</v>
      </c>
      <c r="D843" t="s">
        <v>8</v>
      </c>
      <c r="E843" t="s">
        <v>9</v>
      </c>
      <c r="F843" t="s">
        <v>14</v>
      </c>
      <c r="G843" t="s">
        <v>19</v>
      </c>
      <c r="H843">
        <v>0.32</v>
      </c>
      <c r="I843" s="3">
        <v>0.34849999999999998</v>
      </c>
      <c r="J843">
        <v>0.62</v>
      </c>
      <c r="K843">
        <v>0</v>
      </c>
      <c r="L843">
        <v>7</v>
      </c>
      <c r="M843">
        <v>59</v>
      </c>
      <c r="N843">
        <v>66</v>
      </c>
    </row>
    <row r="844" spans="1:14" x14ac:dyDescent="0.3">
      <c r="A844">
        <v>843</v>
      </c>
      <c r="B844" s="4">
        <v>40581</v>
      </c>
      <c r="C844" s="5">
        <v>0.54166666666666674</v>
      </c>
      <c r="D844" t="s">
        <v>8</v>
      </c>
      <c r="E844" t="s">
        <v>9</v>
      </c>
      <c r="F844" t="s">
        <v>14</v>
      </c>
      <c r="G844" t="s">
        <v>19</v>
      </c>
      <c r="H844">
        <v>0.36</v>
      </c>
      <c r="I844" s="3">
        <v>0.36359999999999998</v>
      </c>
      <c r="J844">
        <v>0.56999999999999995</v>
      </c>
      <c r="K844">
        <v>8.9599999999999999E-2</v>
      </c>
      <c r="L844">
        <v>10</v>
      </c>
      <c r="M844">
        <v>54</v>
      </c>
      <c r="N844">
        <v>64</v>
      </c>
    </row>
    <row r="845" spans="1:14" x14ac:dyDescent="0.3">
      <c r="A845">
        <v>844</v>
      </c>
      <c r="B845" s="4">
        <v>40581</v>
      </c>
      <c r="C845" s="5">
        <v>0.58333333333333326</v>
      </c>
      <c r="D845" t="s">
        <v>8</v>
      </c>
      <c r="E845" t="s">
        <v>9</v>
      </c>
      <c r="F845" t="s">
        <v>14</v>
      </c>
      <c r="G845" t="s">
        <v>19</v>
      </c>
      <c r="H845">
        <v>0.36</v>
      </c>
      <c r="I845" s="3">
        <v>0.36359999999999998</v>
      </c>
      <c r="J845">
        <v>0.56999999999999995</v>
      </c>
      <c r="K845">
        <v>8.9599999999999999E-2</v>
      </c>
      <c r="L845">
        <v>8</v>
      </c>
      <c r="M845">
        <v>52</v>
      </c>
      <c r="N845">
        <v>60</v>
      </c>
    </row>
    <row r="846" spans="1:14" x14ac:dyDescent="0.3">
      <c r="A846">
        <v>845</v>
      </c>
      <c r="B846" s="4">
        <v>40581</v>
      </c>
      <c r="C846" s="5">
        <v>0.625</v>
      </c>
      <c r="D846" t="s">
        <v>8</v>
      </c>
      <c r="E846" t="s">
        <v>9</v>
      </c>
      <c r="F846" t="s">
        <v>14</v>
      </c>
      <c r="G846" t="s">
        <v>19</v>
      </c>
      <c r="H846">
        <v>0.38</v>
      </c>
      <c r="I846" s="3">
        <v>0.39389999999999997</v>
      </c>
      <c r="J846">
        <v>0.54</v>
      </c>
      <c r="K846">
        <v>8.9599999999999999E-2</v>
      </c>
      <c r="L846">
        <v>4</v>
      </c>
      <c r="M846">
        <v>46</v>
      </c>
      <c r="N846">
        <v>50</v>
      </c>
    </row>
    <row r="847" spans="1:14" x14ac:dyDescent="0.3">
      <c r="A847">
        <v>846</v>
      </c>
      <c r="B847" s="4">
        <v>40581</v>
      </c>
      <c r="C847" s="5">
        <v>0.66666666666666674</v>
      </c>
      <c r="D847" t="s">
        <v>8</v>
      </c>
      <c r="E847" t="s">
        <v>9</v>
      </c>
      <c r="F847" t="s">
        <v>14</v>
      </c>
      <c r="G847" t="s">
        <v>19</v>
      </c>
      <c r="H847">
        <v>0.36</v>
      </c>
      <c r="I847" s="3">
        <v>0.34849999999999998</v>
      </c>
      <c r="J847">
        <v>0.56999999999999995</v>
      </c>
      <c r="K847">
        <v>0.1343</v>
      </c>
      <c r="L847">
        <v>16</v>
      </c>
      <c r="M847">
        <v>98</v>
      </c>
      <c r="N847">
        <v>114</v>
      </c>
    </row>
    <row r="848" spans="1:14" x14ac:dyDescent="0.3">
      <c r="A848">
        <v>847</v>
      </c>
      <c r="B848" s="4">
        <v>40581</v>
      </c>
      <c r="C848" s="5">
        <v>0.70833333333333326</v>
      </c>
      <c r="D848" t="s">
        <v>8</v>
      </c>
      <c r="E848" t="s">
        <v>9</v>
      </c>
      <c r="F848" t="s">
        <v>14</v>
      </c>
      <c r="G848" t="s">
        <v>19</v>
      </c>
      <c r="H848">
        <v>0.32</v>
      </c>
      <c r="I848" s="3">
        <v>0.31819999999999998</v>
      </c>
      <c r="J848">
        <v>0.7</v>
      </c>
      <c r="K848">
        <v>0.16420000000000001</v>
      </c>
      <c r="L848">
        <v>9</v>
      </c>
      <c r="M848">
        <v>207</v>
      </c>
      <c r="N848">
        <v>216</v>
      </c>
    </row>
    <row r="849" spans="1:14" x14ac:dyDescent="0.3">
      <c r="A849">
        <v>848</v>
      </c>
      <c r="B849" s="4">
        <v>40581</v>
      </c>
      <c r="C849" s="5">
        <v>0.75</v>
      </c>
      <c r="D849" t="s">
        <v>8</v>
      </c>
      <c r="E849" t="s">
        <v>9</v>
      </c>
      <c r="F849" t="s">
        <v>14</v>
      </c>
      <c r="G849" t="s">
        <v>19</v>
      </c>
      <c r="H849">
        <v>0.34</v>
      </c>
      <c r="I849" s="3">
        <v>0.33329999999999999</v>
      </c>
      <c r="J849">
        <v>0.66</v>
      </c>
      <c r="K849">
        <v>0.1343</v>
      </c>
      <c r="L849">
        <v>5</v>
      </c>
      <c r="M849">
        <v>170</v>
      </c>
      <c r="N849">
        <v>175</v>
      </c>
    </row>
    <row r="850" spans="1:14" x14ac:dyDescent="0.3">
      <c r="A850">
        <v>849</v>
      </c>
      <c r="B850" s="4">
        <v>40581</v>
      </c>
      <c r="C850" s="5">
        <v>0.79166666666666674</v>
      </c>
      <c r="D850" t="s">
        <v>8</v>
      </c>
      <c r="E850" t="s">
        <v>9</v>
      </c>
      <c r="F850" t="s">
        <v>14</v>
      </c>
      <c r="G850" t="s">
        <v>19</v>
      </c>
      <c r="H850">
        <v>0.32</v>
      </c>
      <c r="I850" s="3">
        <v>0.34849999999999998</v>
      </c>
      <c r="J850">
        <v>0.7</v>
      </c>
      <c r="K850">
        <v>0</v>
      </c>
      <c r="L850">
        <v>5</v>
      </c>
      <c r="M850">
        <v>123</v>
      </c>
      <c r="N850">
        <v>128</v>
      </c>
    </row>
    <row r="851" spans="1:14" x14ac:dyDescent="0.3">
      <c r="A851">
        <v>850</v>
      </c>
      <c r="B851" s="4">
        <v>40581</v>
      </c>
      <c r="C851" s="5">
        <v>0.83333333333333326</v>
      </c>
      <c r="D851" t="s">
        <v>8</v>
      </c>
      <c r="E851" t="s">
        <v>9</v>
      </c>
      <c r="F851" t="s">
        <v>14</v>
      </c>
      <c r="G851" t="s">
        <v>19</v>
      </c>
      <c r="H851">
        <v>0.32</v>
      </c>
      <c r="I851" s="3">
        <v>0.33329999999999999</v>
      </c>
      <c r="J851">
        <v>0.7</v>
      </c>
      <c r="K851">
        <v>0.1045</v>
      </c>
      <c r="L851">
        <v>6</v>
      </c>
      <c r="M851">
        <v>82</v>
      </c>
      <c r="N851">
        <v>88</v>
      </c>
    </row>
    <row r="852" spans="1:14" x14ac:dyDescent="0.3">
      <c r="A852">
        <v>851</v>
      </c>
      <c r="B852" s="4">
        <v>40581</v>
      </c>
      <c r="C852" s="5">
        <v>0.875</v>
      </c>
      <c r="D852" t="s">
        <v>8</v>
      </c>
      <c r="E852" t="s">
        <v>9</v>
      </c>
      <c r="F852" t="s">
        <v>14</v>
      </c>
      <c r="G852" t="s">
        <v>18</v>
      </c>
      <c r="H852">
        <v>0.32</v>
      </c>
      <c r="I852" s="3">
        <v>0.34849999999999998</v>
      </c>
      <c r="J852">
        <v>0.7</v>
      </c>
      <c r="K852">
        <v>0</v>
      </c>
      <c r="L852">
        <v>3</v>
      </c>
      <c r="M852">
        <v>75</v>
      </c>
      <c r="N852">
        <v>78</v>
      </c>
    </row>
    <row r="853" spans="1:14" x14ac:dyDescent="0.3">
      <c r="A853">
        <v>852</v>
      </c>
      <c r="B853" s="4">
        <v>40581</v>
      </c>
      <c r="C853" s="5">
        <v>0.91666666666666674</v>
      </c>
      <c r="D853" t="s">
        <v>8</v>
      </c>
      <c r="E853" t="s">
        <v>9</v>
      </c>
      <c r="F853" t="s">
        <v>14</v>
      </c>
      <c r="G853" t="s">
        <v>18</v>
      </c>
      <c r="H853">
        <v>0.28000000000000003</v>
      </c>
      <c r="I853" s="3">
        <v>0.30299999999999999</v>
      </c>
      <c r="J853">
        <v>0.81</v>
      </c>
      <c r="K853">
        <v>8.9599999999999999E-2</v>
      </c>
      <c r="L853">
        <v>3</v>
      </c>
      <c r="M853">
        <v>34</v>
      </c>
      <c r="N853">
        <v>37</v>
      </c>
    </row>
    <row r="854" spans="1:14" x14ac:dyDescent="0.3">
      <c r="A854">
        <v>853</v>
      </c>
      <c r="B854" s="4">
        <v>40581</v>
      </c>
      <c r="C854" s="5">
        <v>0.95833333333333326</v>
      </c>
      <c r="D854" t="s">
        <v>8</v>
      </c>
      <c r="E854" t="s">
        <v>9</v>
      </c>
      <c r="F854" t="s">
        <v>14</v>
      </c>
      <c r="G854" t="s">
        <v>19</v>
      </c>
      <c r="H854">
        <v>0.3</v>
      </c>
      <c r="I854" s="3">
        <v>0.33329999999999999</v>
      </c>
      <c r="J854">
        <v>0.81</v>
      </c>
      <c r="K854">
        <v>0</v>
      </c>
      <c r="L854">
        <v>6</v>
      </c>
      <c r="M854">
        <v>19</v>
      </c>
      <c r="N854">
        <v>25</v>
      </c>
    </row>
    <row r="855" spans="1:14" x14ac:dyDescent="0.3">
      <c r="A855">
        <v>854</v>
      </c>
      <c r="B855" s="4">
        <v>40582</v>
      </c>
      <c r="C855" s="5">
        <v>0</v>
      </c>
      <c r="D855" t="s">
        <v>8</v>
      </c>
      <c r="E855" t="s">
        <v>9</v>
      </c>
      <c r="F855" t="s">
        <v>15</v>
      </c>
      <c r="G855" t="s">
        <v>19</v>
      </c>
      <c r="H855">
        <v>0.28000000000000003</v>
      </c>
      <c r="I855" s="3">
        <v>0.31819999999999998</v>
      </c>
      <c r="J855">
        <v>0.87</v>
      </c>
      <c r="K855">
        <v>0</v>
      </c>
      <c r="L855">
        <v>4</v>
      </c>
      <c r="M855">
        <v>6</v>
      </c>
      <c r="N855">
        <v>10</v>
      </c>
    </row>
    <row r="856" spans="1:14" x14ac:dyDescent="0.3">
      <c r="A856">
        <v>855</v>
      </c>
      <c r="B856" s="4">
        <v>40582</v>
      </c>
      <c r="C856" s="5">
        <v>4.1666666666666741E-2</v>
      </c>
      <c r="D856" t="s">
        <v>8</v>
      </c>
      <c r="E856" t="s">
        <v>9</v>
      </c>
      <c r="F856" t="s">
        <v>15</v>
      </c>
      <c r="G856" t="s">
        <v>19</v>
      </c>
      <c r="H856">
        <v>0.28000000000000003</v>
      </c>
      <c r="I856" s="3">
        <v>0.31819999999999998</v>
      </c>
      <c r="J856">
        <v>0.87</v>
      </c>
      <c r="K856">
        <v>0</v>
      </c>
      <c r="L856">
        <v>0</v>
      </c>
      <c r="M856">
        <v>4</v>
      </c>
      <c r="N856">
        <v>4</v>
      </c>
    </row>
    <row r="857" spans="1:14" x14ac:dyDescent="0.3">
      <c r="A857">
        <v>856</v>
      </c>
      <c r="B857" s="4">
        <v>40582</v>
      </c>
      <c r="C857" s="5">
        <v>8.3333333333333259E-2</v>
      </c>
      <c r="D857" t="s">
        <v>8</v>
      </c>
      <c r="E857" t="s">
        <v>9</v>
      </c>
      <c r="F857" t="s">
        <v>15</v>
      </c>
      <c r="G857" t="s">
        <v>19</v>
      </c>
      <c r="H857">
        <v>0.26</v>
      </c>
      <c r="I857" s="3">
        <v>0.2727</v>
      </c>
      <c r="J857">
        <v>0.93</v>
      </c>
      <c r="K857">
        <v>0.1045</v>
      </c>
      <c r="L857">
        <v>1</v>
      </c>
      <c r="M857">
        <v>1</v>
      </c>
      <c r="N857">
        <v>2</v>
      </c>
    </row>
    <row r="858" spans="1:14" x14ac:dyDescent="0.3">
      <c r="A858">
        <v>857</v>
      </c>
      <c r="B858" s="4">
        <v>40582</v>
      </c>
      <c r="C858" s="5">
        <v>0.125</v>
      </c>
      <c r="D858" t="s">
        <v>8</v>
      </c>
      <c r="E858" t="s">
        <v>9</v>
      </c>
      <c r="F858" t="s">
        <v>15</v>
      </c>
      <c r="G858" t="s">
        <v>20</v>
      </c>
      <c r="H858">
        <v>0.28000000000000003</v>
      </c>
      <c r="I858" s="3">
        <v>0.2727</v>
      </c>
      <c r="J858">
        <v>0.93</v>
      </c>
      <c r="K858">
        <v>0.16420000000000001</v>
      </c>
      <c r="L858">
        <v>0</v>
      </c>
      <c r="M858">
        <v>1</v>
      </c>
      <c r="N858">
        <v>1</v>
      </c>
    </row>
    <row r="859" spans="1:14" x14ac:dyDescent="0.3">
      <c r="A859">
        <v>858</v>
      </c>
      <c r="B859" s="4">
        <v>40582</v>
      </c>
      <c r="C859" s="5">
        <v>0.16666666666666674</v>
      </c>
      <c r="D859" t="s">
        <v>8</v>
      </c>
      <c r="E859" t="s">
        <v>9</v>
      </c>
      <c r="F859" t="s">
        <v>15</v>
      </c>
      <c r="G859" t="s">
        <v>18</v>
      </c>
      <c r="H859">
        <v>0.26</v>
      </c>
      <c r="I859" s="3">
        <v>0.2576</v>
      </c>
      <c r="J859">
        <v>0.93</v>
      </c>
      <c r="K859">
        <v>0.16420000000000001</v>
      </c>
      <c r="L859">
        <v>0</v>
      </c>
      <c r="M859">
        <v>3</v>
      </c>
      <c r="N859">
        <v>3</v>
      </c>
    </row>
    <row r="860" spans="1:14" x14ac:dyDescent="0.3">
      <c r="A860">
        <v>859</v>
      </c>
      <c r="B860" s="4">
        <v>40582</v>
      </c>
      <c r="C860" s="5">
        <v>0.20833333333333326</v>
      </c>
      <c r="D860" t="s">
        <v>8</v>
      </c>
      <c r="E860" t="s">
        <v>9</v>
      </c>
      <c r="F860" t="s">
        <v>15</v>
      </c>
      <c r="G860" t="s">
        <v>18</v>
      </c>
      <c r="H860">
        <v>0.26</v>
      </c>
      <c r="I860" s="3">
        <v>0.2273</v>
      </c>
      <c r="J860">
        <v>0.81</v>
      </c>
      <c r="K860">
        <v>0.32840000000000003</v>
      </c>
      <c r="L860">
        <v>0</v>
      </c>
      <c r="M860">
        <v>2</v>
      </c>
      <c r="N860">
        <v>2</v>
      </c>
    </row>
    <row r="861" spans="1:14" x14ac:dyDescent="0.3">
      <c r="A861">
        <v>860</v>
      </c>
      <c r="B861" s="4">
        <v>40582</v>
      </c>
      <c r="C861" s="5">
        <v>0.25</v>
      </c>
      <c r="D861" t="s">
        <v>8</v>
      </c>
      <c r="E861" t="s">
        <v>9</v>
      </c>
      <c r="F861" t="s">
        <v>15</v>
      </c>
      <c r="G861" t="s">
        <v>18</v>
      </c>
      <c r="H861">
        <v>0.26</v>
      </c>
      <c r="I861" s="3">
        <v>0.2273</v>
      </c>
      <c r="J861">
        <v>0.7</v>
      </c>
      <c r="K861">
        <v>0.32840000000000003</v>
      </c>
      <c r="L861">
        <v>0</v>
      </c>
      <c r="M861">
        <v>39</v>
      </c>
      <c r="N861">
        <v>39</v>
      </c>
    </row>
    <row r="862" spans="1:14" x14ac:dyDescent="0.3">
      <c r="A862">
        <v>861</v>
      </c>
      <c r="B862" s="4">
        <v>40582</v>
      </c>
      <c r="C862" s="5">
        <v>0.29166666666666674</v>
      </c>
      <c r="D862" t="s">
        <v>8</v>
      </c>
      <c r="E862" t="s">
        <v>9</v>
      </c>
      <c r="F862" t="s">
        <v>15</v>
      </c>
      <c r="G862" t="s">
        <v>18</v>
      </c>
      <c r="H862">
        <v>0.24</v>
      </c>
      <c r="I862" s="3">
        <v>0.19700000000000001</v>
      </c>
      <c r="J862">
        <v>0.65</v>
      </c>
      <c r="K862">
        <v>0.41789999999999999</v>
      </c>
      <c r="L862">
        <v>3</v>
      </c>
      <c r="M862">
        <v>97</v>
      </c>
      <c r="N862">
        <v>100</v>
      </c>
    </row>
    <row r="863" spans="1:14" x14ac:dyDescent="0.3">
      <c r="A863">
        <v>862</v>
      </c>
      <c r="B863" s="4">
        <v>40582</v>
      </c>
      <c r="C863" s="5">
        <v>0.33333333333333326</v>
      </c>
      <c r="D863" t="s">
        <v>8</v>
      </c>
      <c r="E863" t="s">
        <v>9</v>
      </c>
      <c r="F863" t="s">
        <v>15</v>
      </c>
      <c r="G863" t="s">
        <v>18</v>
      </c>
      <c r="H863">
        <v>0.24</v>
      </c>
      <c r="I863" s="3">
        <v>0.19700000000000001</v>
      </c>
      <c r="J863">
        <v>0.56000000000000005</v>
      </c>
      <c r="K863">
        <v>0.49249999999999999</v>
      </c>
      <c r="L863">
        <v>7</v>
      </c>
      <c r="M863">
        <v>236</v>
      </c>
      <c r="N863">
        <v>243</v>
      </c>
    </row>
    <row r="864" spans="1:14" x14ac:dyDescent="0.3">
      <c r="A864">
        <v>863</v>
      </c>
      <c r="B864" s="4">
        <v>40582</v>
      </c>
      <c r="C864" s="5">
        <v>0.375</v>
      </c>
      <c r="D864" t="s">
        <v>8</v>
      </c>
      <c r="E864" t="s">
        <v>9</v>
      </c>
      <c r="F864" t="s">
        <v>15</v>
      </c>
      <c r="G864" t="s">
        <v>18</v>
      </c>
      <c r="H864">
        <v>0.24</v>
      </c>
      <c r="I864" s="3">
        <v>0.19700000000000001</v>
      </c>
      <c r="J864">
        <v>0.52</v>
      </c>
      <c r="K864">
        <v>0.49249999999999999</v>
      </c>
      <c r="L864">
        <v>7</v>
      </c>
      <c r="M864">
        <v>128</v>
      </c>
      <c r="N864">
        <v>135</v>
      </c>
    </row>
    <row r="865" spans="1:14" x14ac:dyDescent="0.3">
      <c r="A865">
        <v>864</v>
      </c>
      <c r="B865" s="4">
        <v>40582</v>
      </c>
      <c r="C865" s="5">
        <v>0.41666666666666674</v>
      </c>
      <c r="D865" t="s">
        <v>8</v>
      </c>
      <c r="E865" t="s">
        <v>9</v>
      </c>
      <c r="F865" t="s">
        <v>15</v>
      </c>
      <c r="G865" t="s">
        <v>18</v>
      </c>
      <c r="H865">
        <v>0.22</v>
      </c>
      <c r="I865" s="3">
        <v>0.18179999999999999</v>
      </c>
      <c r="J865">
        <v>0.47</v>
      </c>
      <c r="K865">
        <v>0.55220000000000002</v>
      </c>
      <c r="L865">
        <v>4</v>
      </c>
      <c r="M865">
        <v>44</v>
      </c>
      <c r="N865">
        <v>48</v>
      </c>
    </row>
    <row r="866" spans="1:14" x14ac:dyDescent="0.3">
      <c r="A866">
        <v>865</v>
      </c>
      <c r="B866" s="4">
        <v>40582</v>
      </c>
      <c r="C866" s="5">
        <v>0.45833333333333326</v>
      </c>
      <c r="D866" t="s">
        <v>8</v>
      </c>
      <c r="E866" t="s">
        <v>9</v>
      </c>
      <c r="F866" t="s">
        <v>15</v>
      </c>
      <c r="G866" t="s">
        <v>18</v>
      </c>
      <c r="H866">
        <v>0.22</v>
      </c>
      <c r="I866" s="3">
        <v>0.18179999999999999</v>
      </c>
      <c r="J866">
        <v>0.47</v>
      </c>
      <c r="K866">
        <v>0.4627</v>
      </c>
      <c r="L866">
        <v>1</v>
      </c>
      <c r="M866">
        <v>49</v>
      </c>
      <c r="N866">
        <v>50</v>
      </c>
    </row>
    <row r="867" spans="1:14" x14ac:dyDescent="0.3">
      <c r="A867">
        <v>866</v>
      </c>
      <c r="B867" s="4">
        <v>40582</v>
      </c>
      <c r="C867" s="5">
        <v>0.5</v>
      </c>
      <c r="D867" t="s">
        <v>8</v>
      </c>
      <c r="E867" t="s">
        <v>9</v>
      </c>
      <c r="F867" t="s">
        <v>15</v>
      </c>
      <c r="G867" t="s">
        <v>18</v>
      </c>
      <c r="H867">
        <v>0.24</v>
      </c>
      <c r="I867" s="3">
        <v>0.19700000000000001</v>
      </c>
      <c r="J867">
        <v>0.38</v>
      </c>
      <c r="K867">
        <v>0.49249999999999999</v>
      </c>
      <c r="L867">
        <v>2</v>
      </c>
      <c r="M867">
        <v>63</v>
      </c>
      <c r="N867">
        <v>65</v>
      </c>
    </row>
    <row r="868" spans="1:14" x14ac:dyDescent="0.3">
      <c r="A868">
        <v>867</v>
      </c>
      <c r="B868" s="4">
        <v>40582</v>
      </c>
      <c r="C868" s="5">
        <v>0.54166666666666674</v>
      </c>
      <c r="D868" t="s">
        <v>8</v>
      </c>
      <c r="E868" t="s">
        <v>9</v>
      </c>
      <c r="F868" t="s">
        <v>15</v>
      </c>
      <c r="G868" t="s">
        <v>19</v>
      </c>
      <c r="H868">
        <v>0.24</v>
      </c>
      <c r="I868" s="3">
        <v>0.19700000000000001</v>
      </c>
      <c r="J868">
        <v>0.32</v>
      </c>
      <c r="K868">
        <v>0.44779999999999998</v>
      </c>
      <c r="L868">
        <v>2</v>
      </c>
      <c r="M868">
        <v>48</v>
      </c>
      <c r="N868">
        <v>50</v>
      </c>
    </row>
    <row r="869" spans="1:14" x14ac:dyDescent="0.3">
      <c r="A869">
        <v>868</v>
      </c>
      <c r="B869" s="4">
        <v>40582</v>
      </c>
      <c r="C869" s="5">
        <v>0.58333333333333326</v>
      </c>
      <c r="D869" t="s">
        <v>8</v>
      </c>
      <c r="E869" t="s">
        <v>9</v>
      </c>
      <c r="F869" t="s">
        <v>15</v>
      </c>
      <c r="G869" t="s">
        <v>18</v>
      </c>
      <c r="H869">
        <v>0.22</v>
      </c>
      <c r="I869" s="3">
        <v>0.19700000000000001</v>
      </c>
      <c r="J869">
        <v>0.37</v>
      </c>
      <c r="K869">
        <v>0.41789999999999999</v>
      </c>
      <c r="L869">
        <v>3</v>
      </c>
      <c r="M869">
        <v>61</v>
      </c>
      <c r="N869">
        <v>64</v>
      </c>
    </row>
    <row r="870" spans="1:14" x14ac:dyDescent="0.3">
      <c r="A870">
        <v>869</v>
      </c>
      <c r="B870" s="4">
        <v>40582</v>
      </c>
      <c r="C870" s="5">
        <v>0.625</v>
      </c>
      <c r="D870" t="s">
        <v>8</v>
      </c>
      <c r="E870" t="s">
        <v>9</v>
      </c>
      <c r="F870" t="s">
        <v>15</v>
      </c>
      <c r="G870" t="s">
        <v>18</v>
      </c>
      <c r="H870">
        <v>0.22</v>
      </c>
      <c r="I870" s="3">
        <v>0.19700000000000001</v>
      </c>
      <c r="J870">
        <v>0.35</v>
      </c>
      <c r="K870">
        <v>0.3881</v>
      </c>
      <c r="L870">
        <v>6</v>
      </c>
      <c r="M870">
        <v>45</v>
      </c>
      <c r="N870">
        <v>51</v>
      </c>
    </row>
    <row r="871" spans="1:14" x14ac:dyDescent="0.3">
      <c r="A871">
        <v>870</v>
      </c>
      <c r="B871" s="4">
        <v>40582</v>
      </c>
      <c r="C871" s="5">
        <v>0.66666666666666674</v>
      </c>
      <c r="D871" t="s">
        <v>8</v>
      </c>
      <c r="E871" t="s">
        <v>9</v>
      </c>
      <c r="F871" t="s">
        <v>15</v>
      </c>
      <c r="G871" t="s">
        <v>18</v>
      </c>
      <c r="H871">
        <v>0.22</v>
      </c>
      <c r="I871" s="3">
        <v>0.18179999999999999</v>
      </c>
      <c r="J871">
        <v>0.35</v>
      </c>
      <c r="K871">
        <v>0.52239999999999998</v>
      </c>
      <c r="L871">
        <v>4</v>
      </c>
      <c r="M871">
        <v>79</v>
      </c>
      <c r="N871">
        <v>83</v>
      </c>
    </row>
    <row r="872" spans="1:14" x14ac:dyDescent="0.3">
      <c r="A872">
        <v>871</v>
      </c>
      <c r="B872" s="4">
        <v>40582</v>
      </c>
      <c r="C872" s="5">
        <v>0.70833333333333326</v>
      </c>
      <c r="D872" t="s">
        <v>8</v>
      </c>
      <c r="E872" t="s">
        <v>9</v>
      </c>
      <c r="F872" t="s">
        <v>15</v>
      </c>
      <c r="G872" t="s">
        <v>18</v>
      </c>
      <c r="H872">
        <v>0.22</v>
      </c>
      <c r="I872" s="3">
        <v>0.18179999999999999</v>
      </c>
      <c r="J872">
        <v>0.32</v>
      </c>
      <c r="K872">
        <v>0.58209999999999995</v>
      </c>
      <c r="L872">
        <v>4</v>
      </c>
      <c r="M872">
        <v>172</v>
      </c>
      <c r="N872">
        <v>176</v>
      </c>
    </row>
    <row r="873" spans="1:14" x14ac:dyDescent="0.3">
      <c r="A873">
        <v>872</v>
      </c>
      <c r="B873" s="4">
        <v>40582</v>
      </c>
      <c r="C873" s="5">
        <v>0.75</v>
      </c>
      <c r="D873" t="s">
        <v>8</v>
      </c>
      <c r="E873" t="s">
        <v>9</v>
      </c>
      <c r="F873" t="s">
        <v>15</v>
      </c>
      <c r="G873" t="s">
        <v>18</v>
      </c>
      <c r="H873">
        <v>0.2</v>
      </c>
      <c r="I873" s="3">
        <v>0.18179999999999999</v>
      </c>
      <c r="J873">
        <v>0.32</v>
      </c>
      <c r="K873">
        <v>0.3881</v>
      </c>
      <c r="L873">
        <v>1</v>
      </c>
      <c r="M873">
        <v>151</v>
      </c>
      <c r="N873">
        <v>152</v>
      </c>
    </row>
    <row r="874" spans="1:14" x14ac:dyDescent="0.3">
      <c r="A874">
        <v>873</v>
      </c>
      <c r="B874" s="4">
        <v>40582</v>
      </c>
      <c r="C874" s="5">
        <v>0.79166666666666674</v>
      </c>
      <c r="D874" t="s">
        <v>8</v>
      </c>
      <c r="E874" t="s">
        <v>9</v>
      </c>
      <c r="F874" t="s">
        <v>15</v>
      </c>
      <c r="G874" t="s">
        <v>18</v>
      </c>
      <c r="H874">
        <v>0.16</v>
      </c>
      <c r="I874" s="3">
        <v>0.1212</v>
      </c>
      <c r="J874">
        <v>0.4</v>
      </c>
      <c r="K874">
        <v>0.4627</v>
      </c>
      <c r="L874">
        <v>1</v>
      </c>
      <c r="M874">
        <v>100</v>
      </c>
      <c r="N874">
        <v>101</v>
      </c>
    </row>
    <row r="875" spans="1:14" x14ac:dyDescent="0.3">
      <c r="A875">
        <v>874</v>
      </c>
      <c r="B875" s="4">
        <v>40582</v>
      </c>
      <c r="C875" s="5">
        <v>0.83333333333333326</v>
      </c>
      <c r="D875" t="s">
        <v>8</v>
      </c>
      <c r="E875" t="s">
        <v>9</v>
      </c>
      <c r="F875" t="s">
        <v>15</v>
      </c>
      <c r="G875" t="s">
        <v>18</v>
      </c>
      <c r="H875">
        <v>0.16</v>
      </c>
      <c r="I875" s="3">
        <v>0.13639999999999999</v>
      </c>
      <c r="J875">
        <v>0.4</v>
      </c>
      <c r="K875">
        <v>0.32840000000000003</v>
      </c>
      <c r="L875">
        <v>3</v>
      </c>
      <c r="M875">
        <v>53</v>
      </c>
      <c r="N875">
        <v>56</v>
      </c>
    </row>
    <row r="876" spans="1:14" x14ac:dyDescent="0.3">
      <c r="A876">
        <v>875</v>
      </c>
      <c r="B876" s="4">
        <v>40582</v>
      </c>
      <c r="C876" s="5">
        <v>0.875</v>
      </c>
      <c r="D876" t="s">
        <v>8</v>
      </c>
      <c r="E876" t="s">
        <v>9</v>
      </c>
      <c r="F876" t="s">
        <v>15</v>
      </c>
      <c r="G876" t="s">
        <v>18</v>
      </c>
      <c r="H876">
        <v>0.14000000000000001</v>
      </c>
      <c r="I876" s="3">
        <v>0.1061</v>
      </c>
      <c r="J876">
        <v>0.33</v>
      </c>
      <c r="K876">
        <v>0.4627</v>
      </c>
      <c r="L876">
        <v>8</v>
      </c>
      <c r="M876">
        <v>46</v>
      </c>
      <c r="N876">
        <v>54</v>
      </c>
    </row>
    <row r="877" spans="1:14" x14ac:dyDescent="0.3">
      <c r="A877">
        <v>876</v>
      </c>
      <c r="B877" s="4">
        <v>40582</v>
      </c>
      <c r="C877" s="5">
        <v>0.91666666666666674</v>
      </c>
      <c r="D877" t="s">
        <v>8</v>
      </c>
      <c r="E877" t="s">
        <v>9</v>
      </c>
      <c r="F877" t="s">
        <v>15</v>
      </c>
      <c r="G877" t="s">
        <v>18</v>
      </c>
      <c r="H877">
        <v>0.12</v>
      </c>
      <c r="I877" s="3">
        <v>0.1061</v>
      </c>
      <c r="J877">
        <v>0.33</v>
      </c>
      <c r="K877">
        <v>0.35820000000000002</v>
      </c>
      <c r="L877">
        <v>0</v>
      </c>
      <c r="M877">
        <v>29</v>
      </c>
      <c r="N877">
        <v>29</v>
      </c>
    </row>
    <row r="878" spans="1:14" x14ac:dyDescent="0.3">
      <c r="A878">
        <v>877</v>
      </c>
      <c r="B878" s="4">
        <v>40582</v>
      </c>
      <c r="C878" s="5">
        <v>0.95833333333333326</v>
      </c>
      <c r="D878" t="s">
        <v>8</v>
      </c>
      <c r="E878" t="s">
        <v>9</v>
      </c>
      <c r="F878" t="s">
        <v>15</v>
      </c>
      <c r="G878" t="s">
        <v>18</v>
      </c>
      <c r="H878">
        <v>0.12</v>
      </c>
      <c r="I878" s="3">
        <v>0.1061</v>
      </c>
      <c r="J878">
        <v>0.33</v>
      </c>
      <c r="K878">
        <v>0.32840000000000003</v>
      </c>
      <c r="L878">
        <v>3</v>
      </c>
      <c r="M878">
        <v>9</v>
      </c>
      <c r="N878">
        <v>12</v>
      </c>
    </row>
    <row r="879" spans="1:14" x14ac:dyDescent="0.3">
      <c r="A879">
        <v>878</v>
      </c>
      <c r="B879" s="4">
        <v>40583</v>
      </c>
      <c r="C879" s="5">
        <v>0</v>
      </c>
      <c r="D879" t="s">
        <v>8</v>
      </c>
      <c r="E879" t="s">
        <v>9</v>
      </c>
      <c r="F879" t="s">
        <v>16</v>
      </c>
      <c r="G879" t="s">
        <v>18</v>
      </c>
      <c r="H879">
        <v>0.1</v>
      </c>
      <c r="I879" s="3">
        <v>7.5800000000000006E-2</v>
      </c>
      <c r="J879">
        <v>0.36</v>
      </c>
      <c r="K879">
        <v>0.35820000000000002</v>
      </c>
      <c r="L879">
        <v>0</v>
      </c>
      <c r="M879">
        <v>17</v>
      </c>
      <c r="N879">
        <v>17</v>
      </c>
    </row>
    <row r="880" spans="1:14" x14ac:dyDescent="0.3">
      <c r="A880">
        <v>879</v>
      </c>
      <c r="B880" s="4">
        <v>40583</v>
      </c>
      <c r="C880" s="5">
        <v>4.1666666666666741E-2</v>
      </c>
      <c r="D880" t="s">
        <v>8</v>
      </c>
      <c r="E880" t="s">
        <v>9</v>
      </c>
      <c r="F880" t="s">
        <v>16</v>
      </c>
      <c r="G880" t="s">
        <v>18</v>
      </c>
      <c r="H880">
        <v>0.1</v>
      </c>
      <c r="I880" s="3">
        <v>0.1061</v>
      </c>
      <c r="J880">
        <v>0.36</v>
      </c>
      <c r="K880">
        <v>0.22389999999999999</v>
      </c>
      <c r="L880">
        <v>0</v>
      </c>
      <c r="M880">
        <v>7</v>
      </c>
      <c r="N880">
        <v>7</v>
      </c>
    </row>
    <row r="881" spans="1:14" x14ac:dyDescent="0.3">
      <c r="A881">
        <v>880</v>
      </c>
      <c r="B881" s="4">
        <v>40583</v>
      </c>
      <c r="C881" s="5">
        <v>8.3333333333333259E-2</v>
      </c>
      <c r="D881" t="s">
        <v>8</v>
      </c>
      <c r="E881" t="s">
        <v>9</v>
      </c>
      <c r="F881" t="s">
        <v>16</v>
      </c>
      <c r="G881" t="s">
        <v>18</v>
      </c>
      <c r="H881">
        <v>0.08</v>
      </c>
      <c r="I881" s="3">
        <v>7.5800000000000006E-2</v>
      </c>
      <c r="J881">
        <v>0.38</v>
      </c>
      <c r="K881">
        <v>0.28360000000000002</v>
      </c>
      <c r="L881">
        <v>1</v>
      </c>
      <c r="M881">
        <v>2</v>
      </c>
      <c r="N881">
        <v>3</v>
      </c>
    </row>
    <row r="882" spans="1:14" x14ac:dyDescent="0.3">
      <c r="A882">
        <v>881</v>
      </c>
      <c r="B882" s="4">
        <v>40583</v>
      </c>
      <c r="C882" s="5">
        <v>0.125</v>
      </c>
      <c r="D882" t="s">
        <v>8</v>
      </c>
      <c r="E882" t="s">
        <v>9</v>
      </c>
      <c r="F882" t="s">
        <v>16</v>
      </c>
      <c r="G882" t="s">
        <v>18</v>
      </c>
      <c r="H882">
        <v>0.06</v>
      </c>
      <c r="I882" s="3">
        <v>7.5800000000000006E-2</v>
      </c>
      <c r="J882">
        <v>0.45</v>
      </c>
      <c r="K882">
        <v>0.1343</v>
      </c>
      <c r="L882">
        <v>0</v>
      </c>
      <c r="M882">
        <v>2</v>
      </c>
      <c r="N882">
        <v>2</v>
      </c>
    </row>
    <row r="883" spans="1:14" x14ac:dyDescent="0.3">
      <c r="A883">
        <v>882</v>
      </c>
      <c r="B883" s="4">
        <v>40583</v>
      </c>
      <c r="C883" s="5">
        <v>0.20833333333333326</v>
      </c>
      <c r="D883" t="s">
        <v>8</v>
      </c>
      <c r="E883" t="s">
        <v>9</v>
      </c>
      <c r="F883" t="s">
        <v>16</v>
      </c>
      <c r="G883" t="s">
        <v>18</v>
      </c>
      <c r="H883">
        <v>0.06</v>
      </c>
      <c r="I883" s="3">
        <v>0.1061</v>
      </c>
      <c r="J883">
        <v>0.45</v>
      </c>
      <c r="K883">
        <v>0.1045</v>
      </c>
      <c r="L883">
        <v>0</v>
      </c>
      <c r="M883">
        <v>7</v>
      </c>
      <c r="N883">
        <v>7</v>
      </c>
    </row>
    <row r="884" spans="1:14" x14ac:dyDescent="0.3">
      <c r="A884">
        <v>883</v>
      </c>
      <c r="B884" s="4">
        <v>40583</v>
      </c>
      <c r="C884" s="5">
        <v>0.25</v>
      </c>
      <c r="D884" t="s">
        <v>8</v>
      </c>
      <c r="E884" t="s">
        <v>9</v>
      </c>
      <c r="F884" t="s">
        <v>16</v>
      </c>
      <c r="G884" t="s">
        <v>18</v>
      </c>
      <c r="H884">
        <v>0.06</v>
      </c>
      <c r="I884" s="3">
        <v>0.1515</v>
      </c>
      <c r="J884">
        <v>0.45</v>
      </c>
      <c r="K884">
        <v>0</v>
      </c>
      <c r="L884">
        <v>0</v>
      </c>
      <c r="M884">
        <v>43</v>
      </c>
      <c r="N884">
        <v>43</v>
      </c>
    </row>
    <row r="885" spans="1:14" x14ac:dyDescent="0.3">
      <c r="A885">
        <v>884</v>
      </c>
      <c r="B885" s="4">
        <v>40583</v>
      </c>
      <c r="C885" s="5">
        <v>0.29166666666666674</v>
      </c>
      <c r="D885" t="s">
        <v>8</v>
      </c>
      <c r="E885" t="s">
        <v>9</v>
      </c>
      <c r="F885" t="s">
        <v>16</v>
      </c>
      <c r="G885" t="s">
        <v>18</v>
      </c>
      <c r="H885">
        <v>0.06</v>
      </c>
      <c r="I885" s="3">
        <v>0.1061</v>
      </c>
      <c r="J885">
        <v>0.49</v>
      </c>
      <c r="K885">
        <v>0.1045</v>
      </c>
      <c r="L885">
        <v>4</v>
      </c>
      <c r="M885">
        <v>95</v>
      </c>
      <c r="N885">
        <v>99</v>
      </c>
    </row>
    <row r="886" spans="1:14" x14ac:dyDescent="0.3">
      <c r="A886">
        <v>885</v>
      </c>
      <c r="B886" s="4">
        <v>40583</v>
      </c>
      <c r="C886" s="5">
        <v>0.33333333333333326</v>
      </c>
      <c r="D886" t="s">
        <v>8</v>
      </c>
      <c r="E886" t="s">
        <v>9</v>
      </c>
      <c r="F886" t="s">
        <v>16</v>
      </c>
      <c r="G886" t="s">
        <v>18</v>
      </c>
      <c r="H886">
        <v>0.1</v>
      </c>
      <c r="I886" s="3">
        <v>0.13639999999999999</v>
      </c>
      <c r="J886">
        <v>0.42</v>
      </c>
      <c r="K886">
        <v>0</v>
      </c>
      <c r="L886">
        <v>1</v>
      </c>
      <c r="M886">
        <v>198</v>
      </c>
      <c r="N886">
        <v>199</v>
      </c>
    </row>
    <row r="887" spans="1:14" x14ac:dyDescent="0.3">
      <c r="A887">
        <v>886</v>
      </c>
      <c r="B887" s="4">
        <v>40583</v>
      </c>
      <c r="C887" s="5">
        <v>0.375</v>
      </c>
      <c r="D887" t="s">
        <v>8</v>
      </c>
      <c r="E887" t="s">
        <v>9</v>
      </c>
      <c r="F887" t="s">
        <v>16</v>
      </c>
      <c r="G887" t="s">
        <v>18</v>
      </c>
      <c r="H887">
        <v>0.12</v>
      </c>
      <c r="I887" s="3">
        <v>0.13639999999999999</v>
      </c>
      <c r="J887">
        <v>0.39</v>
      </c>
      <c r="K887">
        <v>0.16420000000000001</v>
      </c>
      <c r="L887">
        <v>4</v>
      </c>
      <c r="M887">
        <v>119</v>
      </c>
      <c r="N887">
        <v>123</v>
      </c>
    </row>
    <row r="888" spans="1:14" x14ac:dyDescent="0.3">
      <c r="A888">
        <v>887</v>
      </c>
      <c r="B888" s="4">
        <v>40583</v>
      </c>
      <c r="C888" s="5">
        <v>0.41666666666666674</v>
      </c>
      <c r="D888" t="s">
        <v>8</v>
      </c>
      <c r="E888" t="s">
        <v>9</v>
      </c>
      <c r="F888" t="s">
        <v>16</v>
      </c>
      <c r="G888" t="s">
        <v>18</v>
      </c>
      <c r="H888">
        <v>0.14000000000000001</v>
      </c>
      <c r="I888" s="3">
        <v>0.18179999999999999</v>
      </c>
      <c r="J888">
        <v>0.36</v>
      </c>
      <c r="K888">
        <v>0</v>
      </c>
      <c r="L888">
        <v>8</v>
      </c>
      <c r="M888">
        <v>51</v>
      </c>
      <c r="N888">
        <v>59</v>
      </c>
    </row>
    <row r="889" spans="1:14" x14ac:dyDescent="0.3">
      <c r="A889">
        <v>888</v>
      </c>
      <c r="B889" s="4">
        <v>40583</v>
      </c>
      <c r="C889" s="5">
        <v>0.45833333333333326</v>
      </c>
      <c r="D889" t="s">
        <v>8</v>
      </c>
      <c r="E889" t="s">
        <v>9</v>
      </c>
      <c r="F889" t="s">
        <v>16</v>
      </c>
      <c r="G889" t="s">
        <v>19</v>
      </c>
      <c r="H889">
        <v>0.14000000000000001</v>
      </c>
      <c r="I889" s="3">
        <v>0.1515</v>
      </c>
      <c r="J889">
        <v>0.43</v>
      </c>
      <c r="K889">
        <v>0.16420000000000001</v>
      </c>
      <c r="L889">
        <v>1</v>
      </c>
      <c r="M889">
        <v>40</v>
      </c>
      <c r="N889">
        <v>41</v>
      </c>
    </row>
    <row r="890" spans="1:14" x14ac:dyDescent="0.3">
      <c r="A890">
        <v>889</v>
      </c>
      <c r="B890" s="4">
        <v>40583</v>
      </c>
      <c r="C890" s="5">
        <v>0.5</v>
      </c>
      <c r="D890" t="s">
        <v>8</v>
      </c>
      <c r="E890" t="s">
        <v>9</v>
      </c>
      <c r="F890" t="s">
        <v>16</v>
      </c>
      <c r="G890" t="s">
        <v>19</v>
      </c>
      <c r="H890">
        <v>0.18</v>
      </c>
      <c r="I890" s="3">
        <v>0.18179999999999999</v>
      </c>
      <c r="J890">
        <v>0.4</v>
      </c>
      <c r="K890">
        <v>0.22389999999999999</v>
      </c>
      <c r="L890">
        <v>4</v>
      </c>
      <c r="M890">
        <v>57</v>
      </c>
      <c r="N890">
        <v>61</v>
      </c>
    </row>
    <row r="891" spans="1:14" x14ac:dyDescent="0.3">
      <c r="A891">
        <v>890</v>
      </c>
      <c r="B891" s="4">
        <v>40583</v>
      </c>
      <c r="C891" s="5">
        <v>0.54166666666666674</v>
      </c>
      <c r="D891" t="s">
        <v>8</v>
      </c>
      <c r="E891" t="s">
        <v>9</v>
      </c>
      <c r="F891" t="s">
        <v>16</v>
      </c>
      <c r="G891" t="s">
        <v>18</v>
      </c>
      <c r="H891">
        <v>0.18</v>
      </c>
      <c r="I891" s="3">
        <v>0.16669999999999999</v>
      </c>
      <c r="J891">
        <v>0.4</v>
      </c>
      <c r="K891">
        <v>0.25369999999999998</v>
      </c>
      <c r="L891">
        <v>2</v>
      </c>
      <c r="M891">
        <v>67</v>
      </c>
      <c r="N891">
        <v>69</v>
      </c>
    </row>
    <row r="892" spans="1:14" x14ac:dyDescent="0.3">
      <c r="A892">
        <v>891</v>
      </c>
      <c r="B892" s="4">
        <v>40583</v>
      </c>
      <c r="C892" s="5">
        <v>0.58333333333333326</v>
      </c>
      <c r="D892" t="s">
        <v>8</v>
      </c>
      <c r="E892" t="s">
        <v>9</v>
      </c>
      <c r="F892" t="s">
        <v>16</v>
      </c>
      <c r="G892" t="s">
        <v>18</v>
      </c>
      <c r="H892">
        <v>0.2</v>
      </c>
      <c r="I892" s="3">
        <v>0.18179999999999999</v>
      </c>
      <c r="J892">
        <v>0.34</v>
      </c>
      <c r="K892">
        <v>0.29849999999999999</v>
      </c>
      <c r="L892">
        <v>2</v>
      </c>
      <c r="M892">
        <v>56</v>
      </c>
      <c r="N892">
        <v>58</v>
      </c>
    </row>
    <row r="893" spans="1:14" x14ac:dyDescent="0.3">
      <c r="A893">
        <v>892</v>
      </c>
      <c r="B893" s="4">
        <v>40583</v>
      </c>
      <c r="C893" s="5">
        <v>0.625</v>
      </c>
      <c r="D893" t="s">
        <v>8</v>
      </c>
      <c r="E893" t="s">
        <v>9</v>
      </c>
      <c r="F893" t="s">
        <v>16</v>
      </c>
      <c r="G893" t="s">
        <v>19</v>
      </c>
      <c r="H893">
        <v>0.2</v>
      </c>
      <c r="I893" s="3">
        <v>0.18179999999999999</v>
      </c>
      <c r="J893">
        <v>0.34</v>
      </c>
      <c r="K893">
        <v>0.28360000000000002</v>
      </c>
      <c r="L893">
        <v>3</v>
      </c>
      <c r="M893">
        <v>61</v>
      </c>
      <c r="N893">
        <v>64</v>
      </c>
    </row>
    <row r="894" spans="1:14" x14ac:dyDescent="0.3">
      <c r="A894">
        <v>893</v>
      </c>
      <c r="B894" s="4">
        <v>40583</v>
      </c>
      <c r="C894" s="5">
        <v>0.66666666666666674</v>
      </c>
      <c r="D894" t="s">
        <v>8</v>
      </c>
      <c r="E894" t="s">
        <v>9</v>
      </c>
      <c r="F894" t="s">
        <v>16</v>
      </c>
      <c r="G894" t="s">
        <v>19</v>
      </c>
      <c r="H894">
        <v>0.2</v>
      </c>
      <c r="I894" s="3">
        <v>0.19700000000000001</v>
      </c>
      <c r="J894">
        <v>0.37</v>
      </c>
      <c r="K894">
        <v>0.25369999999999998</v>
      </c>
      <c r="L894">
        <v>7</v>
      </c>
      <c r="M894">
        <v>72</v>
      </c>
      <c r="N894">
        <v>79</v>
      </c>
    </row>
    <row r="895" spans="1:14" x14ac:dyDescent="0.3">
      <c r="A895">
        <v>894</v>
      </c>
      <c r="B895" s="4">
        <v>40583</v>
      </c>
      <c r="C895" s="5">
        <v>0.70833333333333326</v>
      </c>
      <c r="D895" t="s">
        <v>8</v>
      </c>
      <c r="E895" t="s">
        <v>9</v>
      </c>
      <c r="F895" t="s">
        <v>16</v>
      </c>
      <c r="G895" t="s">
        <v>19</v>
      </c>
      <c r="H895">
        <v>0.2</v>
      </c>
      <c r="I895" s="3">
        <v>0.19700000000000001</v>
      </c>
      <c r="J895">
        <v>0.34</v>
      </c>
      <c r="K895">
        <v>0.25369999999999998</v>
      </c>
      <c r="L895">
        <v>9</v>
      </c>
      <c r="M895">
        <v>157</v>
      </c>
      <c r="N895">
        <v>166</v>
      </c>
    </row>
    <row r="896" spans="1:14" x14ac:dyDescent="0.3">
      <c r="A896">
        <v>895</v>
      </c>
      <c r="B896" s="4">
        <v>40583</v>
      </c>
      <c r="C896" s="5">
        <v>0.75</v>
      </c>
      <c r="D896" t="s">
        <v>8</v>
      </c>
      <c r="E896" t="s">
        <v>9</v>
      </c>
      <c r="F896" t="s">
        <v>16</v>
      </c>
      <c r="G896" t="s">
        <v>19</v>
      </c>
      <c r="H896">
        <v>0.18</v>
      </c>
      <c r="I896" s="3">
        <v>0.16669999999999999</v>
      </c>
      <c r="J896">
        <v>0.47</v>
      </c>
      <c r="K896">
        <v>0.29849999999999999</v>
      </c>
      <c r="L896">
        <v>2</v>
      </c>
      <c r="M896">
        <v>168</v>
      </c>
      <c r="N896">
        <v>170</v>
      </c>
    </row>
    <row r="897" spans="1:14" x14ac:dyDescent="0.3">
      <c r="A897">
        <v>896</v>
      </c>
      <c r="B897" s="4">
        <v>40583</v>
      </c>
      <c r="C897" s="5">
        <v>0.79166666666666674</v>
      </c>
      <c r="D897" t="s">
        <v>8</v>
      </c>
      <c r="E897" t="s">
        <v>9</v>
      </c>
      <c r="F897" t="s">
        <v>16</v>
      </c>
      <c r="G897" t="s">
        <v>20</v>
      </c>
      <c r="H897">
        <v>0.14000000000000001</v>
      </c>
      <c r="I897" s="3">
        <v>0.1212</v>
      </c>
      <c r="J897">
        <v>0.86</v>
      </c>
      <c r="K897">
        <v>0.25369999999999998</v>
      </c>
      <c r="L897">
        <v>1</v>
      </c>
      <c r="M897">
        <v>87</v>
      </c>
      <c r="N897">
        <v>88</v>
      </c>
    </row>
    <row r="898" spans="1:14" x14ac:dyDescent="0.3">
      <c r="A898">
        <v>897</v>
      </c>
      <c r="B898" s="4">
        <v>40583</v>
      </c>
      <c r="C898" s="5">
        <v>0.83333333333333326</v>
      </c>
      <c r="D898" t="s">
        <v>8</v>
      </c>
      <c r="E898" t="s">
        <v>9</v>
      </c>
      <c r="F898" t="s">
        <v>16</v>
      </c>
      <c r="G898" t="s">
        <v>20</v>
      </c>
      <c r="H898">
        <v>0.14000000000000001</v>
      </c>
      <c r="I898" s="3">
        <v>0.1515</v>
      </c>
      <c r="J898">
        <v>0.86</v>
      </c>
      <c r="K898">
        <v>0.16420000000000001</v>
      </c>
      <c r="L898">
        <v>0</v>
      </c>
      <c r="M898">
        <v>84</v>
      </c>
      <c r="N898">
        <v>84</v>
      </c>
    </row>
    <row r="899" spans="1:14" x14ac:dyDescent="0.3">
      <c r="A899">
        <v>898</v>
      </c>
      <c r="B899" s="4">
        <v>40583</v>
      </c>
      <c r="C899" s="5">
        <v>0.875</v>
      </c>
      <c r="D899" t="s">
        <v>8</v>
      </c>
      <c r="E899" t="s">
        <v>9</v>
      </c>
      <c r="F899" t="s">
        <v>16</v>
      </c>
      <c r="G899" t="s">
        <v>19</v>
      </c>
      <c r="H899">
        <v>0.14000000000000001</v>
      </c>
      <c r="I899" s="3">
        <v>0.1515</v>
      </c>
      <c r="J899">
        <v>0.86</v>
      </c>
      <c r="K899">
        <v>0.16420000000000001</v>
      </c>
      <c r="L899">
        <v>0</v>
      </c>
      <c r="M899">
        <v>83</v>
      </c>
      <c r="N899">
        <v>83</v>
      </c>
    </row>
    <row r="900" spans="1:14" x14ac:dyDescent="0.3">
      <c r="A900">
        <v>899</v>
      </c>
      <c r="B900" s="4">
        <v>40583</v>
      </c>
      <c r="C900" s="5">
        <v>0.91666666666666674</v>
      </c>
      <c r="D900" t="s">
        <v>8</v>
      </c>
      <c r="E900" t="s">
        <v>9</v>
      </c>
      <c r="F900" t="s">
        <v>16</v>
      </c>
      <c r="G900" t="s">
        <v>20</v>
      </c>
      <c r="H900">
        <v>0.16</v>
      </c>
      <c r="I900" s="3">
        <v>0.16669999999999999</v>
      </c>
      <c r="J900">
        <v>0.8</v>
      </c>
      <c r="K900">
        <v>0.16420000000000001</v>
      </c>
      <c r="L900">
        <v>4</v>
      </c>
      <c r="M900">
        <v>42</v>
      </c>
      <c r="N900">
        <v>46</v>
      </c>
    </row>
    <row r="901" spans="1:14" x14ac:dyDescent="0.3">
      <c r="A901">
        <v>900</v>
      </c>
      <c r="B901" s="4">
        <v>40583</v>
      </c>
      <c r="C901" s="5">
        <v>0.95833333333333326</v>
      </c>
      <c r="D901" t="s">
        <v>8</v>
      </c>
      <c r="E901" t="s">
        <v>9</v>
      </c>
      <c r="F901" t="s">
        <v>16</v>
      </c>
      <c r="G901" t="s">
        <v>20</v>
      </c>
      <c r="H901">
        <v>0.16</v>
      </c>
      <c r="I901" s="3">
        <v>0.1515</v>
      </c>
      <c r="J901">
        <v>0.8</v>
      </c>
      <c r="K901">
        <v>0.19400000000000001</v>
      </c>
      <c r="L901">
        <v>0</v>
      </c>
      <c r="M901">
        <v>37</v>
      </c>
      <c r="N901">
        <v>37</v>
      </c>
    </row>
    <row r="902" spans="1:14" x14ac:dyDescent="0.3">
      <c r="A902">
        <v>901</v>
      </c>
      <c r="B902" s="4">
        <v>40584</v>
      </c>
      <c r="C902" s="5">
        <v>0</v>
      </c>
      <c r="D902" t="s">
        <v>8</v>
      </c>
      <c r="E902" t="s">
        <v>9</v>
      </c>
      <c r="F902" t="s">
        <v>17</v>
      </c>
      <c r="G902" t="s">
        <v>20</v>
      </c>
      <c r="H902">
        <v>0.14000000000000001</v>
      </c>
      <c r="I902" s="3">
        <v>0.13639999999999999</v>
      </c>
      <c r="J902">
        <v>0.86</v>
      </c>
      <c r="K902">
        <v>0.19400000000000001</v>
      </c>
      <c r="L902">
        <v>0</v>
      </c>
      <c r="M902">
        <v>16</v>
      </c>
      <c r="N902">
        <v>16</v>
      </c>
    </row>
    <row r="903" spans="1:14" x14ac:dyDescent="0.3">
      <c r="A903">
        <v>902</v>
      </c>
      <c r="B903" s="4">
        <v>40584</v>
      </c>
      <c r="C903" s="5">
        <v>4.1666666666666741E-2</v>
      </c>
      <c r="D903" t="s">
        <v>8</v>
      </c>
      <c r="E903" t="s">
        <v>9</v>
      </c>
      <c r="F903" t="s">
        <v>17</v>
      </c>
      <c r="G903" t="s">
        <v>20</v>
      </c>
      <c r="H903">
        <v>0.14000000000000001</v>
      </c>
      <c r="I903" s="3">
        <v>0.1515</v>
      </c>
      <c r="J903">
        <v>0.8</v>
      </c>
      <c r="K903">
        <v>0.1343</v>
      </c>
      <c r="L903">
        <v>0</v>
      </c>
      <c r="M903">
        <v>7</v>
      </c>
      <c r="N903">
        <v>7</v>
      </c>
    </row>
    <row r="904" spans="1:14" x14ac:dyDescent="0.3">
      <c r="A904">
        <v>903</v>
      </c>
      <c r="B904" s="4">
        <v>40584</v>
      </c>
      <c r="C904" s="5">
        <v>8.3333333333333259E-2</v>
      </c>
      <c r="D904" t="s">
        <v>8</v>
      </c>
      <c r="E904" t="s">
        <v>9</v>
      </c>
      <c r="F904" t="s">
        <v>17</v>
      </c>
      <c r="G904" t="s">
        <v>20</v>
      </c>
      <c r="H904">
        <v>0.14000000000000001</v>
      </c>
      <c r="I904" s="3">
        <v>0.1515</v>
      </c>
      <c r="J904">
        <v>0.8</v>
      </c>
      <c r="K904">
        <v>0.1343</v>
      </c>
      <c r="L904">
        <v>0</v>
      </c>
      <c r="M904">
        <v>3</v>
      </c>
      <c r="N904">
        <v>3</v>
      </c>
    </row>
    <row r="905" spans="1:14" x14ac:dyDescent="0.3">
      <c r="A905">
        <v>904</v>
      </c>
      <c r="B905" s="4">
        <v>40584</v>
      </c>
      <c r="C905" s="5">
        <v>0.16666666666666674</v>
      </c>
      <c r="D905" t="s">
        <v>8</v>
      </c>
      <c r="E905" t="s">
        <v>9</v>
      </c>
      <c r="F905" t="s">
        <v>17</v>
      </c>
      <c r="G905" t="s">
        <v>19</v>
      </c>
      <c r="H905">
        <v>0.14000000000000001</v>
      </c>
      <c r="I905" s="3">
        <v>0.13639999999999999</v>
      </c>
      <c r="J905">
        <v>0.59</v>
      </c>
      <c r="K905">
        <v>0.22389999999999999</v>
      </c>
      <c r="L905">
        <v>0</v>
      </c>
      <c r="M905">
        <v>1</v>
      </c>
      <c r="N905">
        <v>1</v>
      </c>
    </row>
    <row r="906" spans="1:14" x14ac:dyDescent="0.3">
      <c r="A906">
        <v>905</v>
      </c>
      <c r="B906" s="4">
        <v>40584</v>
      </c>
      <c r="C906" s="5">
        <v>0.20833333333333326</v>
      </c>
      <c r="D906" t="s">
        <v>8</v>
      </c>
      <c r="E906" t="s">
        <v>9</v>
      </c>
      <c r="F906" t="s">
        <v>17</v>
      </c>
      <c r="G906" t="s">
        <v>19</v>
      </c>
      <c r="H906">
        <v>0.12</v>
      </c>
      <c r="I906" s="3">
        <v>0.1212</v>
      </c>
      <c r="J906">
        <v>0.5</v>
      </c>
      <c r="K906">
        <v>0.22389999999999999</v>
      </c>
      <c r="L906">
        <v>0</v>
      </c>
      <c r="M906">
        <v>6</v>
      </c>
      <c r="N906">
        <v>6</v>
      </c>
    </row>
    <row r="907" spans="1:14" x14ac:dyDescent="0.3">
      <c r="A907">
        <v>906</v>
      </c>
      <c r="B907" s="4">
        <v>40584</v>
      </c>
      <c r="C907" s="5">
        <v>0.25</v>
      </c>
      <c r="D907" t="s">
        <v>8</v>
      </c>
      <c r="E907" t="s">
        <v>9</v>
      </c>
      <c r="F907" t="s">
        <v>17</v>
      </c>
      <c r="G907" t="s">
        <v>19</v>
      </c>
      <c r="H907">
        <v>0.12</v>
      </c>
      <c r="I907" s="3">
        <v>0.1212</v>
      </c>
      <c r="J907">
        <v>0.54</v>
      </c>
      <c r="K907">
        <v>0.28360000000000002</v>
      </c>
      <c r="L907">
        <v>0</v>
      </c>
      <c r="M907">
        <v>26</v>
      </c>
      <c r="N907">
        <v>26</v>
      </c>
    </row>
    <row r="908" spans="1:14" x14ac:dyDescent="0.3">
      <c r="A908">
        <v>907</v>
      </c>
      <c r="B908" s="4">
        <v>40584</v>
      </c>
      <c r="C908" s="5">
        <v>0.29166666666666674</v>
      </c>
      <c r="D908" t="s">
        <v>8</v>
      </c>
      <c r="E908" t="s">
        <v>9</v>
      </c>
      <c r="F908" t="s">
        <v>17</v>
      </c>
      <c r="G908" t="s">
        <v>18</v>
      </c>
      <c r="H908">
        <v>0.1</v>
      </c>
      <c r="I908" s="3">
        <v>7.5800000000000006E-2</v>
      </c>
      <c r="J908">
        <v>0.5</v>
      </c>
      <c r="K908">
        <v>0.41789999999999999</v>
      </c>
      <c r="L908">
        <v>0</v>
      </c>
      <c r="M908">
        <v>99</v>
      </c>
      <c r="N908">
        <v>99</v>
      </c>
    </row>
    <row r="909" spans="1:14" x14ac:dyDescent="0.3">
      <c r="A909">
        <v>908</v>
      </c>
      <c r="B909" s="4">
        <v>40584</v>
      </c>
      <c r="C909" s="5">
        <v>0.33333333333333326</v>
      </c>
      <c r="D909" t="s">
        <v>8</v>
      </c>
      <c r="E909" t="s">
        <v>9</v>
      </c>
      <c r="F909" t="s">
        <v>17</v>
      </c>
      <c r="G909" t="s">
        <v>18</v>
      </c>
      <c r="H909">
        <v>0.1</v>
      </c>
      <c r="I909" s="3">
        <v>7.5800000000000006E-2</v>
      </c>
      <c r="J909">
        <v>0.49</v>
      </c>
      <c r="K909">
        <v>0.32840000000000003</v>
      </c>
      <c r="L909">
        <v>5</v>
      </c>
      <c r="M909">
        <v>173</v>
      </c>
      <c r="N909">
        <v>178</v>
      </c>
    </row>
    <row r="910" spans="1:14" x14ac:dyDescent="0.3">
      <c r="A910">
        <v>909</v>
      </c>
      <c r="B910" s="4">
        <v>40584</v>
      </c>
      <c r="C910" s="5">
        <v>0.375</v>
      </c>
      <c r="D910" t="s">
        <v>8</v>
      </c>
      <c r="E910" t="s">
        <v>9</v>
      </c>
      <c r="F910" t="s">
        <v>17</v>
      </c>
      <c r="G910" t="s">
        <v>18</v>
      </c>
      <c r="H910">
        <v>0.12</v>
      </c>
      <c r="I910" s="3">
        <v>0.1061</v>
      </c>
      <c r="J910">
        <v>0.42</v>
      </c>
      <c r="K910">
        <v>0.35820000000000002</v>
      </c>
      <c r="L910">
        <v>1</v>
      </c>
      <c r="M910">
        <v>121</v>
      </c>
      <c r="N910">
        <v>122</v>
      </c>
    </row>
    <row r="911" spans="1:14" x14ac:dyDescent="0.3">
      <c r="A911">
        <v>910</v>
      </c>
      <c r="B911" s="4">
        <v>40584</v>
      </c>
      <c r="C911" s="5">
        <v>0.41666666666666674</v>
      </c>
      <c r="D911" t="s">
        <v>8</v>
      </c>
      <c r="E911" t="s">
        <v>9</v>
      </c>
      <c r="F911" t="s">
        <v>17</v>
      </c>
      <c r="G911" t="s">
        <v>18</v>
      </c>
      <c r="H911">
        <v>0.12</v>
      </c>
      <c r="I911" s="3">
        <v>0.1061</v>
      </c>
      <c r="J911">
        <v>0.42</v>
      </c>
      <c r="K911">
        <v>0.29849999999999999</v>
      </c>
      <c r="L911">
        <v>1</v>
      </c>
      <c r="M911">
        <v>34</v>
      </c>
      <c r="N911">
        <v>35</v>
      </c>
    </row>
    <row r="912" spans="1:14" x14ac:dyDescent="0.3">
      <c r="A912">
        <v>911</v>
      </c>
      <c r="B912" s="4">
        <v>40584</v>
      </c>
      <c r="C912" s="5">
        <v>0.45833333333333326</v>
      </c>
      <c r="D912" t="s">
        <v>8</v>
      </c>
      <c r="E912" t="s">
        <v>9</v>
      </c>
      <c r="F912" t="s">
        <v>17</v>
      </c>
      <c r="G912" t="s">
        <v>18</v>
      </c>
      <c r="H912">
        <v>0.14000000000000001</v>
      </c>
      <c r="I912" s="3">
        <v>0.1212</v>
      </c>
      <c r="J912">
        <v>0.39</v>
      </c>
      <c r="K912">
        <v>0.35820000000000002</v>
      </c>
      <c r="L912">
        <v>1</v>
      </c>
      <c r="M912">
        <v>44</v>
      </c>
      <c r="N912">
        <v>45</v>
      </c>
    </row>
    <row r="913" spans="1:14" x14ac:dyDescent="0.3">
      <c r="A913">
        <v>912</v>
      </c>
      <c r="B913" s="4">
        <v>40584</v>
      </c>
      <c r="C913" s="5">
        <v>0.5</v>
      </c>
      <c r="D913" t="s">
        <v>8</v>
      </c>
      <c r="E913" t="s">
        <v>9</v>
      </c>
      <c r="F913" t="s">
        <v>17</v>
      </c>
      <c r="G913" t="s">
        <v>18</v>
      </c>
      <c r="H913">
        <v>0.16</v>
      </c>
      <c r="I913" s="3">
        <v>0.13639999999999999</v>
      </c>
      <c r="J913">
        <v>0.34</v>
      </c>
      <c r="K913">
        <v>0.3881</v>
      </c>
      <c r="L913">
        <v>4</v>
      </c>
      <c r="M913">
        <v>65</v>
      </c>
      <c r="N913">
        <v>69</v>
      </c>
    </row>
    <row r="914" spans="1:14" x14ac:dyDescent="0.3">
      <c r="A914">
        <v>913</v>
      </c>
      <c r="B914" s="4">
        <v>40584</v>
      </c>
      <c r="C914" s="5">
        <v>0.54166666666666674</v>
      </c>
      <c r="D914" t="s">
        <v>8</v>
      </c>
      <c r="E914" t="s">
        <v>9</v>
      </c>
      <c r="F914" t="s">
        <v>17</v>
      </c>
      <c r="G914" t="s">
        <v>18</v>
      </c>
      <c r="H914">
        <v>0.18</v>
      </c>
      <c r="I914" s="3">
        <v>0.16669999999999999</v>
      </c>
      <c r="J914">
        <v>0.28999999999999998</v>
      </c>
      <c r="K914">
        <v>0.29849999999999999</v>
      </c>
      <c r="L914">
        <v>3</v>
      </c>
      <c r="M914">
        <v>59</v>
      </c>
      <c r="N914">
        <v>62</v>
      </c>
    </row>
    <row r="915" spans="1:14" x14ac:dyDescent="0.3">
      <c r="A915">
        <v>914</v>
      </c>
      <c r="B915" s="4">
        <v>40584</v>
      </c>
      <c r="C915" s="5">
        <v>0.58333333333333326</v>
      </c>
      <c r="D915" t="s">
        <v>8</v>
      </c>
      <c r="E915" t="s">
        <v>9</v>
      </c>
      <c r="F915" t="s">
        <v>17</v>
      </c>
      <c r="G915" t="s">
        <v>18</v>
      </c>
      <c r="H915">
        <v>0.2</v>
      </c>
      <c r="I915" s="3">
        <v>0.18179999999999999</v>
      </c>
      <c r="J915">
        <v>0.27</v>
      </c>
      <c r="K915">
        <v>0.28360000000000002</v>
      </c>
      <c r="L915">
        <v>6</v>
      </c>
      <c r="M915">
        <v>42</v>
      </c>
      <c r="N915">
        <v>48</v>
      </c>
    </row>
    <row r="916" spans="1:14" x14ac:dyDescent="0.3">
      <c r="A916">
        <v>915</v>
      </c>
      <c r="B916" s="4">
        <v>40584</v>
      </c>
      <c r="C916" s="5">
        <v>0.625</v>
      </c>
      <c r="D916" t="s">
        <v>8</v>
      </c>
      <c r="E916" t="s">
        <v>9</v>
      </c>
      <c r="F916" t="s">
        <v>17</v>
      </c>
      <c r="G916" t="s">
        <v>18</v>
      </c>
      <c r="H916">
        <v>0.2</v>
      </c>
      <c r="I916" s="3">
        <v>0.19700000000000001</v>
      </c>
      <c r="J916">
        <v>0.25</v>
      </c>
      <c r="K916">
        <v>0.25369999999999998</v>
      </c>
      <c r="L916">
        <v>0</v>
      </c>
      <c r="M916">
        <v>50</v>
      </c>
      <c r="N916">
        <v>50</v>
      </c>
    </row>
    <row r="917" spans="1:14" x14ac:dyDescent="0.3">
      <c r="A917">
        <v>916</v>
      </c>
      <c r="B917" s="4">
        <v>40584</v>
      </c>
      <c r="C917" s="5">
        <v>0.66666666666666674</v>
      </c>
      <c r="D917" t="s">
        <v>8</v>
      </c>
      <c r="E917" t="s">
        <v>9</v>
      </c>
      <c r="F917" t="s">
        <v>17</v>
      </c>
      <c r="G917" t="s">
        <v>18</v>
      </c>
      <c r="H917">
        <v>0.2</v>
      </c>
      <c r="I917" s="3">
        <v>0.18179999999999999</v>
      </c>
      <c r="J917">
        <v>0.27</v>
      </c>
      <c r="K917">
        <v>0.29849999999999999</v>
      </c>
      <c r="L917">
        <v>4</v>
      </c>
      <c r="M917">
        <v>76</v>
      </c>
      <c r="N917">
        <v>80</v>
      </c>
    </row>
    <row r="918" spans="1:14" x14ac:dyDescent="0.3">
      <c r="A918">
        <v>917</v>
      </c>
      <c r="B918" s="4">
        <v>40584</v>
      </c>
      <c r="C918" s="5">
        <v>0.70833333333333326</v>
      </c>
      <c r="D918" t="s">
        <v>8</v>
      </c>
      <c r="E918" t="s">
        <v>9</v>
      </c>
      <c r="F918" t="s">
        <v>17</v>
      </c>
      <c r="G918" t="s">
        <v>18</v>
      </c>
      <c r="H918">
        <v>0.18</v>
      </c>
      <c r="I918" s="3">
        <v>0.18179999999999999</v>
      </c>
      <c r="J918">
        <v>0.26</v>
      </c>
      <c r="K918">
        <v>0.19400000000000001</v>
      </c>
      <c r="L918">
        <v>6</v>
      </c>
      <c r="M918">
        <v>159</v>
      </c>
      <c r="N918">
        <v>165</v>
      </c>
    </row>
    <row r="919" spans="1:14" x14ac:dyDescent="0.3">
      <c r="A919">
        <v>918</v>
      </c>
      <c r="B919" s="4">
        <v>40584</v>
      </c>
      <c r="C919" s="5">
        <v>0.75</v>
      </c>
      <c r="D919" t="s">
        <v>8</v>
      </c>
      <c r="E919" t="s">
        <v>9</v>
      </c>
      <c r="F919" t="s">
        <v>17</v>
      </c>
      <c r="G919" t="s">
        <v>18</v>
      </c>
      <c r="H919">
        <v>0.16</v>
      </c>
      <c r="I919" s="3">
        <v>0.18179999999999999</v>
      </c>
      <c r="J919">
        <v>0.28000000000000003</v>
      </c>
      <c r="K919">
        <v>0.1343</v>
      </c>
      <c r="L919">
        <v>3</v>
      </c>
      <c r="M919">
        <v>157</v>
      </c>
      <c r="N919">
        <v>160</v>
      </c>
    </row>
    <row r="920" spans="1:14" x14ac:dyDescent="0.3">
      <c r="A920">
        <v>919</v>
      </c>
      <c r="B920" s="4">
        <v>40584</v>
      </c>
      <c r="C920" s="5">
        <v>0.79166666666666674</v>
      </c>
      <c r="D920" t="s">
        <v>8</v>
      </c>
      <c r="E920" t="s">
        <v>9</v>
      </c>
      <c r="F920" t="s">
        <v>17</v>
      </c>
      <c r="G920" t="s">
        <v>18</v>
      </c>
      <c r="H920">
        <v>0.14000000000000001</v>
      </c>
      <c r="I920" s="3">
        <v>0.16669999999999999</v>
      </c>
      <c r="J920">
        <v>0.28000000000000003</v>
      </c>
      <c r="K920">
        <v>0.1045</v>
      </c>
      <c r="L920">
        <v>2</v>
      </c>
      <c r="M920">
        <v>110</v>
      </c>
      <c r="N920">
        <v>112</v>
      </c>
    </row>
    <row r="921" spans="1:14" x14ac:dyDescent="0.3">
      <c r="A921">
        <v>920</v>
      </c>
      <c r="B921" s="4">
        <v>40584</v>
      </c>
      <c r="C921" s="5">
        <v>0.83333333333333326</v>
      </c>
      <c r="D921" t="s">
        <v>8</v>
      </c>
      <c r="E921" t="s">
        <v>9</v>
      </c>
      <c r="F921" t="s">
        <v>17</v>
      </c>
      <c r="G921" t="s">
        <v>18</v>
      </c>
      <c r="H921">
        <v>0.14000000000000001</v>
      </c>
      <c r="I921" s="3">
        <v>0.18179999999999999</v>
      </c>
      <c r="J921">
        <v>0.31</v>
      </c>
      <c r="K921">
        <v>8.9599999999999999E-2</v>
      </c>
      <c r="L921">
        <v>4</v>
      </c>
      <c r="M921">
        <v>93</v>
      </c>
      <c r="N921">
        <v>97</v>
      </c>
    </row>
    <row r="922" spans="1:14" x14ac:dyDescent="0.3">
      <c r="A922">
        <v>921</v>
      </c>
      <c r="B922" s="4">
        <v>40584</v>
      </c>
      <c r="C922" s="5">
        <v>0.875</v>
      </c>
      <c r="D922" t="s">
        <v>8</v>
      </c>
      <c r="E922" t="s">
        <v>9</v>
      </c>
      <c r="F922" t="s">
        <v>17</v>
      </c>
      <c r="G922" t="s">
        <v>18</v>
      </c>
      <c r="H922">
        <v>0.14000000000000001</v>
      </c>
      <c r="I922" s="3">
        <v>0.21210000000000001</v>
      </c>
      <c r="J922">
        <v>0.39</v>
      </c>
      <c r="K922">
        <v>0</v>
      </c>
      <c r="L922">
        <v>2</v>
      </c>
      <c r="M922">
        <v>70</v>
      </c>
      <c r="N922">
        <v>72</v>
      </c>
    </row>
    <row r="923" spans="1:14" x14ac:dyDescent="0.3">
      <c r="A923">
        <v>922</v>
      </c>
      <c r="B923" s="4">
        <v>40584</v>
      </c>
      <c r="C923" s="5">
        <v>0.91666666666666674</v>
      </c>
      <c r="D923" t="s">
        <v>8</v>
      </c>
      <c r="E923" t="s">
        <v>9</v>
      </c>
      <c r="F923" t="s">
        <v>17</v>
      </c>
      <c r="G923" t="s">
        <v>18</v>
      </c>
      <c r="H923">
        <v>0.12</v>
      </c>
      <c r="I923" s="3">
        <v>0.19700000000000001</v>
      </c>
      <c r="J923">
        <v>0.39</v>
      </c>
      <c r="K923">
        <v>0</v>
      </c>
      <c r="L923">
        <v>4</v>
      </c>
      <c r="M923">
        <v>47</v>
      </c>
      <c r="N923">
        <v>51</v>
      </c>
    </row>
    <row r="924" spans="1:14" x14ac:dyDescent="0.3">
      <c r="A924">
        <v>923</v>
      </c>
      <c r="B924" s="4">
        <v>40584</v>
      </c>
      <c r="C924" s="5">
        <v>0.95833333333333326</v>
      </c>
      <c r="D924" t="s">
        <v>8</v>
      </c>
      <c r="E924" t="s">
        <v>9</v>
      </c>
      <c r="F924" t="s">
        <v>17</v>
      </c>
      <c r="G924" t="s">
        <v>18</v>
      </c>
      <c r="H924">
        <v>0.12</v>
      </c>
      <c r="I924" s="3">
        <v>0.1515</v>
      </c>
      <c r="J924">
        <v>0.42</v>
      </c>
      <c r="K924">
        <v>0.1045</v>
      </c>
      <c r="L924">
        <v>1</v>
      </c>
      <c r="M924">
        <v>33</v>
      </c>
      <c r="N924">
        <v>34</v>
      </c>
    </row>
    <row r="925" spans="1:14" x14ac:dyDescent="0.3">
      <c r="A925">
        <v>924</v>
      </c>
      <c r="B925" s="4">
        <v>40585</v>
      </c>
      <c r="C925" s="5">
        <v>0</v>
      </c>
      <c r="D925" t="s">
        <v>8</v>
      </c>
      <c r="E925" t="s">
        <v>9</v>
      </c>
      <c r="F925" t="s">
        <v>11</v>
      </c>
      <c r="G925" t="s">
        <v>18</v>
      </c>
      <c r="H925">
        <v>0.1</v>
      </c>
      <c r="I925" s="3">
        <v>0.13639999999999999</v>
      </c>
      <c r="J925">
        <v>0.49</v>
      </c>
      <c r="K925">
        <v>0.1045</v>
      </c>
      <c r="L925">
        <v>2</v>
      </c>
      <c r="M925">
        <v>12</v>
      </c>
      <c r="N925">
        <v>14</v>
      </c>
    </row>
    <row r="926" spans="1:14" x14ac:dyDescent="0.3">
      <c r="A926">
        <v>925</v>
      </c>
      <c r="B926" s="4">
        <v>40585</v>
      </c>
      <c r="C926" s="5">
        <v>4.1666666666666741E-2</v>
      </c>
      <c r="D926" t="s">
        <v>8</v>
      </c>
      <c r="E926" t="s">
        <v>9</v>
      </c>
      <c r="F926" t="s">
        <v>11</v>
      </c>
      <c r="G926" t="s">
        <v>18</v>
      </c>
      <c r="H926">
        <v>0.1</v>
      </c>
      <c r="I926" s="3">
        <v>0.13639999999999999</v>
      </c>
      <c r="J926">
        <v>0.54</v>
      </c>
      <c r="K926">
        <v>8.9599999999999999E-2</v>
      </c>
      <c r="L926">
        <v>1</v>
      </c>
      <c r="M926">
        <v>6</v>
      </c>
      <c r="N926">
        <v>7</v>
      </c>
    </row>
    <row r="927" spans="1:14" x14ac:dyDescent="0.3">
      <c r="A927">
        <v>926</v>
      </c>
      <c r="B927" s="4">
        <v>40585</v>
      </c>
      <c r="C927" s="5">
        <v>8.3333333333333259E-2</v>
      </c>
      <c r="D927" t="s">
        <v>8</v>
      </c>
      <c r="E927" t="s">
        <v>9</v>
      </c>
      <c r="F927" t="s">
        <v>11</v>
      </c>
      <c r="G927" t="s">
        <v>18</v>
      </c>
      <c r="H927">
        <v>0.1</v>
      </c>
      <c r="I927" s="3">
        <v>0.13639999999999999</v>
      </c>
      <c r="J927">
        <v>0.54</v>
      </c>
      <c r="K927">
        <v>8.9599999999999999E-2</v>
      </c>
      <c r="L927">
        <v>0</v>
      </c>
      <c r="M927">
        <v>3</v>
      </c>
      <c r="N927">
        <v>3</v>
      </c>
    </row>
    <row r="928" spans="1:14" x14ac:dyDescent="0.3">
      <c r="A928">
        <v>927</v>
      </c>
      <c r="B928" s="4">
        <v>40585</v>
      </c>
      <c r="C928" s="5">
        <v>0.20833333333333326</v>
      </c>
      <c r="D928" t="s">
        <v>8</v>
      </c>
      <c r="E928" t="s">
        <v>9</v>
      </c>
      <c r="F928" t="s">
        <v>11</v>
      </c>
      <c r="G928" t="s">
        <v>18</v>
      </c>
      <c r="H928">
        <v>0.08</v>
      </c>
      <c r="I928" s="3">
        <v>0.1212</v>
      </c>
      <c r="J928">
        <v>0.63</v>
      </c>
      <c r="K928">
        <v>8.9599999999999999E-2</v>
      </c>
      <c r="L928">
        <v>0</v>
      </c>
      <c r="M928">
        <v>4</v>
      </c>
      <c r="N928">
        <v>4</v>
      </c>
    </row>
    <row r="929" spans="1:14" x14ac:dyDescent="0.3">
      <c r="A929">
        <v>928</v>
      </c>
      <c r="B929" s="4">
        <v>40585</v>
      </c>
      <c r="C929" s="5">
        <v>0.25</v>
      </c>
      <c r="D929" t="s">
        <v>8</v>
      </c>
      <c r="E929" t="s">
        <v>9</v>
      </c>
      <c r="F929" t="s">
        <v>11</v>
      </c>
      <c r="G929" t="s">
        <v>18</v>
      </c>
      <c r="H929">
        <v>0.1</v>
      </c>
      <c r="I929" s="3">
        <v>0.18179999999999999</v>
      </c>
      <c r="J929">
        <v>0.68</v>
      </c>
      <c r="K929">
        <v>0</v>
      </c>
      <c r="L929">
        <v>1</v>
      </c>
      <c r="M929">
        <v>23</v>
      </c>
      <c r="N929">
        <v>24</v>
      </c>
    </row>
    <row r="930" spans="1:14" x14ac:dyDescent="0.3">
      <c r="A930">
        <v>929</v>
      </c>
      <c r="B930" s="4">
        <v>40585</v>
      </c>
      <c r="C930" s="5">
        <v>0.29166666666666674</v>
      </c>
      <c r="D930" t="s">
        <v>8</v>
      </c>
      <c r="E930" t="s">
        <v>9</v>
      </c>
      <c r="F930" t="s">
        <v>11</v>
      </c>
      <c r="G930" t="s">
        <v>18</v>
      </c>
      <c r="H930">
        <v>0.08</v>
      </c>
      <c r="I930" s="3">
        <v>0.16669999999999999</v>
      </c>
      <c r="J930">
        <v>0.73</v>
      </c>
      <c r="K930">
        <v>0</v>
      </c>
      <c r="L930">
        <v>1</v>
      </c>
      <c r="M930">
        <v>73</v>
      </c>
      <c r="N930">
        <v>74</v>
      </c>
    </row>
    <row r="931" spans="1:14" x14ac:dyDescent="0.3">
      <c r="A931">
        <v>930</v>
      </c>
      <c r="B931" s="4">
        <v>40585</v>
      </c>
      <c r="C931" s="5">
        <v>0.33333333333333326</v>
      </c>
      <c r="D931" t="s">
        <v>8</v>
      </c>
      <c r="E931" t="s">
        <v>9</v>
      </c>
      <c r="F931" t="s">
        <v>11</v>
      </c>
      <c r="G931" t="s">
        <v>18</v>
      </c>
      <c r="H931">
        <v>0.1</v>
      </c>
      <c r="I931" s="3">
        <v>0.1212</v>
      </c>
      <c r="J931">
        <v>0.74</v>
      </c>
      <c r="K931">
        <v>0.16420000000000001</v>
      </c>
      <c r="L931">
        <v>4</v>
      </c>
      <c r="M931">
        <v>212</v>
      </c>
      <c r="N931">
        <v>216</v>
      </c>
    </row>
    <row r="932" spans="1:14" x14ac:dyDescent="0.3">
      <c r="A932">
        <v>931</v>
      </c>
      <c r="B932" s="4">
        <v>40585</v>
      </c>
      <c r="C932" s="5">
        <v>0.375</v>
      </c>
      <c r="D932" t="s">
        <v>8</v>
      </c>
      <c r="E932" t="s">
        <v>9</v>
      </c>
      <c r="F932" t="s">
        <v>11</v>
      </c>
      <c r="G932" t="s">
        <v>18</v>
      </c>
      <c r="H932">
        <v>0.12</v>
      </c>
      <c r="I932" s="3">
        <v>0.1212</v>
      </c>
      <c r="J932">
        <v>0.74</v>
      </c>
      <c r="K932">
        <v>0.22389999999999999</v>
      </c>
      <c r="L932">
        <v>8</v>
      </c>
      <c r="M932">
        <v>132</v>
      </c>
      <c r="N932">
        <v>140</v>
      </c>
    </row>
    <row r="933" spans="1:14" x14ac:dyDescent="0.3">
      <c r="A933">
        <v>932</v>
      </c>
      <c r="B933" s="4">
        <v>40585</v>
      </c>
      <c r="C933" s="5">
        <v>0.41666666666666674</v>
      </c>
      <c r="D933" t="s">
        <v>8</v>
      </c>
      <c r="E933" t="s">
        <v>9</v>
      </c>
      <c r="F933" t="s">
        <v>11</v>
      </c>
      <c r="G933" t="s">
        <v>18</v>
      </c>
      <c r="H933">
        <v>0.14000000000000001</v>
      </c>
      <c r="I933" s="3">
        <v>0.13639999999999999</v>
      </c>
      <c r="J933">
        <v>0.69</v>
      </c>
      <c r="K933">
        <v>0.19400000000000001</v>
      </c>
      <c r="L933">
        <v>5</v>
      </c>
      <c r="M933">
        <v>39</v>
      </c>
      <c r="N933">
        <v>44</v>
      </c>
    </row>
    <row r="934" spans="1:14" x14ac:dyDescent="0.3">
      <c r="A934">
        <v>933</v>
      </c>
      <c r="B934" s="4">
        <v>40585</v>
      </c>
      <c r="C934" s="5">
        <v>0.45833333333333326</v>
      </c>
      <c r="D934" t="s">
        <v>8</v>
      </c>
      <c r="E934" t="s">
        <v>9</v>
      </c>
      <c r="F934" t="s">
        <v>11</v>
      </c>
      <c r="G934" t="s">
        <v>18</v>
      </c>
      <c r="H934">
        <v>0.22</v>
      </c>
      <c r="I934" s="3">
        <v>0.2273</v>
      </c>
      <c r="J934">
        <v>0.47</v>
      </c>
      <c r="K934">
        <v>0.1343</v>
      </c>
      <c r="L934">
        <v>12</v>
      </c>
      <c r="M934">
        <v>52</v>
      </c>
      <c r="N934">
        <v>64</v>
      </c>
    </row>
    <row r="935" spans="1:14" x14ac:dyDescent="0.3">
      <c r="A935">
        <v>934</v>
      </c>
      <c r="B935" s="4">
        <v>40585</v>
      </c>
      <c r="C935" s="5">
        <v>0.5</v>
      </c>
      <c r="D935" t="s">
        <v>8</v>
      </c>
      <c r="E935" t="s">
        <v>9</v>
      </c>
      <c r="F935" t="s">
        <v>11</v>
      </c>
      <c r="G935" t="s">
        <v>18</v>
      </c>
      <c r="H935">
        <v>0.22</v>
      </c>
      <c r="I935" s="3">
        <v>0.2273</v>
      </c>
      <c r="J935">
        <v>0.47</v>
      </c>
      <c r="K935">
        <v>0.1343</v>
      </c>
      <c r="L935">
        <v>7</v>
      </c>
      <c r="M935">
        <v>64</v>
      </c>
      <c r="N935">
        <v>71</v>
      </c>
    </row>
    <row r="936" spans="1:14" x14ac:dyDescent="0.3">
      <c r="A936">
        <v>935</v>
      </c>
      <c r="B936" s="4">
        <v>40585</v>
      </c>
      <c r="C936" s="5">
        <v>0.54166666666666674</v>
      </c>
      <c r="D936" t="s">
        <v>8</v>
      </c>
      <c r="E936" t="s">
        <v>9</v>
      </c>
      <c r="F936" t="s">
        <v>11</v>
      </c>
      <c r="G936" t="s">
        <v>18</v>
      </c>
      <c r="H936">
        <v>0.24</v>
      </c>
      <c r="I936" s="3">
        <v>0.2273</v>
      </c>
      <c r="J936">
        <v>0.35</v>
      </c>
      <c r="K936">
        <v>0.19400000000000001</v>
      </c>
      <c r="L936">
        <v>21</v>
      </c>
      <c r="M936">
        <v>89</v>
      </c>
      <c r="N936">
        <v>110</v>
      </c>
    </row>
    <row r="937" spans="1:14" x14ac:dyDescent="0.3">
      <c r="A937">
        <v>936</v>
      </c>
      <c r="B937" s="4">
        <v>40585</v>
      </c>
      <c r="C937" s="5">
        <v>0.58333333333333326</v>
      </c>
      <c r="D937" t="s">
        <v>8</v>
      </c>
      <c r="E937" t="s">
        <v>9</v>
      </c>
      <c r="F937" t="s">
        <v>11</v>
      </c>
      <c r="G937" t="s">
        <v>18</v>
      </c>
      <c r="H937">
        <v>0.3</v>
      </c>
      <c r="I937" s="3">
        <v>0.28789999999999999</v>
      </c>
      <c r="J937">
        <v>0.26</v>
      </c>
      <c r="K937">
        <v>0.25369999999999998</v>
      </c>
      <c r="L937">
        <v>17</v>
      </c>
      <c r="M937">
        <v>67</v>
      </c>
      <c r="N937">
        <v>84</v>
      </c>
    </row>
    <row r="938" spans="1:14" x14ac:dyDescent="0.3">
      <c r="A938">
        <v>937</v>
      </c>
      <c r="B938" s="4">
        <v>40585</v>
      </c>
      <c r="C938" s="5">
        <v>0.625</v>
      </c>
      <c r="D938" t="s">
        <v>8</v>
      </c>
      <c r="E938" t="s">
        <v>9</v>
      </c>
      <c r="F938" t="s">
        <v>11</v>
      </c>
      <c r="G938" t="s">
        <v>18</v>
      </c>
      <c r="H938">
        <v>0.32</v>
      </c>
      <c r="I938" s="3">
        <v>0.31819999999999998</v>
      </c>
      <c r="J938">
        <v>0.21</v>
      </c>
      <c r="K938">
        <v>0.16420000000000001</v>
      </c>
      <c r="L938">
        <v>12</v>
      </c>
      <c r="M938">
        <v>62</v>
      </c>
      <c r="N938">
        <v>74</v>
      </c>
    </row>
    <row r="939" spans="1:14" x14ac:dyDescent="0.3">
      <c r="A939">
        <v>938</v>
      </c>
      <c r="B939" s="4">
        <v>40585</v>
      </c>
      <c r="C939" s="5">
        <v>0.66666666666666674</v>
      </c>
      <c r="D939" t="s">
        <v>8</v>
      </c>
      <c r="E939" t="s">
        <v>9</v>
      </c>
      <c r="F939" t="s">
        <v>11</v>
      </c>
      <c r="G939" t="s">
        <v>18</v>
      </c>
      <c r="H939">
        <v>0.3</v>
      </c>
      <c r="I939" s="3">
        <v>0.28789999999999999</v>
      </c>
      <c r="J939">
        <v>0.28000000000000003</v>
      </c>
      <c r="K939">
        <v>0.19400000000000001</v>
      </c>
      <c r="L939">
        <v>14</v>
      </c>
      <c r="M939">
        <v>111</v>
      </c>
      <c r="N939">
        <v>125</v>
      </c>
    </row>
    <row r="940" spans="1:14" x14ac:dyDescent="0.3">
      <c r="A940">
        <v>939</v>
      </c>
      <c r="B940" s="4">
        <v>40585</v>
      </c>
      <c r="C940" s="5">
        <v>0.70833333333333326</v>
      </c>
      <c r="D940" t="s">
        <v>8</v>
      </c>
      <c r="E940" t="s">
        <v>9</v>
      </c>
      <c r="F940" t="s">
        <v>11</v>
      </c>
      <c r="G940" t="s">
        <v>18</v>
      </c>
      <c r="H940">
        <v>0.3</v>
      </c>
      <c r="I940" s="3">
        <v>0.33329999999999999</v>
      </c>
      <c r="J940">
        <v>0.24</v>
      </c>
      <c r="K940">
        <v>0</v>
      </c>
      <c r="L940">
        <v>18</v>
      </c>
      <c r="M940">
        <v>193</v>
      </c>
      <c r="N940">
        <v>211</v>
      </c>
    </row>
    <row r="941" spans="1:14" x14ac:dyDescent="0.3">
      <c r="A941">
        <v>940</v>
      </c>
      <c r="B941" s="4">
        <v>40585</v>
      </c>
      <c r="C941" s="5">
        <v>0.75</v>
      </c>
      <c r="D941" t="s">
        <v>8</v>
      </c>
      <c r="E941" t="s">
        <v>9</v>
      </c>
      <c r="F941" t="s">
        <v>11</v>
      </c>
      <c r="G941" t="s">
        <v>18</v>
      </c>
      <c r="H941">
        <v>0.28000000000000003</v>
      </c>
      <c r="I941" s="3">
        <v>0.31819999999999998</v>
      </c>
      <c r="J941">
        <v>0.28000000000000003</v>
      </c>
      <c r="K941">
        <v>0</v>
      </c>
      <c r="L941">
        <v>9</v>
      </c>
      <c r="M941">
        <v>165</v>
      </c>
      <c r="N941">
        <v>174</v>
      </c>
    </row>
    <row r="942" spans="1:14" x14ac:dyDescent="0.3">
      <c r="A942">
        <v>941</v>
      </c>
      <c r="B942" s="4">
        <v>40585</v>
      </c>
      <c r="C942" s="5">
        <v>0.79166666666666674</v>
      </c>
      <c r="D942" t="s">
        <v>8</v>
      </c>
      <c r="E942" t="s">
        <v>9</v>
      </c>
      <c r="F942" t="s">
        <v>11</v>
      </c>
      <c r="G942" t="s">
        <v>18</v>
      </c>
      <c r="H942">
        <v>0.26</v>
      </c>
      <c r="I942" s="3">
        <v>0.30299999999999999</v>
      </c>
      <c r="J942">
        <v>0.33</v>
      </c>
      <c r="K942">
        <v>0</v>
      </c>
      <c r="L942">
        <v>7</v>
      </c>
      <c r="M942">
        <v>94</v>
      </c>
      <c r="N942">
        <v>101</v>
      </c>
    </row>
    <row r="943" spans="1:14" x14ac:dyDescent="0.3">
      <c r="A943">
        <v>942</v>
      </c>
      <c r="B943" s="4">
        <v>40585</v>
      </c>
      <c r="C943" s="5">
        <v>0.83333333333333326</v>
      </c>
      <c r="D943" t="s">
        <v>8</v>
      </c>
      <c r="E943" t="s">
        <v>9</v>
      </c>
      <c r="F943" t="s">
        <v>11</v>
      </c>
      <c r="G943" t="s">
        <v>18</v>
      </c>
      <c r="H943">
        <v>0.22</v>
      </c>
      <c r="I943" s="3">
        <v>0.2273</v>
      </c>
      <c r="J943">
        <v>0.55000000000000004</v>
      </c>
      <c r="K943">
        <v>0.1343</v>
      </c>
      <c r="L943">
        <v>2</v>
      </c>
      <c r="M943">
        <v>61</v>
      </c>
      <c r="N943">
        <v>63</v>
      </c>
    </row>
    <row r="944" spans="1:14" x14ac:dyDescent="0.3">
      <c r="A944">
        <v>943</v>
      </c>
      <c r="B944" s="4">
        <v>40585</v>
      </c>
      <c r="C944" s="5">
        <v>0.875</v>
      </c>
      <c r="D944" t="s">
        <v>8</v>
      </c>
      <c r="E944" t="s">
        <v>9</v>
      </c>
      <c r="F944" t="s">
        <v>11</v>
      </c>
      <c r="G944" t="s">
        <v>18</v>
      </c>
      <c r="H944">
        <v>0.2</v>
      </c>
      <c r="I944" s="3">
        <v>0.21210000000000001</v>
      </c>
      <c r="J944">
        <v>0.59</v>
      </c>
      <c r="K944">
        <v>0.1343</v>
      </c>
      <c r="L944">
        <v>1</v>
      </c>
      <c r="M944">
        <v>46</v>
      </c>
      <c r="N944">
        <v>47</v>
      </c>
    </row>
    <row r="945" spans="1:14" x14ac:dyDescent="0.3">
      <c r="A945">
        <v>944</v>
      </c>
      <c r="B945" s="4">
        <v>40585</v>
      </c>
      <c r="C945" s="5">
        <v>0.91666666666666674</v>
      </c>
      <c r="D945" t="s">
        <v>8</v>
      </c>
      <c r="E945" t="s">
        <v>9</v>
      </c>
      <c r="F945" t="s">
        <v>11</v>
      </c>
      <c r="G945" t="s">
        <v>18</v>
      </c>
      <c r="H945">
        <v>0.2</v>
      </c>
      <c r="I945" s="3">
        <v>0.2273</v>
      </c>
      <c r="J945">
        <v>0.64</v>
      </c>
      <c r="K945">
        <v>8.9599999999999999E-2</v>
      </c>
      <c r="L945">
        <v>2</v>
      </c>
      <c r="M945">
        <v>41</v>
      </c>
      <c r="N945">
        <v>43</v>
      </c>
    </row>
    <row r="946" spans="1:14" x14ac:dyDescent="0.3">
      <c r="A946">
        <v>945</v>
      </c>
      <c r="B946" s="4">
        <v>40585</v>
      </c>
      <c r="C946" s="5">
        <v>0.95833333333333326</v>
      </c>
      <c r="D946" t="s">
        <v>8</v>
      </c>
      <c r="E946" t="s">
        <v>9</v>
      </c>
      <c r="F946" t="s">
        <v>11</v>
      </c>
      <c r="G946" t="s">
        <v>18</v>
      </c>
      <c r="H946">
        <v>0.18</v>
      </c>
      <c r="I946" s="3">
        <v>0.2424</v>
      </c>
      <c r="J946">
        <v>0.69</v>
      </c>
      <c r="K946">
        <v>0</v>
      </c>
      <c r="L946">
        <v>5</v>
      </c>
      <c r="M946">
        <v>48</v>
      </c>
      <c r="N946">
        <v>53</v>
      </c>
    </row>
    <row r="947" spans="1:14" x14ac:dyDescent="0.3">
      <c r="A947">
        <v>946</v>
      </c>
      <c r="B947" s="4">
        <v>40586</v>
      </c>
      <c r="C947" s="5">
        <v>0</v>
      </c>
      <c r="D947" t="s">
        <v>8</v>
      </c>
      <c r="E947" t="s">
        <v>9</v>
      </c>
      <c r="F947" t="s">
        <v>12</v>
      </c>
      <c r="G947" t="s">
        <v>18</v>
      </c>
      <c r="H947">
        <v>0.16</v>
      </c>
      <c r="I947" s="3">
        <v>0.19700000000000001</v>
      </c>
      <c r="J947">
        <v>0.69</v>
      </c>
      <c r="K947">
        <v>8.9599999999999999E-2</v>
      </c>
      <c r="L947">
        <v>3</v>
      </c>
      <c r="M947">
        <v>27</v>
      </c>
      <c r="N947">
        <v>30</v>
      </c>
    </row>
    <row r="948" spans="1:14" x14ac:dyDescent="0.3">
      <c r="A948">
        <v>947</v>
      </c>
      <c r="B948" s="4">
        <v>40586</v>
      </c>
      <c r="C948" s="5">
        <v>4.1666666666666741E-2</v>
      </c>
      <c r="D948" t="s">
        <v>8</v>
      </c>
      <c r="E948" t="s">
        <v>9</v>
      </c>
      <c r="F948" t="s">
        <v>12</v>
      </c>
      <c r="G948" t="s">
        <v>18</v>
      </c>
      <c r="H948">
        <v>0.14000000000000001</v>
      </c>
      <c r="I948" s="3">
        <v>0.21210000000000001</v>
      </c>
      <c r="J948">
        <v>0.86</v>
      </c>
      <c r="K948">
        <v>0</v>
      </c>
      <c r="L948">
        <v>2</v>
      </c>
      <c r="M948">
        <v>22</v>
      </c>
      <c r="N948">
        <v>24</v>
      </c>
    </row>
    <row r="949" spans="1:14" x14ac:dyDescent="0.3">
      <c r="A949">
        <v>948</v>
      </c>
      <c r="B949" s="4">
        <v>40586</v>
      </c>
      <c r="C949" s="5">
        <v>8.3333333333333259E-2</v>
      </c>
      <c r="D949" t="s">
        <v>8</v>
      </c>
      <c r="E949" t="s">
        <v>9</v>
      </c>
      <c r="F949" t="s">
        <v>12</v>
      </c>
      <c r="G949" t="s">
        <v>18</v>
      </c>
      <c r="H949">
        <v>0.14000000000000001</v>
      </c>
      <c r="I949" s="3">
        <v>0.21210000000000001</v>
      </c>
      <c r="J949">
        <v>0.8</v>
      </c>
      <c r="K949">
        <v>0</v>
      </c>
      <c r="L949">
        <v>2</v>
      </c>
      <c r="M949">
        <v>13</v>
      </c>
      <c r="N949">
        <v>15</v>
      </c>
    </row>
    <row r="950" spans="1:14" x14ac:dyDescent="0.3">
      <c r="A950">
        <v>949</v>
      </c>
      <c r="B950" s="4">
        <v>40586</v>
      </c>
      <c r="C950" s="5">
        <v>0.125</v>
      </c>
      <c r="D950" t="s">
        <v>8</v>
      </c>
      <c r="E950" t="s">
        <v>9</v>
      </c>
      <c r="F950" t="s">
        <v>12</v>
      </c>
      <c r="G950" t="s">
        <v>18</v>
      </c>
      <c r="H950">
        <v>0.12</v>
      </c>
      <c r="I950" s="3">
        <v>0.19700000000000001</v>
      </c>
      <c r="J950">
        <v>0.8</v>
      </c>
      <c r="K950">
        <v>0</v>
      </c>
      <c r="L950">
        <v>3</v>
      </c>
      <c r="M950">
        <v>7</v>
      </c>
      <c r="N950">
        <v>10</v>
      </c>
    </row>
    <row r="951" spans="1:14" x14ac:dyDescent="0.3">
      <c r="A951">
        <v>950</v>
      </c>
      <c r="B951" s="4">
        <v>40586</v>
      </c>
      <c r="C951" s="5">
        <v>0.16666666666666674</v>
      </c>
      <c r="D951" t="s">
        <v>8</v>
      </c>
      <c r="E951" t="s">
        <v>9</v>
      </c>
      <c r="F951" t="s">
        <v>12</v>
      </c>
      <c r="G951" t="s">
        <v>18</v>
      </c>
      <c r="H951">
        <v>0.12</v>
      </c>
      <c r="I951" s="3">
        <v>0.16669999999999999</v>
      </c>
      <c r="J951">
        <v>0.74</v>
      </c>
      <c r="K951">
        <v>8.9599999999999999E-2</v>
      </c>
      <c r="L951">
        <v>0</v>
      </c>
      <c r="M951">
        <v>4</v>
      </c>
      <c r="N951">
        <v>4</v>
      </c>
    </row>
    <row r="952" spans="1:14" x14ac:dyDescent="0.3">
      <c r="A952">
        <v>951</v>
      </c>
      <c r="B952" s="4">
        <v>40586</v>
      </c>
      <c r="C952" s="5">
        <v>0.20833333333333326</v>
      </c>
      <c r="D952" t="s">
        <v>8</v>
      </c>
      <c r="E952" t="s">
        <v>9</v>
      </c>
      <c r="F952" t="s">
        <v>12</v>
      </c>
      <c r="G952" t="s">
        <v>18</v>
      </c>
      <c r="H952">
        <v>0.12</v>
      </c>
      <c r="I952" s="3">
        <v>0.16669999999999999</v>
      </c>
      <c r="J952">
        <v>0.74</v>
      </c>
      <c r="K952">
        <v>8.9599999999999999E-2</v>
      </c>
      <c r="L952">
        <v>0</v>
      </c>
      <c r="M952">
        <v>1</v>
      </c>
      <c r="N952">
        <v>1</v>
      </c>
    </row>
    <row r="953" spans="1:14" x14ac:dyDescent="0.3">
      <c r="A953">
        <v>952</v>
      </c>
      <c r="B953" s="4">
        <v>40586</v>
      </c>
      <c r="C953" s="5">
        <v>0.25</v>
      </c>
      <c r="D953" t="s">
        <v>8</v>
      </c>
      <c r="E953" t="s">
        <v>9</v>
      </c>
      <c r="F953" t="s">
        <v>12</v>
      </c>
      <c r="G953" t="s">
        <v>18</v>
      </c>
      <c r="H953">
        <v>0.12</v>
      </c>
      <c r="I953" s="3">
        <v>0.13639999999999999</v>
      </c>
      <c r="J953">
        <v>0.93</v>
      </c>
      <c r="K953">
        <v>0.19400000000000001</v>
      </c>
      <c r="L953">
        <v>1</v>
      </c>
      <c r="M953">
        <v>1</v>
      </c>
      <c r="N953">
        <v>2</v>
      </c>
    </row>
    <row r="954" spans="1:14" x14ac:dyDescent="0.3">
      <c r="A954">
        <v>953</v>
      </c>
      <c r="B954" s="4">
        <v>40586</v>
      </c>
      <c r="C954" s="5">
        <v>0.29166666666666674</v>
      </c>
      <c r="D954" t="s">
        <v>8</v>
      </c>
      <c r="E954" t="s">
        <v>9</v>
      </c>
      <c r="F954" t="s">
        <v>12</v>
      </c>
      <c r="G954" t="s">
        <v>18</v>
      </c>
      <c r="H954">
        <v>0.12</v>
      </c>
      <c r="I954" s="3">
        <v>0.1515</v>
      </c>
      <c r="J954">
        <v>0.8</v>
      </c>
      <c r="K954">
        <v>0.1045</v>
      </c>
      <c r="L954">
        <v>2</v>
      </c>
      <c r="M954">
        <v>9</v>
      </c>
      <c r="N954">
        <v>11</v>
      </c>
    </row>
    <row r="955" spans="1:14" x14ac:dyDescent="0.3">
      <c r="A955">
        <v>954</v>
      </c>
      <c r="B955" s="4">
        <v>40586</v>
      </c>
      <c r="C955" s="5">
        <v>0.33333333333333326</v>
      </c>
      <c r="D955" t="s">
        <v>8</v>
      </c>
      <c r="E955" t="s">
        <v>9</v>
      </c>
      <c r="F955" t="s">
        <v>12</v>
      </c>
      <c r="G955" t="s">
        <v>18</v>
      </c>
      <c r="H955">
        <v>0.14000000000000001</v>
      </c>
      <c r="I955" s="3">
        <v>0.1515</v>
      </c>
      <c r="J955">
        <v>0.86</v>
      </c>
      <c r="K955">
        <v>0.1343</v>
      </c>
      <c r="L955">
        <v>2</v>
      </c>
      <c r="M955">
        <v>28</v>
      </c>
      <c r="N955">
        <v>30</v>
      </c>
    </row>
    <row r="956" spans="1:14" x14ac:dyDescent="0.3">
      <c r="A956">
        <v>955</v>
      </c>
      <c r="B956" s="4">
        <v>40586</v>
      </c>
      <c r="C956" s="5">
        <v>0.375</v>
      </c>
      <c r="D956" t="s">
        <v>8</v>
      </c>
      <c r="E956" t="s">
        <v>9</v>
      </c>
      <c r="F956" t="s">
        <v>12</v>
      </c>
      <c r="G956" t="s">
        <v>18</v>
      </c>
      <c r="H956">
        <v>0.16</v>
      </c>
      <c r="I956" s="3">
        <v>0.18179999999999999</v>
      </c>
      <c r="J956">
        <v>0.64</v>
      </c>
      <c r="K956">
        <v>0.1343</v>
      </c>
      <c r="L956">
        <v>5</v>
      </c>
      <c r="M956">
        <v>38</v>
      </c>
      <c r="N956">
        <v>43</v>
      </c>
    </row>
    <row r="957" spans="1:14" x14ac:dyDescent="0.3">
      <c r="A957">
        <v>956</v>
      </c>
      <c r="B957" s="4">
        <v>40586</v>
      </c>
      <c r="C957" s="5">
        <v>0.41666666666666674</v>
      </c>
      <c r="D957" t="s">
        <v>8</v>
      </c>
      <c r="E957" t="s">
        <v>9</v>
      </c>
      <c r="F957" t="s">
        <v>12</v>
      </c>
      <c r="G957" t="s">
        <v>18</v>
      </c>
      <c r="H957">
        <v>0.22</v>
      </c>
      <c r="I957" s="3">
        <v>0.21210000000000001</v>
      </c>
      <c r="J957">
        <v>0.41</v>
      </c>
      <c r="K957">
        <v>0.25369999999999998</v>
      </c>
      <c r="L957">
        <v>13</v>
      </c>
      <c r="M957">
        <v>71</v>
      </c>
      <c r="N957">
        <v>84</v>
      </c>
    </row>
    <row r="958" spans="1:14" x14ac:dyDescent="0.3">
      <c r="A958">
        <v>957</v>
      </c>
      <c r="B958" s="4">
        <v>40586</v>
      </c>
      <c r="C958" s="5">
        <v>0.45833333333333326</v>
      </c>
      <c r="D958" t="s">
        <v>8</v>
      </c>
      <c r="E958" t="s">
        <v>9</v>
      </c>
      <c r="F958" t="s">
        <v>12</v>
      </c>
      <c r="G958" t="s">
        <v>18</v>
      </c>
      <c r="H958">
        <v>0.3</v>
      </c>
      <c r="I958" s="3">
        <v>0.2727</v>
      </c>
      <c r="J958">
        <v>0.28000000000000003</v>
      </c>
      <c r="K958">
        <v>0.32840000000000003</v>
      </c>
      <c r="L958">
        <v>30</v>
      </c>
      <c r="M958">
        <v>84</v>
      </c>
      <c r="N958">
        <v>114</v>
      </c>
    </row>
    <row r="959" spans="1:14" x14ac:dyDescent="0.3">
      <c r="A959">
        <v>958</v>
      </c>
      <c r="B959" s="4">
        <v>40586</v>
      </c>
      <c r="C959" s="5">
        <v>0.5</v>
      </c>
      <c r="D959" t="s">
        <v>8</v>
      </c>
      <c r="E959" t="s">
        <v>9</v>
      </c>
      <c r="F959" t="s">
        <v>12</v>
      </c>
      <c r="G959" t="s">
        <v>18</v>
      </c>
      <c r="H959">
        <v>0.3</v>
      </c>
      <c r="I959" s="3">
        <v>0.2727</v>
      </c>
      <c r="J959">
        <v>0.39</v>
      </c>
      <c r="K959">
        <v>0.4627</v>
      </c>
      <c r="L959">
        <v>27</v>
      </c>
      <c r="M959">
        <v>93</v>
      </c>
      <c r="N959">
        <v>120</v>
      </c>
    </row>
    <row r="960" spans="1:14" x14ac:dyDescent="0.3">
      <c r="A960">
        <v>959</v>
      </c>
      <c r="B960" s="4">
        <v>40586</v>
      </c>
      <c r="C960" s="5">
        <v>0.54166666666666674</v>
      </c>
      <c r="D960" t="s">
        <v>8</v>
      </c>
      <c r="E960" t="s">
        <v>9</v>
      </c>
      <c r="F960" t="s">
        <v>12</v>
      </c>
      <c r="G960" t="s">
        <v>18</v>
      </c>
      <c r="H960">
        <v>0.3</v>
      </c>
      <c r="I960" s="3">
        <v>0.2727</v>
      </c>
      <c r="J960">
        <v>0.39</v>
      </c>
      <c r="K960">
        <v>0.41789999999999999</v>
      </c>
      <c r="L960">
        <v>32</v>
      </c>
      <c r="M960">
        <v>103</v>
      </c>
      <c r="N960">
        <v>135</v>
      </c>
    </row>
    <row r="961" spans="1:14" x14ac:dyDescent="0.3">
      <c r="A961">
        <v>960</v>
      </c>
      <c r="B961" s="4">
        <v>40586</v>
      </c>
      <c r="C961" s="5">
        <v>0.58333333333333326</v>
      </c>
      <c r="D961" t="s">
        <v>8</v>
      </c>
      <c r="E961" t="s">
        <v>9</v>
      </c>
      <c r="F961" t="s">
        <v>12</v>
      </c>
      <c r="G961" t="s">
        <v>18</v>
      </c>
      <c r="H961">
        <v>0.34</v>
      </c>
      <c r="I961" s="3">
        <v>0.31819999999999998</v>
      </c>
      <c r="J961">
        <v>0.31</v>
      </c>
      <c r="K961">
        <v>0.28360000000000002</v>
      </c>
      <c r="L961">
        <v>30</v>
      </c>
      <c r="M961">
        <v>90</v>
      </c>
      <c r="N961">
        <v>120</v>
      </c>
    </row>
    <row r="962" spans="1:14" x14ac:dyDescent="0.3">
      <c r="A962">
        <v>961</v>
      </c>
      <c r="B962" s="4">
        <v>40586</v>
      </c>
      <c r="C962" s="5">
        <v>0.625</v>
      </c>
      <c r="D962" t="s">
        <v>8</v>
      </c>
      <c r="E962" t="s">
        <v>9</v>
      </c>
      <c r="F962" t="s">
        <v>12</v>
      </c>
      <c r="G962" t="s">
        <v>18</v>
      </c>
      <c r="H962">
        <v>0.34</v>
      </c>
      <c r="I962" s="3">
        <v>0.30299999999999999</v>
      </c>
      <c r="J962">
        <v>0.28999999999999998</v>
      </c>
      <c r="K962">
        <v>0.41789999999999999</v>
      </c>
      <c r="L962">
        <v>47</v>
      </c>
      <c r="M962">
        <v>127</v>
      </c>
      <c r="N962">
        <v>174</v>
      </c>
    </row>
    <row r="963" spans="1:14" x14ac:dyDescent="0.3">
      <c r="A963">
        <v>962</v>
      </c>
      <c r="B963" s="4">
        <v>40586</v>
      </c>
      <c r="C963" s="5">
        <v>0.66666666666666674</v>
      </c>
      <c r="D963" t="s">
        <v>8</v>
      </c>
      <c r="E963" t="s">
        <v>9</v>
      </c>
      <c r="F963" t="s">
        <v>12</v>
      </c>
      <c r="G963" t="s">
        <v>18</v>
      </c>
      <c r="H963">
        <v>0.34</v>
      </c>
      <c r="I963" s="3">
        <v>0.30299999999999999</v>
      </c>
      <c r="J963">
        <v>0.28999999999999998</v>
      </c>
      <c r="K963">
        <v>0.41789999999999999</v>
      </c>
      <c r="L963">
        <v>42</v>
      </c>
      <c r="M963">
        <v>103</v>
      </c>
      <c r="N963">
        <v>145</v>
      </c>
    </row>
    <row r="964" spans="1:14" x14ac:dyDescent="0.3">
      <c r="A964">
        <v>963</v>
      </c>
      <c r="B964" s="4">
        <v>40586</v>
      </c>
      <c r="C964" s="5">
        <v>0.70833333333333326</v>
      </c>
      <c r="D964" t="s">
        <v>8</v>
      </c>
      <c r="E964" t="s">
        <v>9</v>
      </c>
      <c r="F964" t="s">
        <v>12</v>
      </c>
      <c r="G964" t="s">
        <v>18</v>
      </c>
      <c r="H964">
        <v>0.32</v>
      </c>
      <c r="I964" s="3">
        <v>0.28789999999999999</v>
      </c>
      <c r="J964">
        <v>0.31</v>
      </c>
      <c r="K964">
        <v>0.52239999999999998</v>
      </c>
      <c r="L964">
        <v>24</v>
      </c>
      <c r="M964">
        <v>113</v>
      </c>
      <c r="N964">
        <v>137</v>
      </c>
    </row>
    <row r="965" spans="1:14" x14ac:dyDescent="0.3">
      <c r="A965">
        <v>964</v>
      </c>
      <c r="B965" s="4">
        <v>40586</v>
      </c>
      <c r="C965" s="5">
        <v>0.75</v>
      </c>
      <c r="D965" t="s">
        <v>8</v>
      </c>
      <c r="E965" t="s">
        <v>9</v>
      </c>
      <c r="F965" t="s">
        <v>12</v>
      </c>
      <c r="G965" t="s">
        <v>18</v>
      </c>
      <c r="H965">
        <v>0.28000000000000003</v>
      </c>
      <c r="I965" s="3">
        <v>0.2576</v>
      </c>
      <c r="J965">
        <v>0.38</v>
      </c>
      <c r="K965">
        <v>0.32840000000000003</v>
      </c>
      <c r="L965">
        <v>4</v>
      </c>
      <c r="M965">
        <v>60</v>
      </c>
      <c r="N965">
        <v>64</v>
      </c>
    </row>
    <row r="966" spans="1:14" x14ac:dyDescent="0.3">
      <c r="A966">
        <v>965</v>
      </c>
      <c r="B966" s="4">
        <v>40586</v>
      </c>
      <c r="C966" s="5">
        <v>0.79166666666666674</v>
      </c>
      <c r="D966" t="s">
        <v>8</v>
      </c>
      <c r="E966" t="s">
        <v>9</v>
      </c>
      <c r="F966" t="s">
        <v>12</v>
      </c>
      <c r="G966" t="s">
        <v>18</v>
      </c>
      <c r="H966">
        <v>0.28000000000000003</v>
      </c>
      <c r="I966" s="3">
        <v>0.2727</v>
      </c>
      <c r="J966">
        <v>0.38</v>
      </c>
      <c r="K966">
        <v>0.16420000000000001</v>
      </c>
      <c r="L966">
        <v>2</v>
      </c>
      <c r="M966">
        <v>39</v>
      </c>
      <c r="N966">
        <v>41</v>
      </c>
    </row>
    <row r="967" spans="1:14" x14ac:dyDescent="0.3">
      <c r="A967">
        <v>966</v>
      </c>
      <c r="B967" s="4">
        <v>40586</v>
      </c>
      <c r="C967" s="5">
        <v>0.83333333333333326</v>
      </c>
      <c r="D967" t="s">
        <v>8</v>
      </c>
      <c r="E967" t="s">
        <v>9</v>
      </c>
      <c r="F967" t="s">
        <v>12</v>
      </c>
      <c r="G967" t="s">
        <v>18</v>
      </c>
      <c r="H967">
        <v>0.26</v>
      </c>
      <c r="I967" s="3">
        <v>0.2576</v>
      </c>
      <c r="J967">
        <v>0.41</v>
      </c>
      <c r="K967">
        <v>0.22389999999999999</v>
      </c>
      <c r="L967">
        <v>1</v>
      </c>
      <c r="M967">
        <v>39</v>
      </c>
      <c r="N967">
        <v>40</v>
      </c>
    </row>
    <row r="968" spans="1:14" x14ac:dyDescent="0.3">
      <c r="A968">
        <v>967</v>
      </c>
      <c r="B968" s="4">
        <v>40586</v>
      </c>
      <c r="C968" s="5">
        <v>0.875</v>
      </c>
      <c r="D968" t="s">
        <v>8</v>
      </c>
      <c r="E968" t="s">
        <v>9</v>
      </c>
      <c r="F968" t="s">
        <v>12</v>
      </c>
      <c r="G968" t="s">
        <v>18</v>
      </c>
      <c r="H968">
        <v>0.26</v>
      </c>
      <c r="I968" s="3">
        <v>0.30299999999999999</v>
      </c>
      <c r="J968">
        <v>0.41</v>
      </c>
      <c r="K968">
        <v>0</v>
      </c>
      <c r="L968">
        <v>9</v>
      </c>
      <c r="M968">
        <v>42</v>
      </c>
      <c r="N968">
        <v>51</v>
      </c>
    </row>
    <row r="969" spans="1:14" x14ac:dyDescent="0.3">
      <c r="A969">
        <v>968</v>
      </c>
      <c r="B969" s="4">
        <v>40586</v>
      </c>
      <c r="C969" s="5">
        <v>0.91666666666666674</v>
      </c>
      <c r="D969" t="s">
        <v>8</v>
      </c>
      <c r="E969" t="s">
        <v>9</v>
      </c>
      <c r="F969" t="s">
        <v>12</v>
      </c>
      <c r="G969" t="s">
        <v>18</v>
      </c>
      <c r="H969">
        <v>0.24</v>
      </c>
      <c r="I969" s="3">
        <v>0.2576</v>
      </c>
      <c r="J969">
        <v>0.44</v>
      </c>
      <c r="K969">
        <v>8.9599999999999999E-2</v>
      </c>
      <c r="L969">
        <v>6</v>
      </c>
      <c r="M969">
        <v>39</v>
      </c>
      <c r="N969">
        <v>45</v>
      </c>
    </row>
    <row r="970" spans="1:14" x14ac:dyDescent="0.3">
      <c r="A970">
        <v>969</v>
      </c>
      <c r="B970" s="4">
        <v>40586</v>
      </c>
      <c r="C970" s="5">
        <v>0.95833333333333326</v>
      </c>
      <c r="D970" t="s">
        <v>8</v>
      </c>
      <c r="E970" t="s">
        <v>9</v>
      </c>
      <c r="F970" t="s">
        <v>12</v>
      </c>
      <c r="G970" t="s">
        <v>18</v>
      </c>
      <c r="H970">
        <v>0.22</v>
      </c>
      <c r="I970" s="3">
        <v>0.2273</v>
      </c>
      <c r="J970">
        <v>0.51</v>
      </c>
      <c r="K970">
        <v>0.1343</v>
      </c>
      <c r="L970">
        <v>1</v>
      </c>
      <c r="M970">
        <v>31</v>
      </c>
      <c r="N970">
        <v>32</v>
      </c>
    </row>
    <row r="971" spans="1:14" x14ac:dyDescent="0.3">
      <c r="A971">
        <v>970</v>
      </c>
      <c r="B971" s="4">
        <v>40587</v>
      </c>
      <c r="C971" s="5">
        <v>0</v>
      </c>
      <c r="D971" t="s">
        <v>8</v>
      </c>
      <c r="E971" t="s">
        <v>9</v>
      </c>
      <c r="F971" t="s">
        <v>13</v>
      </c>
      <c r="G971" t="s">
        <v>18</v>
      </c>
      <c r="H971">
        <v>0.2</v>
      </c>
      <c r="I971" s="3">
        <v>0.2273</v>
      </c>
      <c r="J971">
        <v>0.64</v>
      </c>
      <c r="K971">
        <v>0.1045</v>
      </c>
      <c r="L971">
        <v>5</v>
      </c>
      <c r="M971">
        <v>34</v>
      </c>
      <c r="N971">
        <v>39</v>
      </c>
    </row>
    <row r="972" spans="1:14" x14ac:dyDescent="0.3">
      <c r="A972">
        <v>971</v>
      </c>
      <c r="B972" s="4">
        <v>40587</v>
      </c>
      <c r="C972" s="5">
        <v>4.1666666666666741E-2</v>
      </c>
      <c r="D972" t="s">
        <v>8</v>
      </c>
      <c r="E972" t="s">
        <v>9</v>
      </c>
      <c r="F972" t="s">
        <v>13</v>
      </c>
      <c r="G972" t="s">
        <v>18</v>
      </c>
      <c r="H972">
        <v>0.2</v>
      </c>
      <c r="I972" s="3">
        <v>0.2273</v>
      </c>
      <c r="J972">
        <v>0.59</v>
      </c>
      <c r="K972">
        <v>8.9599999999999999E-2</v>
      </c>
      <c r="L972">
        <v>1</v>
      </c>
      <c r="M972">
        <v>23</v>
      </c>
      <c r="N972">
        <v>24</v>
      </c>
    </row>
    <row r="973" spans="1:14" x14ac:dyDescent="0.3">
      <c r="A973">
        <v>972</v>
      </c>
      <c r="B973" s="4">
        <v>40587</v>
      </c>
      <c r="C973" s="5">
        <v>8.3333333333333259E-2</v>
      </c>
      <c r="D973" t="s">
        <v>8</v>
      </c>
      <c r="E973" t="s">
        <v>9</v>
      </c>
      <c r="F973" t="s">
        <v>13</v>
      </c>
      <c r="G973" t="s">
        <v>19</v>
      </c>
      <c r="H973">
        <v>0.2</v>
      </c>
      <c r="I973" s="3">
        <v>0.2273</v>
      </c>
      <c r="J973">
        <v>0.75</v>
      </c>
      <c r="K973">
        <v>8.9599999999999999E-2</v>
      </c>
      <c r="L973">
        <v>1</v>
      </c>
      <c r="M973">
        <v>19</v>
      </c>
      <c r="N973">
        <v>20</v>
      </c>
    </row>
    <row r="974" spans="1:14" x14ac:dyDescent="0.3">
      <c r="A974">
        <v>973</v>
      </c>
      <c r="B974" s="4">
        <v>40587</v>
      </c>
      <c r="C974" s="5">
        <v>0.125</v>
      </c>
      <c r="D974" t="s">
        <v>8</v>
      </c>
      <c r="E974" t="s">
        <v>9</v>
      </c>
      <c r="F974" t="s">
        <v>13</v>
      </c>
      <c r="G974" t="s">
        <v>19</v>
      </c>
      <c r="H974">
        <v>0.2</v>
      </c>
      <c r="I974" s="3">
        <v>0.2273</v>
      </c>
      <c r="J974">
        <v>0.69</v>
      </c>
      <c r="K974">
        <v>0.1045</v>
      </c>
      <c r="L974">
        <v>4</v>
      </c>
      <c r="M974">
        <v>8</v>
      </c>
      <c r="N974">
        <v>12</v>
      </c>
    </row>
    <row r="975" spans="1:14" x14ac:dyDescent="0.3">
      <c r="A975">
        <v>974</v>
      </c>
      <c r="B975" s="4">
        <v>40587</v>
      </c>
      <c r="C975" s="5">
        <v>0.16666666666666674</v>
      </c>
      <c r="D975" t="s">
        <v>8</v>
      </c>
      <c r="E975" t="s">
        <v>9</v>
      </c>
      <c r="F975" t="s">
        <v>13</v>
      </c>
      <c r="G975" t="s">
        <v>19</v>
      </c>
      <c r="H975">
        <v>0.2</v>
      </c>
      <c r="I975" s="3">
        <v>0.21210000000000001</v>
      </c>
      <c r="J975">
        <v>0.69</v>
      </c>
      <c r="K975">
        <v>0.16420000000000001</v>
      </c>
      <c r="L975">
        <v>0</v>
      </c>
      <c r="M975">
        <v>2</v>
      </c>
      <c r="N975">
        <v>2</v>
      </c>
    </row>
    <row r="976" spans="1:14" x14ac:dyDescent="0.3">
      <c r="A976">
        <v>975</v>
      </c>
      <c r="B976" s="4">
        <v>40587</v>
      </c>
      <c r="C976" s="5">
        <v>0.25</v>
      </c>
      <c r="D976" t="s">
        <v>8</v>
      </c>
      <c r="E976" t="s">
        <v>9</v>
      </c>
      <c r="F976" t="s">
        <v>13</v>
      </c>
      <c r="G976" t="s">
        <v>19</v>
      </c>
      <c r="H976">
        <v>0.2</v>
      </c>
      <c r="I976" s="3">
        <v>0.21210000000000001</v>
      </c>
      <c r="J976">
        <v>0.69</v>
      </c>
      <c r="K976">
        <v>0.1343</v>
      </c>
      <c r="L976">
        <v>2</v>
      </c>
      <c r="M976">
        <v>3</v>
      </c>
      <c r="N976">
        <v>5</v>
      </c>
    </row>
    <row r="977" spans="1:14" x14ac:dyDescent="0.3">
      <c r="A977">
        <v>976</v>
      </c>
      <c r="B977" s="4">
        <v>40587</v>
      </c>
      <c r="C977" s="5">
        <v>0.29166666666666674</v>
      </c>
      <c r="D977" t="s">
        <v>8</v>
      </c>
      <c r="E977" t="s">
        <v>9</v>
      </c>
      <c r="F977" t="s">
        <v>13</v>
      </c>
      <c r="G977" t="s">
        <v>19</v>
      </c>
      <c r="H977">
        <v>0.22</v>
      </c>
      <c r="I977" s="3">
        <v>0.2727</v>
      </c>
      <c r="J977">
        <v>0.55000000000000004</v>
      </c>
      <c r="K977">
        <v>0</v>
      </c>
      <c r="L977">
        <v>0</v>
      </c>
      <c r="M977">
        <v>3</v>
      </c>
      <c r="N977">
        <v>3</v>
      </c>
    </row>
    <row r="978" spans="1:14" x14ac:dyDescent="0.3">
      <c r="A978">
        <v>977</v>
      </c>
      <c r="B978" s="4">
        <v>40587</v>
      </c>
      <c r="C978" s="5">
        <v>0.33333333333333326</v>
      </c>
      <c r="D978" t="s">
        <v>8</v>
      </c>
      <c r="E978" t="s">
        <v>9</v>
      </c>
      <c r="F978" t="s">
        <v>13</v>
      </c>
      <c r="G978" t="s">
        <v>19</v>
      </c>
      <c r="H978">
        <v>0.22</v>
      </c>
      <c r="I978" s="3">
        <v>0.2273</v>
      </c>
      <c r="J978">
        <v>0.64</v>
      </c>
      <c r="K978">
        <v>0.19400000000000001</v>
      </c>
      <c r="L978">
        <v>1</v>
      </c>
      <c r="M978">
        <v>11</v>
      </c>
      <c r="N978">
        <v>12</v>
      </c>
    </row>
    <row r="979" spans="1:14" x14ac:dyDescent="0.3">
      <c r="A979">
        <v>978</v>
      </c>
      <c r="B979" s="4">
        <v>40587</v>
      </c>
      <c r="C979" s="5">
        <v>0.375</v>
      </c>
      <c r="D979" t="s">
        <v>8</v>
      </c>
      <c r="E979" t="s">
        <v>9</v>
      </c>
      <c r="F979" t="s">
        <v>13</v>
      </c>
      <c r="G979" t="s">
        <v>19</v>
      </c>
      <c r="H979">
        <v>0.24</v>
      </c>
      <c r="I979" s="3">
        <v>0.2273</v>
      </c>
      <c r="J979">
        <v>0.6</v>
      </c>
      <c r="K979">
        <v>0.22389999999999999</v>
      </c>
      <c r="L979">
        <v>12</v>
      </c>
      <c r="M979">
        <v>35</v>
      </c>
      <c r="N979">
        <v>47</v>
      </c>
    </row>
    <row r="980" spans="1:14" x14ac:dyDescent="0.3">
      <c r="A980">
        <v>979</v>
      </c>
      <c r="B980" s="4">
        <v>40587</v>
      </c>
      <c r="C980" s="5">
        <v>0.41666666666666674</v>
      </c>
      <c r="D980" t="s">
        <v>8</v>
      </c>
      <c r="E980" t="s">
        <v>9</v>
      </c>
      <c r="F980" t="s">
        <v>13</v>
      </c>
      <c r="G980" t="s">
        <v>18</v>
      </c>
      <c r="H980">
        <v>0.3</v>
      </c>
      <c r="I980" s="3">
        <v>0.2727</v>
      </c>
      <c r="J980">
        <v>0.45</v>
      </c>
      <c r="K980">
        <v>0.32840000000000003</v>
      </c>
      <c r="L980">
        <v>19</v>
      </c>
      <c r="M980">
        <v>86</v>
      </c>
      <c r="N980">
        <v>105</v>
      </c>
    </row>
    <row r="981" spans="1:14" x14ac:dyDescent="0.3">
      <c r="A981">
        <v>980</v>
      </c>
      <c r="B981" s="4">
        <v>40587</v>
      </c>
      <c r="C981" s="5">
        <v>0.45833333333333326</v>
      </c>
      <c r="D981" t="s">
        <v>8</v>
      </c>
      <c r="E981" t="s">
        <v>9</v>
      </c>
      <c r="F981" t="s">
        <v>13</v>
      </c>
      <c r="G981" t="s">
        <v>18</v>
      </c>
      <c r="H981">
        <v>0.32</v>
      </c>
      <c r="I981" s="3">
        <v>0.28789999999999999</v>
      </c>
      <c r="J981">
        <v>0.39</v>
      </c>
      <c r="K981">
        <v>0.44779999999999998</v>
      </c>
      <c r="L981">
        <v>26</v>
      </c>
      <c r="M981">
        <v>86</v>
      </c>
      <c r="N981">
        <v>112</v>
      </c>
    </row>
    <row r="982" spans="1:14" x14ac:dyDescent="0.3">
      <c r="A982">
        <v>981</v>
      </c>
      <c r="B982" s="4">
        <v>40587</v>
      </c>
      <c r="C982" s="5">
        <v>0.5</v>
      </c>
      <c r="D982" t="s">
        <v>8</v>
      </c>
      <c r="E982" t="s">
        <v>9</v>
      </c>
      <c r="F982" t="s">
        <v>13</v>
      </c>
      <c r="G982" t="s">
        <v>18</v>
      </c>
      <c r="H982">
        <v>0.36</v>
      </c>
      <c r="I982" s="3">
        <v>0.31819999999999998</v>
      </c>
      <c r="J982">
        <v>0.32</v>
      </c>
      <c r="K982">
        <v>0.4627</v>
      </c>
      <c r="L982">
        <v>58</v>
      </c>
      <c r="M982">
        <v>94</v>
      </c>
      <c r="N982">
        <v>152</v>
      </c>
    </row>
    <row r="983" spans="1:14" x14ac:dyDescent="0.3">
      <c r="A983">
        <v>982</v>
      </c>
      <c r="B983" s="4">
        <v>40587</v>
      </c>
      <c r="C983" s="5">
        <v>0.54166666666666674</v>
      </c>
      <c r="D983" t="s">
        <v>8</v>
      </c>
      <c r="E983" t="s">
        <v>9</v>
      </c>
      <c r="F983" t="s">
        <v>13</v>
      </c>
      <c r="G983" t="s">
        <v>18</v>
      </c>
      <c r="H983">
        <v>0.38</v>
      </c>
      <c r="I983" s="3">
        <v>0.39389999999999997</v>
      </c>
      <c r="J983">
        <v>0.28999999999999998</v>
      </c>
      <c r="K983">
        <v>0.35820000000000002</v>
      </c>
      <c r="L983">
        <v>62</v>
      </c>
      <c r="M983">
        <v>92</v>
      </c>
      <c r="N983">
        <v>154</v>
      </c>
    </row>
    <row r="984" spans="1:14" x14ac:dyDescent="0.3">
      <c r="A984">
        <v>983</v>
      </c>
      <c r="B984" s="4">
        <v>40587</v>
      </c>
      <c r="C984" s="5">
        <v>0.58333333333333326</v>
      </c>
      <c r="D984" t="s">
        <v>8</v>
      </c>
      <c r="E984" t="s">
        <v>9</v>
      </c>
      <c r="F984" t="s">
        <v>13</v>
      </c>
      <c r="G984" t="s">
        <v>19</v>
      </c>
      <c r="H984">
        <v>0.4</v>
      </c>
      <c r="I984" s="3">
        <v>0.40910000000000002</v>
      </c>
      <c r="J984">
        <v>0.3</v>
      </c>
      <c r="K984">
        <v>0.41789999999999999</v>
      </c>
      <c r="L984">
        <v>51</v>
      </c>
      <c r="M984">
        <v>110</v>
      </c>
      <c r="N984">
        <v>161</v>
      </c>
    </row>
    <row r="985" spans="1:14" x14ac:dyDescent="0.3">
      <c r="A985">
        <v>984</v>
      </c>
      <c r="B985" s="4">
        <v>40587</v>
      </c>
      <c r="C985" s="5">
        <v>0.625</v>
      </c>
      <c r="D985" t="s">
        <v>8</v>
      </c>
      <c r="E985" t="s">
        <v>9</v>
      </c>
      <c r="F985" t="s">
        <v>13</v>
      </c>
      <c r="G985" t="s">
        <v>19</v>
      </c>
      <c r="H985">
        <v>0.4</v>
      </c>
      <c r="I985" s="3">
        <v>0.40910000000000002</v>
      </c>
      <c r="J985">
        <v>0.3</v>
      </c>
      <c r="K985">
        <v>0.29849999999999999</v>
      </c>
      <c r="L985">
        <v>40</v>
      </c>
      <c r="M985">
        <v>122</v>
      </c>
      <c r="N985">
        <v>162</v>
      </c>
    </row>
    <row r="986" spans="1:14" x14ac:dyDescent="0.3">
      <c r="A986">
        <v>985</v>
      </c>
      <c r="B986" s="4">
        <v>40587</v>
      </c>
      <c r="C986" s="5">
        <v>0.66666666666666674</v>
      </c>
      <c r="D986" t="s">
        <v>8</v>
      </c>
      <c r="E986" t="s">
        <v>9</v>
      </c>
      <c r="F986" t="s">
        <v>13</v>
      </c>
      <c r="G986" t="s">
        <v>19</v>
      </c>
      <c r="H986">
        <v>0.42</v>
      </c>
      <c r="I986" s="3">
        <v>0.42420000000000002</v>
      </c>
      <c r="J986">
        <v>0.28000000000000003</v>
      </c>
      <c r="K986">
        <v>0.32840000000000003</v>
      </c>
      <c r="L986">
        <v>28</v>
      </c>
      <c r="M986">
        <v>106</v>
      </c>
      <c r="N986">
        <v>134</v>
      </c>
    </row>
    <row r="987" spans="1:14" x14ac:dyDescent="0.3">
      <c r="A987">
        <v>986</v>
      </c>
      <c r="B987" s="4">
        <v>40587</v>
      </c>
      <c r="C987" s="5">
        <v>0.70833333333333326</v>
      </c>
      <c r="D987" t="s">
        <v>8</v>
      </c>
      <c r="E987" t="s">
        <v>9</v>
      </c>
      <c r="F987" t="s">
        <v>13</v>
      </c>
      <c r="G987" t="s">
        <v>18</v>
      </c>
      <c r="H987">
        <v>0.42</v>
      </c>
      <c r="I987" s="3">
        <v>0.42420000000000002</v>
      </c>
      <c r="J987">
        <v>0.28000000000000003</v>
      </c>
      <c r="K987">
        <v>0.32840000000000003</v>
      </c>
      <c r="L987">
        <v>30</v>
      </c>
      <c r="M987">
        <v>95</v>
      </c>
      <c r="N987">
        <v>125</v>
      </c>
    </row>
    <row r="988" spans="1:14" x14ac:dyDescent="0.3">
      <c r="A988">
        <v>987</v>
      </c>
      <c r="B988" s="4">
        <v>40587</v>
      </c>
      <c r="C988" s="5">
        <v>0.75</v>
      </c>
      <c r="D988" t="s">
        <v>8</v>
      </c>
      <c r="E988" t="s">
        <v>9</v>
      </c>
      <c r="F988" t="s">
        <v>13</v>
      </c>
      <c r="G988" t="s">
        <v>18</v>
      </c>
      <c r="H988">
        <v>0.4</v>
      </c>
      <c r="I988" s="3">
        <v>0.40910000000000002</v>
      </c>
      <c r="J988">
        <v>0.32</v>
      </c>
      <c r="K988">
        <v>0.29849999999999999</v>
      </c>
      <c r="L988">
        <v>17</v>
      </c>
      <c r="M988">
        <v>78</v>
      </c>
      <c r="N988">
        <v>95</v>
      </c>
    </row>
    <row r="989" spans="1:14" x14ac:dyDescent="0.3">
      <c r="A989">
        <v>988</v>
      </c>
      <c r="B989" s="4">
        <v>40587</v>
      </c>
      <c r="C989" s="5">
        <v>0.79166666666666674</v>
      </c>
      <c r="D989" t="s">
        <v>8</v>
      </c>
      <c r="E989" t="s">
        <v>9</v>
      </c>
      <c r="F989" t="s">
        <v>13</v>
      </c>
      <c r="G989" t="s">
        <v>18</v>
      </c>
      <c r="H989">
        <v>0.4</v>
      </c>
      <c r="I989" s="3">
        <v>0.40910000000000002</v>
      </c>
      <c r="J989">
        <v>0.35</v>
      </c>
      <c r="K989">
        <v>0.28360000000000002</v>
      </c>
      <c r="L989">
        <v>11</v>
      </c>
      <c r="M989">
        <v>50</v>
      </c>
      <c r="N989">
        <v>61</v>
      </c>
    </row>
    <row r="990" spans="1:14" x14ac:dyDescent="0.3">
      <c r="A990">
        <v>989</v>
      </c>
      <c r="B990" s="4">
        <v>40587</v>
      </c>
      <c r="C990" s="5">
        <v>0.83333333333333326</v>
      </c>
      <c r="D990" t="s">
        <v>8</v>
      </c>
      <c r="E990" t="s">
        <v>9</v>
      </c>
      <c r="F990" t="s">
        <v>13</v>
      </c>
      <c r="G990" t="s">
        <v>18</v>
      </c>
      <c r="H990">
        <v>0.4</v>
      </c>
      <c r="I990" s="3">
        <v>0.40910000000000002</v>
      </c>
      <c r="J990">
        <v>0.35</v>
      </c>
      <c r="K990">
        <v>0.32840000000000003</v>
      </c>
      <c r="L990">
        <v>15</v>
      </c>
      <c r="M990">
        <v>32</v>
      </c>
      <c r="N990">
        <v>47</v>
      </c>
    </row>
    <row r="991" spans="1:14" x14ac:dyDescent="0.3">
      <c r="A991">
        <v>990</v>
      </c>
      <c r="B991" s="4">
        <v>40587</v>
      </c>
      <c r="C991" s="5">
        <v>0.875</v>
      </c>
      <c r="D991" t="s">
        <v>8</v>
      </c>
      <c r="E991" t="s">
        <v>9</v>
      </c>
      <c r="F991" t="s">
        <v>13</v>
      </c>
      <c r="G991" t="s">
        <v>18</v>
      </c>
      <c r="H991">
        <v>0.4</v>
      </c>
      <c r="I991" s="3">
        <v>0.40910000000000002</v>
      </c>
      <c r="J991">
        <v>0.35</v>
      </c>
      <c r="K991">
        <v>0.35820000000000002</v>
      </c>
      <c r="L991">
        <v>6</v>
      </c>
      <c r="M991">
        <v>45</v>
      </c>
      <c r="N991">
        <v>51</v>
      </c>
    </row>
    <row r="992" spans="1:14" x14ac:dyDescent="0.3">
      <c r="A992">
        <v>991</v>
      </c>
      <c r="B992" s="4">
        <v>40587</v>
      </c>
      <c r="C992" s="5">
        <v>0.91666666666666674</v>
      </c>
      <c r="D992" t="s">
        <v>8</v>
      </c>
      <c r="E992" t="s">
        <v>9</v>
      </c>
      <c r="F992" t="s">
        <v>13</v>
      </c>
      <c r="G992" t="s">
        <v>18</v>
      </c>
      <c r="H992">
        <v>0.4</v>
      </c>
      <c r="I992" s="3">
        <v>0.40910000000000002</v>
      </c>
      <c r="J992">
        <v>0.35</v>
      </c>
      <c r="K992">
        <v>0.29849999999999999</v>
      </c>
      <c r="L992">
        <v>5</v>
      </c>
      <c r="M992">
        <v>31</v>
      </c>
      <c r="N992">
        <v>36</v>
      </c>
    </row>
    <row r="993" spans="1:14" x14ac:dyDescent="0.3">
      <c r="A993">
        <v>992</v>
      </c>
      <c r="B993" s="4">
        <v>40587</v>
      </c>
      <c r="C993" s="5">
        <v>0.95833333333333326</v>
      </c>
      <c r="D993" t="s">
        <v>8</v>
      </c>
      <c r="E993" t="s">
        <v>9</v>
      </c>
      <c r="F993" t="s">
        <v>13</v>
      </c>
      <c r="G993" t="s">
        <v>18</v>
      </c>
      <c r="H993">
        <v>0.4</v>
      </c>
      <c r="I993" s="3">
        <v>0.40910000000000002</v>
      </c>
      <c r="J993">
        <v>0.35</v>
      </c>
      <c r="K993">
        <v>0.35820000000000002</v>
      </c>
      <c r="L993">
        <v>3</v>
      </c>
      <c r="M993">
        <v>27</v>
      </c>
      <c r="N993">
        <v>30</v>
      </c>
    </row>
    <row r="994" spans="1:14" x14ac:dyDescent="0.3">
      <c r="A994">
        <v>993</v>
      </c>
      <c r="B994" s="4">
        <v>40588</v>
      </c>
      <c r="C994" s="5">
        <v>0</v>
      </c>
      <c r="D994" t="s">
        <v>8</v>
      </c>
      <c r="E994" t="s">
        <v>9</v>
      </c>
      <c r="F994" t="s">
        <v>14</v>
      </c>
      <c r="G994" t="s">
        <v>18</v>
      </c>
      <c r="H994">
        <v>0.38</v>
      </c>
      <c r="I994" s="3">
        <v>0.39389999999999997</v>
      </c>
      <c r="J994">
        <v>0.37</v>
      </c>
      <c r="K994">
        <v>0.35820000000000002</v>
      </c>
      <c r="L994">
        <v>3</v>
      </c>
      <c r="M994">
        <v>8</v>
      </c>
      <c r="N994">
        <v>11</v>
      </c>
    </row>
    <row r="995" spans="1:14" x14ac:dyDescent="0.3">
      <c r="A995">
        <v>994</v>
      </c>
      <c r="B995" s="4">
        <v>40588</v>
      </c>
      <c r="C995" s="5">
        <v>4.1666666666666741E-2</v>
      </c>
      <c r="D995" t="s">
        <v>8</v>
      </c>
      <c r="E995" t="s">
        <v>9</v>
      </c>
      <c r="F995" t="s">
        <v>14</v>
      </c>
      <c r="G995" t="s">
        <v>18</v>
      </c>
      <c r="H995">
        <v>0.38</v>
      </c>
      <c r="I995" s="3">
        <v>0.39389999999999997</v>
      </c>
      <c r="J995">
        <v>0.37</v>
      </c>
      <c r="K995">
        <v>0.35820000000000002</v>
      </c>
      <c r="L995">
        <v>1</v>
      </c>
      <c r="M995">
        <v>6</v>
      </c>
      <c r="N995">
        <v>7</v>
      </c>
    </row>
    <row r="996" spans="1:14" x14ac:dyDescent="0.3">
      <c r="A996">
        <v>995</v>
      </c>
      <c r="B996" s="4">
        <v>40588</v>
      </c>
      <c r="C996" s="5">
        <v>8.3333333333333259E-2</v>
      </c>
      <c r="D996" t="s">
        <v>8</v>
      </c>
      <c r="E996" t="s">
        <v>9</v>
      </c>
      <c r="F996" t="s">
        <v>14</v>
      </c>
      <c r="G996" t="s">
        <v>18</v>
      </c>
      <c r="H996">
        <v>0.36</v>
      </c>
      <c r="I996" s="3">
        <v>0.33329999999999999</v>
      </c>
      <c r="J996">
        <v>0.4</v>
      </c>
      <c r="K996">
        <v>0.29849999999999999</v>
      </c>
      <c r="L996">
        <v>0</v>
      </c>
      <c r="M996">
        <v>2</v>
      </c>
      <c r="N996">
        <v>2</v>
      </c>
    </row>
    <row r="997" spans="1:14" x14ac:dyDescent="0.3">
      <c r="A997">
        <v>996</v>
      </c>
      <c r="B997" s="4">
        <v>40588</v>
      </c>
      <c r="C997" s="5">
        <v>0.125</v>
      </c>
      <c r="D997" t="s">
        <v>8</v>
      </c>
      <c r="E997" t="s">
        <v>9</v>
      </c>
      <c r="F997" t="s">
        <v>14</v>
      </c>
      <c r="G997" t="s">
        <v>18</v>
      </c>
      <c r="H997">
        <v>0.34</v>
      </c>
      <c r="I997" s="3">
        <v>0.31819999999999998</v>
      </c>
      <c r="J997">
        <v>0.46</v>
      </c>
      <c r="K997">
        <v>0.22389999999999999</v>
      </c>
      <c r="L997">
        <v>1</v>
      </c>
      <c r="M997">
        <v>1</v>
      </c>
      <c r="N997">
        <v>2</v>
      </c>
    </row>
    <row r="998" spans="1:14" x14ac:dyDescent="0.3">
      <c r="A998">
        <v>997</v>
      </c>
      <c r="B998" s="4">
        <v>40588</v>
      </c>
      <c r="C998" s="5">
        <v>0.16666666666666674</v>
      </c>
      <c r="D998" t="s">
        <v>8</v>
      </c>
      <c r="E998" t="s">
        <v>9</v>
      </c>
      <c r="F998" t="s">
        <v>14</v>
      </c>
      <c r="G998" t="s">
        <v>18</v>
      </c>
      <c r="H998">
        <v>0.32</v>
      </c>
      <c r="I998" s="3">
        <v>0.30299999999999999</v>
      </c>
      <c r="J998">
        <v>0.53</v>
      </c>
      <c r="K998">
        <v>0.28360000000000002</v>
      </c>
      <c r="L998">
        <v>0</v>
      </c>
      <c r="M998">
        <v>2</v>
      </c>
      <c r="N998">
        <v>2</v>
      </c>
    </row>
    <row r="999" spans="1:14" x14ac:dyDescent="0.3">
      <c r="A999">
        <v>998</v>
      </c>
      <c r="B999" s="4">
        <v>40588</v>
      </c>
      <c r="C999" s="5">
        <v>0.20833333333333326</v>
      </c>
      <c r="D999" t="s">
        <v>8</v>
      </c>
      <c r="E999" t="s">
        <v>9</v>
      </c>
      <c r="F999" t="s">
        <v>14</v>
      </c>
      <c r="G999" t="s">
        <v>18</v>
      </c>
      <c r="H999">
        <v>0.32</v>
      </c>
      <c r="I999" s="3">
        <v>0.30299999999999999</v>
      </c>
      <c r="J999">
        <v>0.53</v>
      </c>
      <c r="K999">
        <v>0.28360000000000002</v>
      </c>
      <c r="L999">
        <v>0</v>
      </c>
      <c r="M999">
        <v>3</v>
      </c>
      <c r="N999">
        <v>3</v>
      </c>
    </row>
    <row r="1000" spans="1:14" x14ac:dyDescent="0.3">
      <c r="A1000">
        <v>999</v>
      </c>
      <c r="B1000" s="4">
        <v>40588</v>
      </c>
      <c r="C1000" s="5">
        <v>0.25</v>
      </c>
      <c r="D1000" t="s">
        <v>8</v>
      </c>
      <c r="E1000" t="s">
        <v>9</v>
      </c>
      <c r="F1000" t="s">
        <v>14</v>
      </c>
      <c r="G1000" t="s">
        <v>18</v>
      </c>
      <c r="H1000">
        <v>0.34</v>
      </c>
      <c r="I1000" s="3">
        <v>0.30299999999999999</v>
      </c>
      <c r="J1000">
        <v>0.46</v>
      </c>
      <c r="K1000">
        <v>0.29849999999999999</v>
      </c>
      <c r="L1000">
        <v>1</v>
      </c>
      <c r="M1000">
        <v>25</v>
      </c>
      <c r="N1000">
        <v>26</v>
      </c>
    </row>
    <row r="1001" spans="1:14" x14ac:dyDescent="0.3">
      <c r="A1001">
        <v>1000</v>
      </c>
      <c r="B1001" s="4">
        <v>40588</v>
      </c>
      <c r="C1001" s="5">
        <v>0.29166666666666674</v>
      </c>
      <c r="D1001" t="s">
        <v>8</v>
      </c>
      <c r="E1001" t="s">
        <v>9</v>
      </c>
      <c r="F1001" t="s">
        <v>14</v>
      </c>
      <c r="G1001" t="s">
        <v>18</v>
      </c>
      <c r="H1001">
        <v>0.34</v>
      </c>
      <c r="I1001" s="3">
        <v>0.30299999999999999</v>
      </c>
      <c r="J1001">
        <v>0.46</v>
      </c>
      <c r="K1001">
        <v>0.29849999999999999</v>
      </c>
      <c r="L1001">
        <v>2</v>
      </c>
      <c r="M1001">
        <v>96</v>
      </c>
      <c r="N1001">
        <v>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8F015-C755-4F9E-A327-0D5C766923D5}">
  <sheetPr>
    <tabColor theme="7" tint="0.39997558519241921"/>
  </sheetPr>
  <dimension ref="A3:BX76"/>
  <sheetViews>
    <sheetView topLeftCell="U11" workbookViewId="0">
      <selection activeCell="AE32" sqref="AE32"/>
    </sheetView>
  </sheetViews>
  <sheetFormatPr defaultRowHeight="14.4" x14ac:dyDescent="0.3"/>
  <cols>
    <col min="1" max="1" width="12.5546875" bestFit="1" customWidth="1"/>
    <col min="2" max="2" width="26.21875" bestFit="1" customWidth="1"/>
    <col min="4" max="4" width="11.21875" bestFit="1" customWidth="1"/>
    <col min="15" max="15" width="10" bestFit="1" customWidth="1"/>
    <col min="16" max="16" width="6" bestFit="1" customWidth="1"/>
    <col min="20" max="20" width="12.5546875" style="5" bestFit="1" customWidth="1"/>
    <col min="21" max="21" width="29.33203125" style="2" bestFit="1" customWidth="1"/>
    <col min="24" max="24" width="20.5546875" bestFit="1" customWidth="1"/>
    <col min="25" max="25" width="29.33203125" bestFit="1" customWidth="1"/>
    <col min="27" max="27" width="12.5546875" bestFit="1" customWidth="1"/>
    <col min="28" max="28" width="29.33203125" bestFit="1" customWidth="1"/>
    <col min="33" max="33" width="12.5546875" bestFit="1" customWidth="1"/>
    <col min="34" max="34" width="26.21875" bestFit="1" customWidth="1"/>
    <col min="36" max="36" width="12.6640625" bestFit="1" customWidth="1"/>
    <col min="37" max="37" width="12.5546875" bestFit="1" customWidth="1"/>
    <col min="38" max="38" width="26.21875" bestFit="1" customWidth="1"/>
    <col min="43" max="43" width="12.5546875" bestFit="1" customWidth="1"/>
    <col min="44" max="44" width="26.21875" bestFit="1" customWidth="1"/>
    <col min="46" max="46" width="10.33203125" customWidth="1"/>
    <col min="57" max="57" width="12.5546875" bestFit="1" customWidth="1"/>
    <col min="58" max="58" width="26.21875" bestFit="1" customWidth="1"/>
    <col min="71" max="71" width="12.5546875" bestFit="1" customWidth="1"/>
    <col min="72" max="72" width="26.21875" bestFit="1" customWidth="1"/>
    <col min="74" max="74" width="12.5546875" customWidth="1"/>
  </cols>
  <sheetData>
    <row r="3" spans="1:75" x14ac:dyDescent="0.3">
      <c r="A3" s="10" t="s">
        <v>28</v>
      </c>
      <c r="B3" t="s">
        <v>30</v>
      </c>
      <c r="O3" s="10" t="s">
        <v>33</v>
      </c>
      <c r="T3" s="16" t="s">
        <v>28</v>
      </c>
      <c r="U3" s="2" t="s">
        <v>34</v>
      </c>
      <c r="X3" s="10" t="s">
        <v>28</v>
      </c>
      <c r="Y3" t="s">
        <v>34</v>
      </c>
      <c r="AA3" s="10" t="s">
        <v>28</v>
      </c>
      <c r="AB3" t="s">
        <v>34</v>
      </c>
      <c r="AG3" s="10" t="s">
        <v>28</v>
      </c>
      <c r="AH3" t="s">
        <v>30</v>
      </c>
      <c r="BE3" s="10" t="s">
        <v>28</v>
      </c>
      <c r="BF3" t="s">
        <v>30</v>
      </c>
      <c r="BS3" s="10" t="s">
        <v>28</v>
      </c>
      <c r="BT3" t="s">
        <v>30</v>
      </c>
    </row>
    <row r="4" spans="1:75" x14ac:dyDescent="0.3">
      <c r="A4" s="14">
        <v>40544</v>
      </c>
      <c r="B4" s="12">
        <v>985</v>
      </c>
      <c r="O4" s="11" t="s">
        <v>35</v>
      </c>
      <c r="P4" s="12">
        <v>53383</v>
      </c>
      <c r="T4" s="17">
        <v>0</v>
      </c>
      <c r="U4" s="2">
        <v>16.348837209302324</v>
      </c>
      <c r="X4" s="11" t="s">
        <v>18</v>
      </c>
      <c r="Y4" s="2">
        <v>61.671617161716171</v>
      </c>
      <c r="AA4" s="11" t="s">
        <v>14</v>
      </c>
      <c r="AB4" s="2">
        <v>65.125</v>
      </c>
      <c r="AG4" s="11" t="s">
        <v>8</v>
      </c>
      <c r="AH4" s="12">
        <v>58304</v>
      </c>
      <c r="AK4" s="10" t="s">
        <v>28</v>
      </c>
      <c r="AL4" t="s">
        <v>30</v>
      </c>
      <c r="AN4" s="11">
        <v>0.02</v>
      </c>
      <c r="AO4" s="2">
        <v>168</v>
      </c>
      <c r="AQ4" s="10" t="s">
        <v>28</v>
      </c>
      <c r="AR4" t="s">
        <v>30</v>
      </c>
      <c r="AT4" s="13">
        <v>0.21</v>
      </c>
      <c r="AU4" s="2">
        <v>147</v>
      </c>
      <c r="BE4" s="11">
        <v>0</v>
      </c>
      <c r="BF4" s="2">
        <v>7845</v>
      </c>
      <c r="BH4" s="11">
        <v>0</v>
      </c>
      <c r="BI4" s="2">
        <v>7845</v>
      </c>
      <c r="BS4" s="14">
        <v>40544</v>
      </c>
      <c r="BT4" s="2">
        <v>985</v>
      </c>
      <c r="BV4" s="14">
        <v>40544</v>
      </c>
      <c r="BW4" s="2">
        <v>985</v>
      </c>
    </row>
    <row r="5" spans="1:75" x14ac:dyDescent="0.3">
      <c r="A5" s="14">
        <v>40545</v>
      </c>
      <c r="B5" s="12">
        <v>801</v>
      </c>
      <c r="O5" s="11" t="s">
        <v>36</v>
      </c>
      <c r="P5" s="12">
        <v>4921</v>
      </c>
      <c r="T5" s="17">
        <v>4.1666666666666664E-2</v>
      </c>
      <c r="U5" s="2">
        <v>10.697674418604651</v>
      </c>
      <c r="X5" s="11" t="s">
        <v>19</v>
      </c>
      <c r="Y5" s="2">
        <v>58.595469255663431</v>
      </c>
      <c r="AA5" s="11" t="s">
        <v>15</v>
      </c>
      <c r="AB5" s="2">
        <v>59.603053435114504</v>
      </c>
      <c r="AG5" s="11" t="s">
        <v>29</v>
      </c>
      <c r="AH5" s="12">
        <v>58304</v>
      </c>
      <c r="AK5" s="11">
        <v>0.02</v>
      </c>
      <c r="AL5" s="2">
        <v>168</v>
      </c>
      <c r="AN5" s="11">
        <v>0.04</v>
      </c>
      <c r="AO5" s="2">
        <v>387</v>
      </c>
      <c r="AQ5" s="13">
        <v>0.21</v>
      </c>
      <c r="AR5" s="2">
        <v>147</v>
      </c>
      <c r="AT5" s="13">
        <v>0.24</v>
      </c>
      <c r="AU5" s="2">
        <v>211</v>
      </c>
      <c r="BE5" s="11">
        <v>8.9599999999999999E-2</v>
      </c>
      <c r="BF5" s="2">
        <v>4149</v>
      </c>
      <c r="BH5" s="11">
        <v>8.9599999999999999E-2</v>
      </c>
      <c r="BI5" s="2">
        <v>4149</v>
      </c>
      <c r="BS5" s="14">
        <v>40545</v>
      </c>
      <c r="BT5" s="2">
        <v>801</v>
      </c>
      <c r="BV5" s="14">
        <v>40545</v>
      </c>
      <c r="BW5" s="2">
        <v>801</v>
      </c>
    </row>
    <row r="6" spans="1:75" x14ac:dyDescent="0.3">
      <c r="A6" s="14">
        <v>40546</v>
      </c>
      <c r="B6" s="12">
        <v>1349</v>
      </c>
      <c r="T6" s="17">
        <v>8.3333333333333329E-2</v>
      </c>
      <c r="U6" s="2">
        <v>7.1707317073170733</v>
      </c>
      <c r="X6" s="11" t="s">
        <v>20</v>
      </c>
      <c r="Y6" s="2">
        <v>33.202380952380949</v>
      </c>
      <c r="AA6" s="11" t="s">
        <v>16</v>
      </c>
      <c r="AB6" s="2">
        <v>67.468253968253961</v>
      </c>
      <c r="AK6" s="11">
        <v>0.04</v>
      </c>
      <c r="AL6" s="2">
        <v>387</v>
      </c>
      <c r="AN6" s="11">
        <v>0.06</v>
      </c>
      <c r="AO6" s="2">
        <v>608</v>
      </c>
      <c r="AQ6" s="13">
        <v>0.24</v>
      </c>
      <c r="AR6" s="2">
        <v>211</v>
      </c>
      <c r="AT6" s="13">
        <v>0.25</v>
      </c>
      <c r="AU6" s="2">
        <v>112</v>
      </c>
      <c r="BE6" s="11">
        <v>0.1045</v>
      </c>
      <c r="BF6" s="2">
        <v>4350</v>
      </c>
      <c r="BH6" s="11">
        <v>0.1045</v>
      </c>
      <c r="BI6" s="2">
        <v>4350</v>
      </c>
      <c r="BS6" s="14">
        <v>40546</v>
      </c>
      <c r="BT6" s="2">
        <v>1349</v>
      </c>
      <c r="BV6" s="14">
        <v>40546</v>
      </c>
      <c r="BW6" s="2">
        <v>1349</v>
      </c>
    </row>
    <row r="7" spans="1:75" x14ac:dyDescent="0.3">
      <c r="A7" s="14">
        <v>40547</v>
      </c>
      <c r="B7" s="12">
        <v>1562</v>
      </c>
      <c r="T7" s="17">
        <v>0.125</v>
      </c>
      <c r="U7" s="2">
        <v>4.870967741935484</v>
      </c>
      <c r="X7" s="11" t="s">
        <v>21</v>
      </c>
      <c r="Y7" s="2">
        <v>36</v>
      </c>
      <c r="AA7" s="11" t="s">
        <v>11</v>
      </c>
      <c r="AB7" s="2">
        <v>55.560810810810814</v>
      </c>
      <c r="AK7" s="11">
        <v>0.06</v>
      </c>
      <c r="AL7" s="2">
        <v>608</v>
      </c>
      <c r="AN7" s="11">
        <v>0.08</v>
      </c>
      <c r="AO7" s="2">
        <v>357</v>
      </c>
      <c r="AQ7" s="13">
        <v>0.25</v>
      </c>
      <c r="AR7" s="2">
        <v>112</v>
      </c>
      <c r="AT7" s="13">
        <v>0.26</v>
      </c>
      <c r="AU7" s="2">
        <v>531</v>
      </c>
      <c r="BE7" s="11">
        <v>0.1343</v>
      </c>
      <c r="BF7" s="2">
        <v>5261</v>
      </c>
      <c r="BH7" s="11">
        <v>0.1343</v>
      </c>
      <c r="BI7" s="2">
        <v>5261</v>
      </c>
      <c r="BS7" s="14">
        <v>40547</v>
      </c>
      <c r="BT7" s="2">
        <v>1562</v>
      </c>
      <c r="BV7" s="14">
        <v>40547</v>
      </c>
      <c r="BW7" s="2">
        <v>1562</v>
      </c>
    </row>
    <row r="8" spans="1:75" x14ac:dyDescent="0.3">
      <c r="A8" s="14">
        <v>40548</v>
      </c>
      <c r="B8" s="12">
        <v>1600</v>
      </c>
      <c r="T8" s="17">
        <v>0.16666666666666666</v>
      </c>
      <c r="U8" s="2">
        <v>2.15625</v>
      </c>
      <c r="X8" s="11" t="s">
        <v>29</v>
      </c>
      <c r="Y8" s="2">
        <v>58.304000000000002</v>
      </c>
      <c r="AA8" s="11" t="s">
        <v>12</v>
      </c>
      <c r="AB8" s="2">
        <v>44.775757575757574</v>
      </c>
      <c r="AK8" s="11">
        <v>0.08</v>
      </c>
      <c r="AL8" s="2">
        <v>357</v>
      </c>
      <c r="AN8" s="11">
        <v>0.1</v>
      </c>
      <c r="AO8" s="2">
        <v>1259</v>
      </c>
      <c r="AQ8" s="13">
        <v>0.26</v>
      </c>
      <c r="AR8" s="2">
        <v>531</v>
      </c>
      <c r="AT8" s="13">
        <v>0.27</v>
      </c>
      <c r="AU8" s="2">
        <v>206</v>
      </c>
      <c r="BE8" s="11">
        <v>0.16420000000000001</v>
      </c>
      <c r="BF8" s="2">
        <v>5609</v>
      </c>
      <c r="BH8" s="11">
        <v>0.16420000000000001</v>
      </c>
      <c r="BI8" s="2">
        <v>5609</v>
      </c>
      <c r="BS8" s="14">
        <v>40548</v>
      </c>
      <c r="BT8" s="2">
        <v>1600</v>
      </c>
      <c r="BV8" s="14">
        <v>40548</v>
      </c>
      <c r="BW8" s="2">
        <v>1600</v>
      </c>
    </row>
    <row r="9" spans="1:75" x14ac:dyDescent="0.3">
      <c r="A9" s="14">
        <v>40549</v>
      </c>
      <c r="B9" s="12">
        <v>1606</v>
      </c>
      <c r="T9" s="17">
        <v>0.20833333333333334</v>
      </c>
      <c r="U9" s="2">
        <v>4.2051282051282053</v>
      </c>
      <c r="AA9" s="11" t="s">
        <v>13</v>
      </c>
      <c r="AB9" s="2">
        <v>57.631901840490798</v>
      </c>
      <c r="AK9" s="11">
        <v>0.1</v>
      </c>
      <c r="AL9" s="2">
        <v>1259</v>
      </c>
      <c r="AN9" s="11">
        <v>0.12</v>
      </c>
      <c r="AO9" s="2">
        <v>2104</v>
      </c>
      <c r="AQ9" s="13">
        <v>0.27</v>
      </c>
      <c r="AR9" s="2">
        <v>206</v>
      </c>
      <c r="AT9" s="13">
        <v>0.28000000000000003</v>
      </c>
      <c r="AU9" s="2">
        <v>1758</v>
      </c>
      <c r="BE9" s="11">
        <v>0.19400000000000001</v>
      </c>
      <c r="BF9" s="2">
        <v>4668</v>
      </c>
      <c r="BH9" s="11">
        <v>0.19400000000000001</v>
      </c>
      <c r="BI9" s="2">
        <v>4668</v>
      </c>
      <c r="BS9" s="14">
        <v>40549</v>
      </c>
      <c r="BT9" s="2">
        <v>1606</v>
      </c>
      <c r="BV9" s="14">
        <v>40549</v>
      </c>
      <c r="BW9" s="2">
        <v>1606</v>
      </c>
    </row>
    <row r="10" spans="1:75" x14ac:dyDescent="0.3">
      <c r="A10" s="14">
        <v>40550</v>
      </c>
      <c r="B10" s="12">
        <v>1510</v>
      </c>
      <c r="T10" s="17">
        <v>0.25</v>
      </c>
      <c r="U10" s="2">
        <v>19.571428571428573</v>
      </c>
      <c r="AA10" s="11" t="s">
        <v>17</v>
      </c>
      <c r="AB10" s="2">
        <v>62.083969465648856</v>
      </c>
      <c r="AK10" s="11">
        <v>0.12</v>
      </c>
      <c r="AL10" s="2">
        <v>2104</v>
      </c>
      <c r="AN10" s="11">
        <v>0.14000000000000001</v>
      </c>
      <c r="AO10" s="2">
        <v>4335</v>
      </c>
      <c r="AQ10" s="13">
        <v>0.28000000000000003</v>
      </c>
      <c r="AR10" s="2">
        <v>1758</v>
      </c>
      <c r="AT10" s="13">
        <v>0.28999999999999998</v>
      </c>
      <c r="AU10" s="2">
        <v>611</v>
      </c>
      <c r="BE10" s="11">
        <v>0.22389999999999999</v>
      </c>
      <c r="BF10" s="2">
        <v>3546</v>
      </c>
      <c r="BH10" s="11">
        <v>0.22389999999999999</v>
      </c>
      <c r="BI10" s="2">
        <v>3546</v>
      </c>
      <c r="BS10" s="14">
        <v>40550</v>
      </c>
      <c r="BT10" s="2">
        <v>1510</v>
      </c>
      <c r="BV10" s="14">
        <v>40550</v>
      </c>
      <c r="BW10" s="2">
        <v>1510</v>
      </c>
    </row>
    <row r="11" spans="1:75" x14ac:dyDescent="0.3">
      <c r="A11" s="14">
        <v>40551</v>
      </c>
      <c r="B11" s="12">
        <v>959</v>
      </c>
      <c r="T11" s="17">
        <v>0.29166666666666669</v>
      </c>
      <c r="U11" s="2">
        <v>54.395348837209305</v>
      </c>
      <c r="AA11" s="11" t="s">
        <v>29</v>
      </c>
      <c r="AB11" s="2">
        <v>58.304000000000002</v>
      </c>
      <c r="AK11" s="11">
        <v>0.14000000000000001</v>
      </c>
      <c r="AL11" s="2">
        <v>4335</v>
      </c>
      <c r="AN11" s="11">
        <v>0.16</v>
      </c>
      <c r="AO11" s="2">
        <v>7003</v>
      </c>
      <c r="AQ11" s="13">
        <v>0.28999999999999998</v>
      </c>
      <c r="AR11" s="2">
        <v>611</v>
      </c>
      <c r="AT11" s="13">
        <v>0.3</v>
      </c>
      <c r="AU11" s="2">
        <v>1091</v>
      </c>
      <c r="BE11" s="11">
        <v>0.25369999999999998</v>
      </c>
      <c r="BF11" s="2">
        <v>4074</v>
      </c>
      <c r="BH11" s="11">
        <v>0.25369999999999998</v>
      </c>
      <c r="BI11" s="2">
        <v>4074</v>
      </c>
      <c r="BS11" s="14">
        <v>40551</v>
      </c>
      <c r="BT11" s="2">
        <v>959</v>
      </c>
      <c r="BV11" s="14">
        <v>40551</v>
      </c>
      <c r="BW11" s="2">
        <v>959</v>
      </c>
    </row>
    <row r="12" spans="1:75" x14ac:dyDescent="0.3">
      <c r="A12" s="14">
        <v>40552</v>
      </c>
      <c r="B12" s="12">
        <v>822</v>
      </c>
      <c r="T12" s="17">
        <v>0.33333333333333331</v>
      </c>
      <c r="U12" s="2">
        <v>128.28571428571428</v>
      </c>
      <c r="AK12" s="11">
        <v>0.16</v>
      </c>
      <c r="AL12" s="2">
        <v>7003</v>
      </c>
      <c r="AN12" s="11">
        <v>0.18</v>
      </c>
      <c r="AO12" s="2">
        <v>4045</v>
      </c>
      <c r="AQ12" s="13">
        <v>0.3</v>
      </c>
      <c r="AR12" s="2">
        <v>1091</v>
      </c>
      <c r="AT12" s="13">
        <v>0.31</v>
      </c>
      <c r="AU12" s="2">
        <v>354</v>
      </c>
      <c r="BE12" s="11">
        <v>0.28360000000000002</v>
      </c>
      <c r="BF12" s="2">
        <v>3516</v>
      </c>
      <c r="BH12" s="11">
        <v>0.28360000000000002</v>
      </c>
      <c r="BI12" s="2">
        <v>3516</v>
      </c>
      <c r="BS12" s="14">
        <v>40552</v>
      </c>
      <c r="BT12" s="2">
        <v>822</v>
      </c>
      <c r="BV12" s="14">
        <v>40552</v>
      </c>
      <c r="BW12" s="2">
        <v>822</v>
      </c>
    </row>
    <row r="13" spans="1:75" x14ac:dyDescent="0.3">
      <c r="A13" s="14">
        <v>40553</v>
      </c>
      <c r="B13" s="12">
        <v>1321</v>
      </c>
      <c r="T13" s="17">
        <v>0.375</v>
      </c>
      <c r="U13" s="2">
        <v>87.428571428571431</v>
      </c>
      <c r="AK13" s="11">
        <v>0.18</v>
      </c>
      <c r="AL13" s="2">
        <v>4045</v>
      </c>
      <c r="AN13" s="11">
        <v>0.2</v>
      </c>
      <c r="AO13" s="2">
        <v>7926</v>
      </c>
      <c r="AQ13" s="13">
        <v>0.31</v>
      </c>
      <c r="AR13" s="2">
        <v>354</v>
      </c>
      <c r="AT13" s="13">
        <v>0.32</v>
      </c>
      <c r="AU13" s="2">
        <v>1023</v>
      </c>
      <c r="BE13" s="11">
        <v>0.29849999999999999</v>
      </c>
      <c r="BF13" s="2">
        <v>2872</v>
      </c>
      <c r="BH13" s="11">
        <v>0.29849999999999999</v>
      </c>
      <c r="BI13" s="2">
        <v>2872</v>
      </c>
      <c r="BS13" s="14">
        <v>40553</v>
      </c>
      <c r="BT13" s="2">
        <v>1321</v>
      </c>
      <c r="BV13" s="14">
        <v>40553</v>
      </c>
      <c r="BW13" s="2">
        <v>1321</v>
      </c>
    </row>
    <row r="14" spans="1:75" x14ac:dyDescent="0.3">
      <c r="A14" s="14">
        <v>40554</v>
      </c>
      <c r="B14" s="12">
        <v>1263</v>
      </c>
      <c r="T14" s="17">
        <v>0.41666666666666669</v>
      </c>
      <c r="U14" s="2">
        <v>53.642857142857146</v>
      </c>
      <c r="AK14" s="11">
        <v>0.2</v>
      </c>
      <c r="AL14" s="2">
        <v>7926</v>
      </c>
      <c r="AN14" s="11">
        <v>0.22</v>
      </c>
      <c r="AO14" s="2">
        <v>7212</v>
      </c>
      <c r="AQ14" s="13">
        <v>0.32</v>
      </c>
      <c r="AR14" s="2">
        <v>1023</v>
      </c>
      <c r="AT14" s="13">
        <v>0.33</v>
      </c>
      <c r="AU14" s="2">
        <v>536</v>
      </c>
      <c r="BE14" s="11">
        <v>0.32840000000000003</v>
      </c>
      <c r="BF14" s="2">
        <v>3608</v>
      </c>
      <c r="BH14" s="11">
        <v>0.32840000000000003</v>
      </c>
      <c r="BI14" s="2">
        <v>3608</v>
      </c>
      <c r="BS14" s="14">
        <v>40554</v>
      </c>
      <c r="BT14" s="2">
        <v>1263</v>
      </c>
      <c r="BV14" s="14">
        <v>40554</v>
      </c>
      <c r="BW14" s="2">
        <v>1263</v>
      </c>
    </row>
    <row r="15" spans="1:75" x14ac:dyDescent="0.3">
      <c r="A15" s="14">
        <v>40555</v>
      </c>
      <c r="B15" s="12">
        <v>1162</v>
      </c>
      <c r="T15" s="17">
        <v>0.45833333333333331</v>
      </c>
      <c r="U15" s="2">
        <v>59.38095238095238</v>
      </c>
      <c r="AK15" s="11">
        <v>0.22</v>
      </c>
      <c r="AL15" s="2">
        <v>7212</v>
      </c>
      <c r="AN15" s="11">
        <v>0.24</v>
      </c>
      <c r="AO15" s="2">
        <v>5965</v>
      </c>
      <c r="AQ15" s="13">
        <v>0.33</v>
      </c>
      <c r="AR15" s="2">
        <v>536</v>
      </c>
      <c r="AT15" s="13">
        <v>0.34</v>
      </c>
      <c r="AU15" s="2">
        <v>652</v>
      </c>
      <c r="BE15" s="11">
        <v>0.35820000000000002</v>
      </c>
      <c r="BF15" s="2">
        <v>2069</v>
      </c>
      <c r="BH15" s="11">
        <v>0.35820000000000002</v>
      </c>
      <c r="BI15" s="2">
        <v>2069</v>
      </c>
      <c r="BS15" s="14">
        <v>40555</v>
      </c>
      <c r="BT15" s="2">
        <v>1162</v>
      </c>
      <c r="BV15" s="14">
        <v>40555</v>
      </c>
      <c r="BW15" s="2">
        <v>1162</v>
      </c>
    </row>
    <row r="16" spans="1:75" x14ac:dyDescent="0.3">
      <c r="A16" s="14">
        <v>40556</v>
      </c>
      <c r="B16" s="12">
        <v>1406</v>
      </c>
      <c r="T16" s="17">
        <v>0.5</v>
      </c>
      <c r="U16" s="2">
        <v>76.348837209302332</v>
      </c>
      <c r="AK16" s="11">
        <v>0.24</v>
      </c>
      <c r="AL16" s="2">
        <v>5965</v>
      </c>
      <c r="AN16" s="11">
        <v>0.26</v>
      </c>
      <c r="AO16" s="2">
        <v>3157</v>
      </c>
      <c r="AQ16" s="13">
        <v>0.34</v>
      </c>
      <c r="AR16" s="2">
        <v>652</v>
      </c>
      <c r="AT16" s="13">
        <v>0.35</v>
      </c>
      <c r="AU16" s="2">
        <v>1139</v>
      </c>
      <c r="BE16" s="11">
        <v>0.3881</v>
      </c>
      <c r="BF16" s="2">
        <v>1250</v>
      </c>
      <c r="BH16" s="11">
        <v>0.3881</v>
      </c>
      <c r="BI16" s="2">
        <v>1250</v>
      </c>
      <c r="BS16" s="14">
        <v>40556</v>
      </c>
      <c r="BT16" s="2">
        <v>1406</v>
      </c>
      <c r="BV16" s="14">
        <v>40556</v>
      </c>
      <c r="BW16" s="2">
        <v>1406</v>
      </c>
    </row>
    <row r="17" spans="1:75" x14ac:dyDescent="0.3">
      <c r="A17" s="14">
        <v>40557</v>
      </c>
      <c r="B17" s="12">
        <v>1421</v>
      </c>
      <c r="T17" s="17">
        <v>0.54166666666666663</v>
      </c>
      <c r="U17" s="2">
        <v>78.511627906976742</v>
      </c>
      <c r="AK17" s="11">
        <v>0.26</v>
      </c>
      <c r="AL17" s="2">
        <v>3157</v>
      </c>
      <c r="AN17" s="11">
        <v>0.28000000000000003</v>
      </c>
      <c r="AO17" s="2">
        <v>1958</v>
      </c>
      <c r="AQ17" s="13">
        <v>0.35</v>
      </c>
      <c r="AR17" s="2">
        <v>1139</v>
      </c>
      <c r="AT17" s="13">
        <v>0.36</v>
      </c>
      <c r="AU17" s="2">
        <v>670</v>
      </c>
      <c r="BE17" s="11">
        <v>0.41789999999999999</v>
      </c>
      <c r="BF17" s="2">
        <v>1432</v>
      </c>
      <c r="BH17" s="11">
        <v>0.41789999999999999</v>
      </c>
      <c r="BI17" s="2">
        <v>1432</v>
      </c>
      <c r="BS17" s="14">
        <v>40557</v>
      </c>
      <c r="BT17" s="2">
        <v>1421</v>
      </c>
      <c r="BV17" s="14">
        <v>40557</v>
      </c>
      <c r="BW17" s="2">
        <v>1421</v>
      </c>
    </row>
    <row r="18" spans="1:75" x14ac:dyDescent="0.3">
      <c r="A18" s="14">
        <v>40558</v>
      </c>
      <c r="B18" s="12">
        <v>1248</v>
      </c>
      <c r="T18" s="17">
        <v>0.58333333333333337</v>
      </c>
      <c r="U18" s="2">
        <v>74.418604651162795</v>
      </c>
      <c r="AK18" s="11">
        <v>0.28000000000000003</v>
      </c>
      <c r="AL18" s="2">
        <v>1958</v>
      </c>
      <c r="AN18" s="11">
        <v>0.3</v>
      </c>
      <c r="AO18" s="2">
        <v>3551</v>
      </c>
      <c r="AQ18" s="13">
        <v>0.36</v>
      </c>
      <c r="AR18" s="2">
        <v>670</v>
      </c>
      <c r="AT18" s="13">
        <v>0.37</v>
      </c>
      <c r="AU18" s="2">
        <v>1571</v>
      </c>
      <c r="BE18" s="11">
        <v>0.44779999999999998</v>
      </c>
      <c r="BF18" s="2">
        <v>1107</v>
      </c>
      <c r="BH18" s="11">
        <v>0.44779999999999998</v>
      </c>
      <c r="BI18" s="2">
        <v>1107</v>
      </c>
      <c r="BS18" s="14">
        <v>40558</v>
      </c>
      <c r="BT18" s="2">
        <v>1248</v>
      </c>
      <c r="BV18" s="14">
        <v>40558</v>
      </c>
      <c r="BW18" s="2">
        <v>1248</v>
      </c>
    </row>
    <row r="19" spans="1:75" x14ac:dyDescent="0.3">
      <c r="A19" s="14">
        <v>40559</v>
      </c>
      <c r="B19" s="12">
        <v>1204</v>
      </c>
      <c r="T19" s="17">
        <v>0.625</v>
      </c>
      <c r="U19" s="2">
        <v>77.95348837209302</v>
      </c>
      <c r="AK19" s="11">
        <v>0.3</v>
      </c>
      <c r="AL19" s="2">
        <v>3551</v>
      </c>
      <c r="AN19" s="11">
        <v>0.32</v>
      </c>
      <c r="AO19" s="2">
        <v>1966</v>
      </c>
      <c r="AQ19" s="13">
        <v>0.37</v>
      </c>
      <c r="AR19" s="2">
        <v>1571</v>
      </c>
      <c r="AT19" s="13">
        <v>0.38</v>
      </c>
      <c r="AU19" s="2">
        <v>1498</v>
      </c>
      <c r="BE19" s="11">
        <v>0.4627</v>
      </c>
      <c r="BF19" s="2">
        <v>881</v>
      </c>
      <c r="BH19" s="11">
        <v>0.4627</v>
      </c>
      <c r="BI19" s="2">
        <v>881</v>
      </c>
      <c r="BS19" s="14">
        <v>40559</v>
      </c>
      <c r="BT19" s="2">
        <v>1204</v>
      </c>
      <c r="BV19" s="14">
        <v>40559</v>
      </c>
      <c r="BW19" s="2">
        <v>1204</v>
      </c>
    </row>
    <row r="20" spans="1:75" x14ac:dyDescent="0.3">
      <c r="A20" s="14">
        <v>40560</v>
      </c>
      <c r="B20" s="12">
        <v>1000</v>
      </c>
      <c r="T20" s="17">
        <v>0.66666666666666663</v>
      </c>
      <c r="U20" s="2">
        <v>89.272727272727266</v>
      </c>
      <c r="AK20" s="11">
        <v>0.32</v>
      </c>
      <c r="AL20" s="2">
        <v>1966</v>
      </c>
      <c r="AN20" s="11">
        <v>0.34</v>
      </c>
      <c r="AO20" s="2">
        <v>2478</v>
      </c>
      <c r="AQ20" s="13">
        <v>0.38</v>
      </c>
      <c r="AR20" s="2">
        <v>1498</v>
      </c>
      <c r="AT20" s="13">
        <v>0.39</v>
      </c>
      <c r="AU20" s="2">
        <v>1084</v>
      </c>
      <c r="BE20" s="11">
        <v>0.49249999999999999</v>
      </c>
      <c r="BF20" s="2">
        <v>629</v>
      </c>
      <c r="BH20" s="11">
        <v>0.49249999999999999</v>
      </c>
      <c r="BI20" s="2">
        <v>629</v>
      </c>
      <c r="BS20" s="14">
        <v>40560</v>
      </c>
      <c r="BT20" s="2">
        <v>1000</v>
      </c>
      <c r="BV20" s="14">
        <v>40560</v>
      </c>
      <c r="BW20" s="2">
        <v>1000</v>
      </c>
    </row>
    <row r="21" spans="1:75" x14ac:dyDescent="0.3">
      <c r="A21" s="14">
        <v>40561</v>
      </c>
      <c r="B21" s="12">
        <v>683</v>
      </c>
      <c r="T21" s="17">
        <v>0.70833333333333337</v>
      </c>
      <c r="U21" s="2">
        <v>140.20454545454547</v>
      </c>
      <c r="AK21" s="11">
        <v>0.34</v>
      </c>
      <c r="AL21" s="2">
        <v>2478</v>
      </c>
      <c r="AN21" s="11">
        <v>0.36</v>
      </c>
      <c r="AO21" s="2">
        <v>1341</v>
      </c>
      <c r="AQ21" s="13">
        <v>0.39</v>
      </c>
      <c r="AR21" s="2">
        <v>1084</v>
      </c>
      <c r="AT21" s="13">
        <v>0.4</v>
      </c>
      <c r="AU21" s="2">
        <v>2475</v>
      </c>
      <c r="BE21" s="11">
        <v>0.52239999999999998</v>
      </c>
      <c r="BF21" s="2">
        <v>682</v>
      </c>
      <c r="BH21" s="11">
        <v>0.52239999999999998</v>
      </c>
      <c r="BI21" s="2">
        <v>682</v>
      </c>
      <c r="BS21" s="14">
        <v>40561</v>
      </c>
      <c r="BT21" s="2">
        <v>683</v>
      </c>
      <c r="BV21" s="14">
        <v>40561</v>
      </c>
      <c r="BW21" s="2">
        <v>683</v>
      </c>
    </row>
    <row r="22" spans="1:75" x14ac:dyDescent="0.3">
      <c r="A22" s="14">
        <v>40562</v>
      </c>
      <c r="B22" s="12">
        <v>1650</v>
      </c>
      <c r="T22" s="17">
        <v>0.75</v>
      </c>
      <c r="U22" s="2">
        <v>122.86046511627907</v>
      </c>
      <c r="AK22" s="11">
        <v>0.36</v>
      </c>
      <c r="AL22" s="2">
        <v>1341</v>
      </c>
      <c r="AN22" s="11">
        <v>0.38</v>
      </c>
      <c r="AO22" s="2">
        <v>521</v>
      </c>
      <c r="AQ22" s="13">
        <v>0.4</v>
      </c>
      <c r="AR22" s="2">
        <v>2475</v>
      </c>
      <c r="AT22" s="13">
        <v>0.41</v>
      </c>
      <c r="AU22" s="2">
        <v>1102</v>
      </c>
      <c r="BE22" s="11">
        <v>0.55220000000000002</v>
      </c>
      <c r="BF22" s="2">
        <v>374</v>
      </c>
      <c r="BH22" s="11">
        <v>0.55220000000000002</v>
      </c>
      <c r="BI22" s="2">
        <v>374</v>
      </c>
      <c r="BS22" s="14">
        <v>40562</v>
      </c>
      <c r="BT22" s="2">
        <v>1650</v>
      </c>
      <c r="BV22" s="14">
        <v>40562</v>
      </c>
      <c r="BW22" s="2">
        <v>1650</v>
      </c>
    </row>
    <row r="23" spans="1:75" x14ac:dyDescent="0.3">
      <c r="A23" s="14">
        <v>40563</v>
      </c>
      <c r="B23" s="12">
        <v>1927</v>
      </c>
      <c r="T23" s="17">
        <v>0.79166666666666663</v>
      </c>
      <c r="U23" s="2">
        <v>85.139534883720927</v>
      </c>
      <c r="AK23" s="11">
        <v>0.38</v>
      </c>
      <c r="AL23" s="2">
        <v>521</v>
      </c>
      <c r="AN23" s="11">
        <v>0.4</v>
      </c>
      <c r="AO23" s="2">
        <v>985</v>
      </c>
      <c r="AQ23" s="13">
        <v>0.41</v>
      </c>
      <c r="AR23" s="2">
        <v>1102</v>
      </c>
      <c r="AT23" s="13">
        <v>0.42</v>
      </c>
      <c r="AU23" s="2">
        <v>1151</v>
      </c>
      <c r="BE23" s="11">
        <v>0.58209999999999995</v>
      </c>
      <c r="BF23" s="2">
        <v>382</v>
      </c>
      <c r="BH23" s="11">
        <v>0.58209999999999995</v>
      </c>
      <c r="BI23" s="2">
        <v>382</v>
      </c>
      <c r="BS23" s="14">
        <v>40563</v>
      </c>
      <c r="BT23" s="2">
        <v>1927</v>
      </c>
      <c r="BV23" s="14">
        <v>40563</v>
      </c>
      <c r="BW23" s="2">
        <v>1927</v>
      </c>
    </row>
    <row r="24" spans="1:75" x14ac:dyDescent="0.3">
      <c r="A24" s="14">
        <v>40564</v>
      </c>
      <c r="B24" s="12">
        <v>1543</v>
      </c>
      <c r="D24">
        <f>SUM(Append_MergeDS12_DS3[Casual and Registered])</f>
        <v>58304</v>
      </c>
      <c r="T24" s="17">
        <v>0.83333333333333337</v>
      </c>
      <c r="U24" s="2">
        <v>61.767441860465119</v>
      </c>
      <c r="AK24" s="11">
        <v>0.4</v>
      </c>
      <c r="AL24" s="2">
        <v>985</v>
      </c>
      <c r="AN24" s="11">
        <v>0.42</v>
      </c>
      <c r="AO24" s="2">
        <v>519</v>
      </c>
      <c r="AQ24" s="13">
        <v>0.42</v>
      </c>
      <c r="AR24" s="2">
        <v>1151</v>
      </c>
      <c r="AT24" s="13">
        <v>0.43</v>
      </c>
      <c r="AU24" s="2">
        <v>809</v>
      </c>
      <c r="BE24" s="11" t="s">
        <v>29</v>
      </c>
      <c r="BF24" s="2">
        <v>58304</v>
      </c>
      <c r="BS24" s="14">
        <v>40564</v>
      </c>
      <c r="BT24" s="2">
        <v>1543</v>
      </c>
      <c r="BV24" s="14">
        <v>40564</v>
      </c>
      <c r="BW24" s="2">
        <v>1543</v>
      </c>
    </row>
    <row r="25" spans="1:75" x14ac:dyDescent="0.3">
      <c r="A25" s="14">
        <v>40565</v>
      </c>
      <c r="B25" s="12">
        <v>981</v>
      </c>
      <c r="T25" s="17">
        <v>0.875</v>
      </c>
      <c r="U25" s="2">
        <v>46.418604651162788</v>
      </c>
      <c r="AK25" s="11">
        <v>0.42</v>
      </c>
      <c r="AL25" s="2">
        <v>519</v>
      </c>
      <c r="AN25" s="11">
        <v>0.44</v>
      </c>
      <c r="AO25" s="2">
        <v>194</v>
      </c>
      <c r="AQ25" s="13">
        <v>0.43</v>
      </c>
      <c r="AR25" s="2">
        <v>809</v>
      </c>
      <c r="AT25" s="13">
        <v>0.44</v>
      </c>
      <c r="AU25" s="2">
        <v>756</v>
      </c>
      <c r="BS25" s="14">
        <v>40565</v>
      </c>
      <c r="BT25" s="2">
        <v>981</v>
      </c>
      <c r="BV25" s="14">
        <v>40565</v>
      </c>
      <c r="BW25" s="2">
        <v>981</v>
      </c>
    </row>
    <row r="26" spans="1:75" x14ac:dyDescent="0.3">
      <c r="A26" s="14">
        <v>40566</v>
      </c>
      <c r="B26" s="12">
        <v>986</v>
      </c>
      <c r="T26" s="17">
        <v>0.91666666666666663</v>
      </c>
      <c r="U26" s="2">
        <v>35.069767441860463</v>
      </c>
      <c r="AK26" s="11">
        <v>0.44</v>
      </c>
      <c r="AL26" s="2">
        <v>194</v>
      </c>
      <c r="AN26" s="11">
        <v>0.46</v>
      </c>
      <c r="AO26" s="2">
        <v>265</v>
      </c>
      <c r="AQ26" s="13">
        <v>0.44</v>
      </c>
      <c r="AR26" s="2">
        <v>756</v>
      </c>
      <c r="AT26" s="13">
        <v>0.45</v>
      </c>
      <c r="AU26" s="2">
        <v>1134</v>
      </c>
      <c r="BS26" s="14">
        <v>40566</v>
      </c>
      <c r="BT26" s="2">
        <v>986</v>
      </c>
      <c r="BV26" s="14">
        <v>40566</v>
      </c>
      <c r="BW26" s="2">
        <v>986</v>
      </c>
    </row>
    <row r="27" spans="1:75" x14ac:dyDescent="0.3">
      <c r="A27" s="14">
        <v>40567</v>
      </c>
      <c r="B27" s="12">
        <v>1416</v>
      </c>
      <c r="T27" s="17">
        <v>0.95833333333333337</v>
      </c>
      <c r="U27" s="2">
        <v>25.186046511627907</v>
      </c>
      <c r="AK27" s="11">
        <v>0.46</v>
      </c>
      <c r="AL27" s="2">
        <v>265</v>
      </c>
      <c r="AN27" s="11"/>
      <c r="AO27" s="2"/>
      <c r="AQ27" s="13">
        <v>0.45</v>
      </c>
      <c r="AR27" s="2">
        <v>1134</v>
      </c>
      <c r="AT27" s="13">
        <v>0.46</v>
      </c>
      <c r="AU27" s="2">
        <v>1325</v>
      </c>
      <c r="BS27" s="14">
        <v>40567</v>
      </c>
      <c r="BT27" s="2">
        <v>1416</v>
      </c>
      <c r="BV27" s="14">
        <v>40567</v>
      </c>
      <c r="BW27" s="2">
        <v>1416</v>
      </c>
    </row>
    <row r="28" spans="1:75" x14ac:dyDescent="0.3">
      <c r="A28" s="14">
        <v>40568</v>
      </c>
      <c r="B28" s="12">
        <v>1985</v>
      </c>
      <c r="T28" s="17" t="s">
        <v>29</v>
      </c>
      <c r="U28" s="2">
        <v>58.304000000000002</v>
      </c>
      <c r="AK28" s="11" t="s">
        <v>29</v>
      </c>
      <c r="AL28" s="2">
        <v>58304</v>
      </c>
      <c r="AQ28" s="13">
        <v>0.46</v>
      </c>
      <c r="AR28" s="2">
        <v>1325</v>
      </c>
      <c r="AT28" s="13">
        <v>0.47</v>
      </c>
      <c r="AU28" s="2">
        <v>3215</v>
      </c>
      <c r="BS28" s="14">
        <v>40568</v>
      </c>
      <c r="BT28" s="2">
        <v>1985</v>
      </c>
      <c r="BV28" s="14">
        <v>40568</v>
      </c>
      <c r="BW28" s="2">
        <v>1985</v>
      </c>
    </row>
    <row r="29" spans="1:75" x14ac:dyDescent="0.3">
      <c r="A29" s="14">
        <v>40569</v>
      </c>
      <c r="B29" s="12">
        <v>506</v>
      </c>
      <c r="AQ29" s="13">
        <v>0.47</v>
      </c>
      <c r="AR29" s="2">
        <v>3215</v>
      </c>
      <c r="AT29" s="13">
        <v>0.48</v>
      </c>
      <c r="AU29" s="2">
        <v>1067</v>
      </c>
      <c r="BS29" s="14">
        <v>40569</v>
      </c>
      <c r="BT29" s="2">
        <v>506</v>
      </c>
      <c r="BV29" s="14">
        <v>40569</v>
      </c>
      <c r="BW29" s="2">
        <v>506</v>
      </c>
    </row>
    <row r="30" spans="1:75" x14ac:dyDescent="0.3">
      <c r="A30" s="14">
        <v>40570</v>
      </c>
      <c r="B30" s="12">
        <v>431</v>
      </c>
      <c r="AQ30" s="13">
        <v>0.48</v>
      </c>
      <c r="AR30" s="2">
        <v>1067</v>
      </c>
      <c r="AT30" s="13">
        <v>0.49</v>
      </c>
      <c r="AU30" s="2">
        <v>1553</v>
      </c>
      <c r="BS30" s="14">
        <v>40570</v>
      </c>
      <c r="BT30" s="2">
        <v>431</v>
      </c>
      <c r="BV30" s="14">
        <v>40570</v>
      </c>
      <c r="BW30" s="2">
        <v>431</v>
      </c>
    </row>
    <row r="31" spans="1:75" x14ac:dyDescent="0.3">
      <c r="A31" s="14">
        <v>40571</v>
      </c>
      <c r="B31" s="12">
        <v>1167</v>
      </c>
      <c r="AQ31" s="13">
        <v>0.49</v>
      </c>
      <c r="AR31" s="2">
        <v>1553</v>
      </c>
      <c r="AT31" s="13">
        <v>0.5</v>
      </c>
      <c r="AU31" s="2">
        <v>1955</v>
      </c>
      <c r="BS31" s="14">
        <v>40571</v>
      </c>
      <c r="BT31" s="2">
        <v>1167</v>
      </c>
      <c r="BV31" s="14">
        <v>40571</v>
      </c>
      <c r="BW31" s="2">
        <v>1167</v>
      </c>
    </row>
    <row r="32" spans="1:75" x14ac:dyDescent="0.3">
      <c r="A32" s="14">
        <v>40572</v>
      </c>
      <c r="B32" s="12">
        <v>1098</v>
      </c>
      <c r="AQ32" s="13">
        <v>0.5</v>
      </c>
      <c r="AR32" s="2">
        <v>1955</v>
      </c>
      <c r="AT32" s="13">
        <v>0.51</v>
      </c>
      <c r="AU32" s="2">
        <v>2184</v>
      </c>
      <c r="BS32" s="14">
        <v>40572</v>
      </c>
      <c r="BT32" s="2">
        <v>1098</v>
      </c>
      <c r="BV32" s="14">
        <v>40572</v>
      </c>
      <c r="BW32" s="2">
        <v>1098</v>
      </c>
    </row>
    <row r="33" spans="1:75" x14ac:dyDescent="0.3">
      <c r="A33" s="14">
        <v>40573</v>
      </c>
      <c r="B33" s="12">
        <v>1096</v>
      </c>
      <c r="AQ33" s="13">
        <v>0.51</v>
      </c>
      <c r="AR33" s="2">
        <v>2184</v>
      </c>
      <c r="AT33" s="13">
        <v>0.52</v>
      </c>
      <c r="AU33" s="2">
        <v>679</v>
      </c>
      <c r="BS33" s="14">
        <v>40573</v>
      </c>
      <c r="BT33" s="2">
        <v>1096</v>
      </c>
      <c r="BV33" s="14">
        <v>40573</v>
      </c>
      <c r="BW33" s="2">
        <v>1096</v>
      </c>
    </row>
    <row r="34" spans="1:75" x14ac:dyDescent="0.3">
      <c r="A34" s="14">
        <v>40574</v>
      </c>
      <c r="B34" s="12">
        <v>1501</v>
      </c>
      <c r="AQ34" s="13">
        <v>0.52</v>
      </c>
      <c r="AR34" s="2">
        <v>679</v>
      </c>
      <c r="AT34" s="13">
        <v>0.53</v>
      </c>
      <c r="AU34" s="2">
        <v>203</v>
      </c>
      <c r="BS34" s="14">
        <v>40574</v>
      </c>
      <c r="BT34" s="2">
        <v>1501</v>
      </c>
      <c r="BV34" s="14">
        <v>40574</v>
      </c>
      <c r="BW34" s="2">
        <v>1501</v>
      </c>
    </row>
    <row r="35" spans="1:75" x14ac:dyDescent="0.3">
      <c r="A35" s="14">
        <v>40575</v>
      </c>
      <c r="B35" s="12">
        <v>1360</v>
      </c>
      <c r="AQ35" s="13">
        <v>0.53</v>
      </c>
      <c r="AR35" s="2">
        <v>203</v>
      </c>
      <c r="AT35" s="13">
        <v>0.54</v>
      </c>
      <c r="AU35" s="2">
        <v>440</v>
      </c>
      <c r="BS35" s="14">
        <v>40575</v>
      </c>
      <c r="BT35" s="2">
        <v>1360</v>
      </c>
      <c r="BV35" s="14">
        <v>40575</v>
      </c>
      <c r="BW35" s="2">
        <v>1360</v>
      </c>
    </row>
    <row r="36" spans="1:75" x14ac:dyDescent="0.3">
      <c r="A36" s="14">
        <v>40576</v>
      </c>
      <c r="B36" s="12">
        <v>1526</v>
      </c>
      <c r="AQ36" s="13">
        <v>0.54</v>
      </c>
      <c r="AR36" s="2">
        <v>440</v>
      </c>
      <c r="AT36" s="13">
        <v>0.55000000000000004</v>
      </c>
      <c r="AU36" s="2">
        <v>2021</v>
      </c>
      <c r="BS36" s="14">
        <v>40576</v>
      </c>
      <c r="BT36" s="2">
        <v>1526</v>
      </c>
      <c r="BV36" s="14">
        <v>40576</v>
      </c>
      <c r="BW36" s="2">
        <v>1526</v>
      </c>
    </row>
    <row r="37" spans="1:75" x14ac:dyDescent="0.3">
      <c r="A37" s="14">
        <v>40577</v>
      </c>
      <c r="B37" s="12">
        <v>1550</v>
      </c>
      <c r="AQ37" s="13">
        <v>0.55000000000000004</v>
      </c>
      <c r="AR37" s="2">
        <v>2021</v>
      </c>
      <c r="AT37" s="13">
        <v>0.56000000000000005</v>
      </c>
      <c r="AU37" s="2">
        <v>1706</v>
      </c>
      <c r="BS37" s="14">
        <v>40577</v>
      </c>
      <c r="BT37" s="2">
        <v>1550</v>
      </c>
      <c r="BV37" s="14">
        <v>40577</v>
      </c>
      <c r="BW37" s="2">
        <v>1550</v>
      </c>
    </row>
    <row r="38" spans="1:75" x14ac:dyDescent="0.3">
      <c r="A38" s="14">
        <v>40578</v>
      </c>
      <c r="B38" s="12">
        <v>1708</v>
      </c>
      <c r="AQ38" s="13">
        <v>0.56000000000000005</v>
      </c>
      <c r="AR38" s="2">
        <v>1706</v>
      </c>
      <c r="AT38" s="13">
        <v>0.56999999999999995</v>
      </c>
      <c r="AU38" s="2">
        <v>684</v>
      </c>
      <c r="BS38" s="14">
        <v>40578</v>
      </c>
      <c r="BT38" s="2">
        <v>1708</v>
      </c>
      <c r="BV38" s="14">
        <v>40578</v>
      </c>
      <c r="BW38" s="2">
        <v>1708</v>
      </c>
    </row>
    <row r="39" spans="1:75" x14ac:dyDescent="0.3">
      <c r="A39" s="14">
        <v>40579</v>
      </c>
      <c r="B39" s="12">
        <v>1005</v>
      </c>
      <c r="D39" s="8" t="s">
        <v>37</v>
      </c>
      <c r="E39" s="9"/>
      <c r="F39" s="9"/>
      <c r="G39" s="9"/>
      <c r="AQ39" s="13">
        <v>0.56999999999999995</v>
      </c>
      <c r="AR39" s="2">
        <v>684</v>
      </c>
      <c r="AT39" s="13">
        <v>0.57999999999999996</v>
      </c>
      <c r="AU39" s="2">
        <v>181</v>
      </c>
      <c r="BS39" s="14">
        <v>40579</v>
      </c>
      <c r="BT39" s="2">
        <v>1005</v>
      </c>
      <c r="BV39" s="14">
        <v>40579</v>
      </c>
      <c r="BW39" s="2">
        <v>1005</v>
      </c>
    </row>
    <row r="40" spans="1:75" x14ac:dyDescent="0.3">
      <c r="A40" s="14">
        <v>40580</v>
      </c>
      <c r="B40" s="12">
        <v>1623</v>
      </c>
      <c r="D40" s="9"/>
      <c r="E40" s="9"/>
      <c r="F40" s="9"/>
      <c r="G40" s="9"/>
      <c r="AQ40" s="13">
        <v>0.57999999999999996</v>
      </c>
      <c r="AR40" s="2">
        <v>181</v>
      </c>
      <c r="AT40" s="13">
        <v>0.59</v>
      </c>
      <c r="AU40" s="2">
        <v>2568</v>
      </c>
      <c r="BS40" s="14">
        <v>40580</v>
      </c>
      <c r="BT40" s="2">
        <v>1623</v>
      </c>
      <c r="BV40" s="14">
        <v>40580</v>
      </c>
      <c r="BW40" s="2">
        <v>1623</v>
      </c>
    </row>
    <row r="41" spans="1:75" x14ac:dyDescent="0.3">
      <c r="A41" s="14">
        <v>40581</v>
      </c>
      <c r="B41" s="12">
        <v>1712</v>
      </c>
      <c r="D41" s="9"/>
      <c r="E41" s="9"/>
      <c r="F41" s="9"/>
      <c r="G41" s="9"/>
      <c r="AQ41" s="13">
        <v>0.59</v>
      </c>
      <c r="AR41" s="2">
        <v>2568</v>
      </c>
      <c r="AT41" s="13">
        <v>0.6</v>
      </c>
      <c r="AU41" s="2">
        <v>993</v>
      </c>
      <c r="BS41" s="14">
        <v>40581</v>
      </c>
      <c r="BT41" s="2">
        <v>1712</v>
      </c>
      <c r="BV41" s="14">
        <v>40581</v>
      </c>
      <c r="BW41" s="2">
        <v>1712</v>
      </c>
    </row>
    <row r="42" spans="1:75" x14ac:dyDescent="0.3">
      <c r="A42" s="14">
        <v>40582</v>
      </c>
      <c r="B42" s="12">
        <v>1530</v>
      </c>
      <c r="D42" s="9"/>
      <c r="E42" s="9"/>
      <c r="F42" s="9"/>
      <c r="G42" s="9"/>
      <c r="AQ42" s="13">
        <v>0.6</v>
      </c>
      <c r="AR42" s="2">
        <v>993</v>
      </c>
      <c r="AT42" s="13">
        <v>0.61</v>
      </c>
      <c r="AU42" s="2">
        <v>525</v>
      </c>
      <c r="BS42" s="14">
        <v>40582</v>
      </c>
      <c r="BT42" s="2">
        <v>1530</v>
      </c>
      <c r="BV42" s="14">
        <v>40582</v>
      </c>
      <c r="BW42" s="2">
        <v>1530</v>
      </c>
    </row>
    <row r="43" spans="1:75" x14ac:dyDescent="0.3">
      <c r="A43" s="14">
        <v>40583</v>
      </c>
      <c r="B43" s="12">
        <v>1605</v>
      </c>
      <c r="D43" s="9"/>
      <c r="E43" s="9"/>
      <c r="F43" s="9"/>
      <c r="G43" s="9"/>
      <c r="AQ43" s="13">
        <v>0.61</v>
      </c>
      <c r="AR43" s="2">
        <v>525</v>
      </c>
      <c r="AT43" s="13">
        <v>0.62</v>
      </c>
      <c r="AU43" s="2">
        <v>186</v>
      </c>
      <c r="BS43" s="14">
        <v>40583</v>
      </c>
      <c r="BT43" s="2">
        <v>1605</v>
      </c>
      <c r="BV43" s="14">
        <v>40583</v>
      </c>
      <c r="BW43" s="2">
        <v>1605</v>
      </c>
    </row>
    <row r="44" spans="1:75" x14ac:dyDescent="0.3">
      <c r="A44" s="14">
        <v>40584</v>
      </c>
      <c r="B44" s="12">
        <v>1538</v>
      </c>
      <c r="AQ44" s="13">
        <v>0.62</v>
      </c>
      <c r="AR44" s="2">
        <v>186</v>
      </c>
      <c r="AT44" s="13">
        <v>0.63</v>
      </c>
      <c r="AU44" s="2">
        <v>182</v>
      </c>
      <c r="BS44" s="14">
        <v>40584</v>
      </c>
      <c r="BT44" s="2">
        <v>1538</v>
      </c>
      <c r="BV44" s="14">
        <v>40584</v>
      </c>
      <c r="BW44" s="2">
        <v>1538</v>
      </c>
    </row>
    <row r="45" spans="1:75" x14ac:dyDescent="0.3">
      <c r="A45" s="14">
        <v>40585</v>
      </c>
      <c r="B45" s="12">
        <v>1746</v>
      </c>
      <c r="AQ45" s="13">
        <v>0.63</v>
      </c>
      <c r="AR45" s="2">
        <v>182</v>
      </c>
      <c r="AT45" s="13">
        <v>0.64</v>
      </c>
      <c r="AU45" s="2">
        <v>1003</v>
      </c>
      <c r="BS45" s="14">
        <v>40585</v>
      </c>
      <c r="BT45" s="2">
        <v>1746</v>
      </c>
      <c r="BV45" s="14">
        <v>40585</v>
      </c>
      <c r="BW45" s="2">
        <v>1746</v>
      </c>
    </row>
    <row r="46" spans="1:75" x14ac:dyDescent="0.3">
      <c r="A46" s="14">
        <v>40586</v>
      </c>
      <c r="B46" s="12">
        <v>1472</v>
      </c>
      <c r="AQ46" s="13">
        <v>0.64</v>
      </c>
      <c r="AR46" s="2">
        <v>1003</v>
      </c>
      <c r="AT46" s="13">
        <v>0.65</v>
      </c>
      <c r="AU46" s="2">
        <v>1114</v>
      </c>
      <c r="BS46" s="14">
        <v>40586</v>
      </c>
      <c r="BT46" s="2">
        <v>1472</v>
      </c>
      <c r="BV46" s="14">
        <v>40586</v>
      </c>
      <c r="BW46" s="2">
        <v>1472</v>
      </c>
    </row>
    <row r="47" spans="1:75" x14ac:dyDescent="0.3">
      <c r="A47" s="14">
        <v>40587</v>
      </c>
      <c r="B47" s="12">
        <v>1589</v>
      </c>
      <c r="AQ47" s="13">
        <v>0.65</v>
      </c>
      <c r="AR47" s="2">
        <v>1114</v>
      </c>
      <c r="AT47" s="13">
        <v>0.66</v>
      </c>
      <c r="AU47" s="2">
        <v>343</v>
      </c>
      <c r="BS47" s="14">
        <v>40587</v>
      </c>
      <c r="BT47" s="2">
        <v>1589</v>
      </c>
      <c r="BV47" s="14">
        <v>40587</v>
      </c>
      <c r="BW47" s="2">
        <v>1589</v>
      </c>
    </row>
    <row r="48" spans="1:75" x14ac:dyDescent="0.3">
      <c r="A48" s="14">
        <v>40588</v>
      </c>
      <c r="B48" s="12">
        <v>151</v>
      </c>
      <c r="D48">
        <f>SUM(Append_MergeDS12_DS3[Registered])</f>
        <v>53383</v>
      </c>
      <c r="F48" s="1">
        <f>D48/D24</f>
        <v>0.9155975576289791</v>
      </c>
      <c r="AQ48" s="13">
        <v>0.66</v>
      </c>
      <c r="AR48" s="2">
        <v>343</v>
      </c>
      <c r="AT48" s="13">
        <v>0.68</v>
      </c>
      <c r="AU48" s="2">
        <v>186</v>
      </c>
      <c r="BS48" s="14">
        <v>40588</v>
      </c>
      <c r="BT48" s="2">
        <v>151</v>
      </c>
      <c r="BV48" s="14">
        <v>40588</v>
      </c>
      <c r="BW48" s="2">
        <v>151</v>
      </c>
    </row>
    <row r="49" spans="1:76" x14ac:dyDescent="0.3">
      <c r="A49" s="14" t="s">
        <v>29</v>
      </c>
      <c r="B49" s="12">
        <v>58304</v>
      </c>
      <c r="AQ49" s="13">
        <v>0.68</v>
      </c>
      <c r="AR49" s="2">
        <v>186</v>
      </c>
      <c r="AT49" s="13">
        <v>0.69</v>
      </c>
      <c r="AU49" s="2">
        <v>1384</v>
      </c>
      <c r="BS49" s="14" t="s">
        <v>29</v>
      </c>
      <c r="BT49" s="2">
        <v>58304</v>
      </c>
      <c r="BV49" s="14">
        <v>40589</v>
      </c>
      <c r="BX49" s="15">
        <f>_xlfn.FORECAST.ETS(BV49,$BW$4:$BW$48,$BV$4:$BV$48)</f>
        <v>1387.2167441635288</v>
      </c>
    </row>
    <row r="50" spans="1:76" x14ac:dyDescent="0.3">
      <c r="AQ50" s="13">
        <v>0.69</v>
      </c>
      <c r="AR50" s="2">
        <v>1384</v>
      </c>
      <c r="AT50" s="13">
        <v>0.7</v>
      </c>
      <c r="AU50" s="2">
        <v>839</v>
      </c>
      <c r="BV50" s="14">
        <v>40590</v>
      </c>
      <c r="BX50" s="15">
        <f t="shared" ref="BX50:BX76" si="0">_xlfn.FORECAST.ETS(BV50,$BW$4:$BW$48,$BV$4:$BV$48)</f>
        <v>1392.5597746183603</v>
      </c>
    </row>
    <row r="51" spans="1:76" x14ac:dyDescent="0.3">
      <c r="AQ51" s="13">
        <v>0.7</v>
      </c>
      <c r="AR51" s="2">
        <v>839</v>
      </c>
      <c r="AT51" s="13">
        <v>0.71</v>
      </c>
      <c r="AU51" s="2">
        <v>257</v>
      </c>
      <c r="BV51" s="14">
        <v>40591</v>
      </c>
      <c r="BX51" s="15">
        <f t="shared" si="0"/>
        <v>1397.902805073192</v>
      </c>
    </row>
    <row r="52" spans="1:76" x14ac:dyDescent="0.3">
      <c r="AQ52" s="13">
        <v>0.71</v>
      </c>
      <c r="AR52" s="2">
        <v>257</v>
      </c>
      <c r="AT52" s="13">
        <v>0.72</v>
      </c>
      <c r="AU52" s="2">
        <v>200</v>
      </c>
      <c r="BV52" s="14">
        <v>40592</v>
      </c>
      <c r="BX52" s="15">
        <f t="shared" si="0"/>
        <v>1403.2458355280237</v>
      </c>
    </row>
    <row r="53" spans="1:76" x14ac:dyDescent="0.3">
      <c r="AQ53" s="13">
        <v>0.72</v>
      </c>
      <c r="AR53" s="2">
        <v>200</v>
      </c>
      <c r="AT53" s="13">
        <v>0.73</v>
      </c>
      <c r="AU53" s="2">
        <v>74</v>
      </c>
      <c r="BV53" s="14">
        <v>40593</v>
      </c>
      <c r="BX53" s="15">
        <f t="shared" si="0"/>
        <v>1408.5888659828554</v>
      </c>
    </row>
    <row r="54" spans="1:76" x14ac:dyDescent="0.3">
      <c r="AQ54" s="13">
        <v>0.73</v>
      </c>
      <c r="AR54" s="2">
        <v>74</v>
      </c>
      <c r="AT54" s="13">
        <v>0.74</v>
      </c>
      <c r="AU54" s="2">
        <v>1400</v>
      </c>
      <c r="BV54" s="14">
        <v>40594</v>
      </c>
      <c r="BX54" s="15">
        <f t="shared" si="0"/>
        <v>1413.9318964376871</v>
      </c>
    </row>
    <row r="55" spans="1:76" x14ac:dyDescent="0.3">
      <c r="AQ55" s="13">
        <v>0.74</v>
      </c>
      <c r="AR55" s="2">
        <v>1400</v>
      </c>
      <c r="AT55" s="13">
        <v>0.75</v>
      </c>
      <c r="AU55" s="2">
        <v>904</v>
      </c>
      <c r="BV55" s="14">
        <v>40595</v>
      </c>
      <c r="BX55" s="15">
        <f t="shared" si="0"/>
        <v>1419.2749268925186</v>
      </c>
    </row>
    <row r="56" spans="1:76" x14ac:dyDescent="0.3">
      <c r="AQ56" s="13">
        <v>0.75</v>
      </c>
      <c r="AR56" s="2">
        <v>904</v>
      </c>
      <c r="AT56" s="13">
        <v>0.76</v>
      </c>
      <c r="AU56" s="2">
        <v>206</v>
      </c>
      <c r="BV56" s="14">
        <v>40596</v>
      </c>
      <c r="BX56" s="15">
        <f t="shared" si="0"/>
        <v>1424.6179573473503</v>
      </c>
    </row>
    <row r="57" spans="1:76" x14ac:dyDescent="0.3">
      <c r="D57">
        <f>SUM(Append_MergeDS12_DS3[Casual])</f>
        <v>4921</v>
      </c>
      <c r="F57" s="1">
        <f>D57/D24</f>
        <v>8.4402442371020861E-2</v>
      </c>
      <c r="AQ57" s="13">
        <v>0.76</v>
      </c>
      <c r="AR57" s="2">
        <v>206</v>
      </c>
      <c r="AT57" s="13">
        <v>0.77</v>
      </c>
      <c r="AU57" s="2">
        <v>196</v>
      </c>
      <c r="BV57" s="14">
        <v>40597</v>
      </c>
      <c r="BX57" s="15">
        <f t="shared" si="0"/>
        <v>1429.960987802182</v>
      </c>
    </row>
    <row r="58" spans="1:76" x14ac:dyDescent="0.3">
      <c r="AQ58" s="13">
        <v>0.77</v>
      </c>
      <c r="AR58" s="2">
        <v>196</v>
      </c>
      <c r="AT58" s="13">
        <v>0.8</v>
      </c>
      <c r="AU58" s="2">
        <v>1328</v>
      </c>
      <c r="BV58" s="14">
        <v>40598</v>
      </c>
      <c r="BX58" s="15">
        <f t="shared" si="0"/>
        <v>1435.3040182570135</v>
      </c>
    </row>
    <row r="59" spans="1:76" x14ac:dyDescent="0.3">
      <c r="AQ59" s="13">
        <v>0.8</v>
      </c>
      <c r="AR59" s="2">
        <v>1328</v>
      </c>
      <c r="AT59" s="13">
        <v>0.81</v>
      </c>
      <c r="AU59" s="2">
        <v>609</v>
      </c>
      <c r="BV59" s="14">
        <v>40599</v>
      </c>
      <c r="BX59" s="15">
        <f t="shared" si="0"/>
        <v>1440.6470487118452</v>
      </c>
    </row>
    <row r="60" spans="1:76" x14ac:dyDescent="0.3">
      <c r="AQ60" s="13">
        <v>0.81</v>
      </c>
      <c r="AR60" s="2">
        <v>609</v>
      </c>
      <c r="AT60" s="13">
        <v>0.82</v>
      </c>
      <c r="AU60" s="2">
        <v>348</v>
      </c>
      <c r="BV60" s="14">
        <v>40600</v>
      </c>
      <c r="BX60" s="15">
        <f t="shared" si="0"/>
        <v>1445.9900791666769</v>
      </c>
    </row>
    <row r="61" spans="1:76" x14ac:dyDescent="0.3">
      <c r="AQ61" s="13">
        <v>0.82</v>
      </c>
      <c r="AR61" s="2">
        <v>348</v>
      </c>
      <c r="AT61" s="13">
        <v>0.86</v>
      </c>
      <c r="AU61" s="2">
        <v>1309</v>
      </c>
      <c r="BV61" s="14">
        <v>40601</v>
      </c>
      <c r="BX61" s="15">
        <f t="shared" si="0"/>
        <v>1451.3331096215086</v>
      </c>
    </row>
    <row r="62" spans="1:76" x14ac:dyDescent="0.3">
      <c r="AQ62" s="13">
        <v>0.86</v>
      </c>
      <c r="AR62" s="2">
        <v>1309</v>
      </c>
      <c r="AT62" s="13">
        <v>0.87</v>
      </c>
      <c r="AU62" s="2">
        <v>719</v>
      </c>
      <c r="BV62" s="14">
        <v>40602</v>
      </c>
      <c r="BX62" s="15">
        <f t="shared" si="0"/>
        <v>1456.6761400763403</v>
      </c>
    </row>
    <row r="63" spans="1:76" x14ac:dyDescent="0.3">
      <c r="AQ63" s="13">
        <v>0.87</v>
      </c>
      <c r="AR63" s="2">
        <v>719</v>
      </c>
      <c r="AT63" s="13">
        <v>0.88</v>
      </c>
      <c r="AU63" s="2">
        <v>128</v>
      </c>
      <c r="BV63" s="14">
        <v>40603</v>
      </c>
      <c r="BX63" s="15">
        <f t="shared" si="0"/>
        <v>1462.0191705311718</v>
      </c>
    </row>
    <row r="64" spans="1:76" x14ac:dyDescent="0.3">
      <c r="AQ64" s="13">
        <v>0.88</v>
      </c>
      <c r="AR64" s="2">
        <v>128</v>
      </c>
      <c r="AT64" s="13">
        <v>0.92</v>
      </c>
      <c r="AU64" s="2">
        <v>90</v>
      </c>
      <c r="BV64" s="14">
        <v>40604</v>
      </c>
      <c r="BX64" s="15">
        <f t="shared" si="0"/>
        <v>1467.3622009860035</v>
      </c>
    </row>
    <row r="65" spans="4:76" x14ac:dyDescent="0.3">
      <c r="AQ65" s="13">
        <v>0.92</v>
      </c>
      <c r="AR65" s="2">
        <v>90</v>
      </c>
      <c r="AT65" s="13">
        <v>0.93</v>
      </c>
      <c r="AU65" s="2">
        <v>2457</v>
      </c>
      <c r="BV65" s="14">
        <v>40605</v>
      </c>
      <c r="BX65" s="15">
        <f t="shared" si="0"/>
        <v>1472.7052314408352</v>
      </c>
    </row>
    <row r="66" spans="4:76" x14ac:dyDescent="0.3">
      <c r="D66">
        <f>AVERAGE(Append_MergeDS12_DS3[Casual and Registered])</f>
        <v>58.304000000000002</v>
      </c>
      <c r="AQ66" s="13">
        <v>0.93</v>
      </c>
      <c r="AR66" s="2">
        <v>2457</v>
      </c>
      <c r="AT66" s="13">
        <v>0.94</v>
      </c>
      <c r="AU66" s="2">
        <v>54</v>
      </c>
      <c r="BV66" s="14">
        <v>40606</v>
      </c>
      <c r="BX66" s="15">
        <f t="shared" si="0"/>
        <v>1478.0482618956667</v>
      </c>
    </row>
    <row r="67" spans="4:76" x14ac:dyDescent="0.3">
      <c r="AQ67" s="13">
        <v>0.94</v>
      </c>
      <c r="AR67" s="2">
        <v>54</v>
      </c>
      <c r="AT67" s="13">
        <v>1</v>
      </c>
      <c r="AU67" s="2">
        <v>868</v>
      </c>
      <c r="BV67" s="14">
        <v>40607</v>
      </c>
      <c r="BX67" s="15">
        <f t="shared" si="0"/>
        <v>1483.3912923504984</v>
      </c>
    </row>
    <row r="68" spans="4:76" x14ac:dyDescent="0.3">
      <c r="AQ68" s="13">
        <v>1</v>
      </c>
      <c r="AR68" s="2">
        <v>868</v>
      </c>
      <c r="BV68" s="14">
        <v>40608</v>
      </c>
      <c r="BX68" s="15">
        <f t="shared" si="0"/>
        <v>1488.7343228053301</v>
      </c>
    </row>
    <row r="69" spans="4:76" x14ac:dyDescent="0.3">
      <c r="AQ69" s="13" t="s">
        <v>29</v>
      </c>
      <c r="AR69" s="2">
        <v>58304</v>
      </c>
      <c r="BV69" s="14">
        <v>40609</v>
      </c>
      <c r="BX69" s="15">
        <f t="shared" si="0"/>
        <v>1494.0773532601618</v>
      </c>
    </row>
    <row r="70" spans="4:76" x14ac:dyDescent="0.3">
      <c r="BV70" s="14">
        <v>40610</v>
      </c>
      <c r="BX70" s="15">
        <f t="shared" si="0"/>
        <v>1499.4203837149935</v>
      </c>
    </row>
    <row r="71" spans="4:76" x14ac:dyDescent="0.3">
      <c r="BV71" s="14">
        <v>40611</v>
      </c>
      <c r="BX71" s="15">
        <f t="shared" si="0"/>
        <v>1504.763414169825</v>
      </c>
    </row>
    <row r="72" spans="4:76" x14ac:dyDescent="0.3">
      <c r="BV72" s="14">
        <v>40612</v>
      </c>
      <c r="BX72" s="15">
        <f t="shared" si="0"/>
        <v>1510.1064446246567</v>
      </c>
    </row>
    <row r="73" spans="4:76" x14ac:dyDescent="0.3">
      <c r="BV73" s="14">
        <v>40613</v>
      </c>
      <c r="BX73" s="15">
        <f t="shared" si="0"/>
        <v>1515.4494750794884</v>
      </c>
    </row>
    <row r="74" spans="4:76" x14ac:dyDescent="0.3">
      <c r="BV74" s="14">
        <v>40614</v>
      </c>
      <c r="BX74" s="15">
        <f t="shared" si="0"/>
        <v>1520.7925055343198</v>
      </c>
    </row>
    <row r="75" spans="4:76" x14ac:dyDescent="0.3">
      <c r="BV75" s="14">
        <v>40615</v>
      </c>
      <c r="BX75" s="15">
        <f t="shared" si="0"/>
        <v>1526.1355359891515</v>
      </c>
    </row>
    <row r="76" spans="4:76" x14ac:dyDescent="0.3">
      <c r="D76" s="5" cm="1">
        <f t="array" ref="D76:E76">_xlfn.XLOOKUP(MAX(U4:U27),U4:U27,T4:U27)</f>
        <v>0.70833333333333337</v>
      </c>
      <c r="E76" s="7">
        <v>140.20454545454547</v>
      </c>
      <c r="BV76" s="14">
        <v>40616</v>
      </c>
      <c r="BX76" s="15">
        <f t="shared" si="0"/>
        <v>1531.4785664439833</v>
      </c>
    </row>
  </sheetData>
  <mergeCells count="1">
    <mergeCell ref="D39:G43"/>
  </mergeCells>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506E8-AD02-4184-9A4A-7C064215E6A0}">
  <sheetPr>
    <tabColor rgb="FF7030A0"/>
  </sheetPr>
  <dimension ref="A1"/>
  <sheetViews>
    <sheetView showGridLines="0" showRowColHeaders="0" tabSelected="1" zoomScaleNormal="100" workbookViewId="0"/>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86926-87CB-40A1-AA52-318C53707C2B}">
  <sheetPr>
    <tabColor rgb="FF7030A0"/>
  </sheetPr>
  <dimension ref="A1"/>
  <sheetViews>
    <sheetView showGridLines="0" showRowColHeaders="0" workbookViewId="0"/>
  </sheetViews>
  <sheetFormatPr defaultRowHeight="14.4" x14ac:dyDescent="0.3"/>
  <cols>
    <col min="1" max="16384" width="8.88671875" style="6"/>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CA9278-C2D7-4816-8144-113E3E4498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DS1</vt:lpstr>
      <vt:lpstr>DS2</vt:lpstr>
      <vt:lpstr>Merge_DS1_DS2</vt:lpstr>
      <vt:lpstr>Pivot Tables_MergeDS1DS2</vt:lpstr>
      <vt:lpstr>Charts_MergeDS1DS2</vt:lpstr>
      <vt:lpstr>DS3</vt:lpstr>
      <vt:lpstr>Append_MergeDS12_DS3</vt:lpstr>
      <vt:lpstr>Pivot Table_Append_MergeDS12_DS</vt:lpstr>
      <vt:lpstr>Executive_Dashboard_Final</vt:lpstr>
      <vt:lpstr>Consumer_Dashboard_Final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SAAYAN SAMANTA</dc:creator>
  <cp:lastModifiedBy>8151</cp:lastModifiedBy>
  <dcterms:created xsi:type="dcterms:W3CDTF">2015-06-05T18:17:20Z</dcterms:created>
  <dcterms:modified xsi:type="dcterms:W3CDTF">2026-05-25T00:33:10Z</dcterms:modified>
</cp:coreProperties>
</file>